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e260d17f29a48e1" /></Relationships>
</file>

<file path=xl/workbook.xml><?xml version="1.0" encoding="utf-8"?>
<x:workbook xmlns:x="http://schemas.openxmlformats.org/spreadsheetml/2006/main">
  <x:sheets>
    <x:sheet xmlns:r="http://schemas.openxmlformats.org/officeDocument/2006/relationships" name="00_Guide" sheetId="1" r:id="R0699f2286d384dce"/>
    <x:sheet xmlns:r="http://schemas.openxmlformats.org/officeDocument/2006/relationships" name="01_Brand_Master" sheetId="2" r:id="Rea3de1426b214d7e"/>
    <x:sheet xmlns:r="http://schemas.openxmlformats.org/officeDocument/2006/relationships" name="02_Brand_Summary" sheetId="3" r:id="R167e203abed34030"/>
    <x:sheet xmlns:r="http://schemas.openxmlformats.org/officeDocument/2006/relationships" name="03_Scoring" sheetId="4" r:id="R053d1ec5ba2747b0"/>
    <x:sheet xmlns:r="http://schemas.openxmlformats.org/officeDocument/2006/relationships" name="04_Hero_SKU" sheetId="5" r:id="Reb14b4c47a674f46"/>
    <x:sheet xmlns:r="http://schemas.openxmlformats.org/officeDocument/2006/relationships" name="05_Channel_Tracking" sheetId="6" r:id="R8296ca5e0529417d"/>
    <x:sheet xmlns:r="http://schemas.openxmlformats.org/officeDocument/2006/relationships" name="06_Competitors" sheetId="7" r:id="R836eae43e9a2441f"/>
    <x:sheet xmlns:r="http://schemas.openxmlformats.org/officeDocument/2006/relationships" name="07_Review_Insights" sheetId="8" r:id="R5d9104b2b28b46a7"/>
    <x:sheet xmlns:r="http://schemas.openxmlformats.org/officeDocument/2006/relationships" name="08_Source_Log" sheetId="9" r:id="R7e4767f430aa4729"/>
    <x:sheet xmlns:r="http://schemas.openxmlformats.org/officeDocument/2006/relationships" name="09_Image_Assets" sheetId="10" r:id="R4c9a6376fb77498f"/>
    <x:sheet xmlns:r="http://schemas.openxmlformats.org/officeDocument/2006/relationships" name="10_Vendor_Terms" sheetId="11" r:id="R1c9824df2fad4abc"/>
    <x:sheet xmlns:r="http://schemas.openxmlformats.org/officeDocument/2006/relationships" name="11_Approval_Log" sheetId="12" r:id="Rbf034ddf34d14749"/>
    <x:sheet xmlns:r="http://schemas.openxmlformats.org/officeDocument/2006/relationships" name="12_Scoring_Criteria" sheetId="13" r:id="Ree6ec9f102ac4ed8"/>
    <x:sheet xmlns:r="http://schemas.openxmlformats.org/officeDocument/2006/relationships" name="13_Execution_Prompt" sheetId="14" r:id="R0099dd25784c428c"/>
    <x:sheet xmlns:r="http://schemas.openxmlformats.org/officeDocument/2006/relationships" name="14_Lists" sheetId="15" r:id="R91db543b83be4f0b"/>
  </x:sheets>
</x:workbook>
</file>

<file path=xl/comments1.xml><?xml version="1.0" encoding="utf-8"?>
<x:comments xmlns:x="http://schemas.openxmlformats.org/spreadsheetml/2006/main">
  <x:authors>
    <x:author>tc={CD368395-66A9-F5C0-AA53-7B7CFE2B0D77}</x:author>
    <x:author>tc={C45EEAE6-79F3-750B-C7AD-2C8E94F115B3}</x:author>
    <x:author>tc={CDE430D7-D25A-5E19-EFB8-2C127816C132}</x:author>
  </x:authors>
  <x:commentList>
    <x:comment ref="G1" authorId="0">
      <x:text>
        <x:r>
          <x:t>[Threaded comment]
Your version of Excel allows you to read this threaded comment; however, any edits to it will get removed if the file is opened in a newer version of Excel. Learn more: https://go.microsoft.com/fwlink/?linkid=870924
Comment:
    Preserve this imported source value. Record the researched conclusion in the corresponding Verified field.</x:t>
        </x:r>
      </x:text>
    </x:comment>
    <x:comment ref="I1" authorId="1">
      <x:text>
        <x:r>
          <x:t>[Threaded comment]
Your version of Excel allows you to read this threaded comment; however, any edits to it will get removed if the file is opened in a newer version of Excel. Learn more: https://go.microsoft.com/fwlink/?linkid=870924
Comment:
    Verify the official website from current primary evidence before completing the brand.</x:t>
        </x:r>
      </x:text>
    </x:comment>
    <x:comment ref="M1" authorId="2">
      <x:text>
        <x:r>
          <x:t>[Threaded comment]
Your version of Excel allows you to read this threaded comment; however, any edits to it will get removed if the file is opened in a newer version of Excel. Learn more: https://go.microsoft.com/fwlink/?linkid=870924
Comment:
    Use Verified only after Website, Primary Category, Awareness Factor and Amazon Sales Strength have all been checked.</x:t>
        </x:r>
      </x:text>
    </x:comment>
  </x:commentList>
</x:comments>
</file>

<file path=xl/comments2.xml><?xml version="1.0" encoding="utf-8"?>
<x:comments xmlns:x="http://schemas.openxmlformats.org/spreadsheetml/2006/main">
  <x:authors>
    <x:author>tc={AACF0558-5ABE-5453-7979-CB4681BF4504}</x:author>
  </x:authors>
  <x:commentList>
    <x:comment ref="K1" authorId="0">
      <x:text>
        <x:r>
          <x:t>[Threaded comment]
Your version of Excel allows you to read this threaded comment; however, any edits to it will get removed if the file is opened in a newer version of Excel. Learn more: https://go.microsoft.com/fwlink/?linkid=870924
Comment:
    Formula references the weights in 12_Scoring_Criteria and remains blank until all eight factors are entered.</x:t>
        </x:r>
      </x:text>
    </x:comment>
  </x:commentList>
</x:comments>
</file>

<file path=xl/comments3.xml><?xml version="1.0" encoding="utf-8"?>
<x:comments xmlns:x="http://schemas.openxmlformats.org/spreadsheetml/2006/main">
  <x:authors>
    <x:author>tc={7058FC63-C8FB-4BA9-3485-DBC419003735}</x:author>
  </x:authors>
  <x:commentList>
    <x:comment ref="L1" authorId="0">
      <x:text>
        <x:r>
          <x:t>[Threaded comment]
Your version of Excel allows you to read this threaded comment; however, any edits to it will get removed if the file is opened in a newer version of Excel. Learn more: https://go.microsoft.com/fwlink/?linkid=870924
Comment:
    Official images may still have reuse restrictions. Record the source and usage terms.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yyyy-mm-dd"/>
    <x:numFmt numFmtId="201" formatCode="0.0"/>
    <x:numFmt numFmtId="202" formatCode="0"/>
    <x:numFmt numFmtId="203" formatCode="&quot;$&quot;#,##0.00"/>
    <x:numFmt numFmtId="204" formatCode="#,##0"/>
    <x:numFmt numFmtId="205" formatCode="0.0%"/>
    <x:numFmt numFmtId="206" formatCode="0%"/>
    <x:numFmt numFmtId="207" formatCode="₩#,##0"/>
    <x:numFmt numFmtId="208" formatCode="$#,##0.00"/>
    <x:numFmt numFmtId="209" formatCode="0.00"/>
  </x:numFmts>
  <x:fonts count="7">
    <x:font>
      <x:sz val="11"/>
      <x:name val="Carlito"/>
    </x:font>
    <x:font>
      <x:b/>
      <x:sz val="18"/>
      <x:color rgb="FFFFFFFF"/>
      <x:name val="Arial"/>
    </x:font>
    <x:font>
      <x:i/>
      <x:sz val="10"/>
      <x:color rgb="FF153247"/>
      <x:name val="Arial"/>
    </x:font>
    <x:font>
      <x:b/>
      <x:sz val="10"/>
      <x:color rgb="FFFFFFFF"/>
      <x:name val="Arial"/>
    </x:font>
    <x:font>
      <x:sz val="10"/>
      <x:color rgb="FF153247"/>
      <x:name val="Arial"/>
    </x:font>
    <x:font>
      <x:b/>
      <x:sz val="11"/>
      <x:color rgb="FFFFFFFF"/>
      <x:name val="Arial"/>
    </x:font>
    <x:font>
      <x:sz val="10"/>
      <x:color rgb="FF153247"/>
      <x:name val="Arial"/>
    </x:font>
  </x:fonts>
  <x:fills count="7">
    <x:fill>
      <x:patternFill patternType="none"/>
    </x:fill>
    <x:fill>
      <x:patternFill patternType="gray125"/>
    </x:fill>
    <x:fill>
      <x:patternFill patternType="solid">
        <x:fgColor rgb="FF174E70"/>
      </x:patternFill>
    </x:fill>
    <x:fill>
      <x:patternFill patternType="solid">
        <x:fgColor rgb="FFDCECF4"/>
      </x:patternFill>
    </x:fill>
    <x:fill>
      <x:patternFill patternType="solid">
        <x:fgColor rgb="FF167D86"/>
      </x:patternFill>
    </x:fill>
    <x:fill>
      <x:patternFill patternType="solid">
        <x:fgColor rgb="FFF3F8FA"/>
      </x:patternFill>
    </x:fill>
    <x:fill>
      <x:patternFill patternType="solid">
        <x:fgColor rgb="FFFFFFFF"/>
      </x:patternFill>
    </x:fill>
  </x:fills>
  <x:borders count="4">
    <x:border/>
    <x:border>
      <x:left style="thin">
        <x:color rgb="FFC7D3DB"/>
      </x:left>
      <x:right style="thin">
        <x:color rgb="FFC7D3DB"/>
      </x:right>
      <x:top style="thin">
        <x:color rgb="FFC7D3DB"/>
      </x:top>
      <x:bottom style="thin">
        <x:color rgb="FFC7D3DB"/>
      </x:bottom>
    </x:border>
    <x:border>
      <x:bottom style="thin">
        <x:color rgb="FFC7D3DB"/>
      </x:bottom>
    </x:border>
    <x:border>
      <x:top style="thin">
        <x:color rgb="FFC7D3DB"/>
      </x:top>
      <x:bottom style="thin">
        <x:color rgb="FFC7D3DB"/>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1" fontId="4" fillId="0" borderId="2"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202" fontId="4" fillId="0" borderId="2" xfId="0" applyNumberFormat="1" applyFont="1" applyFill="1" applyBorder="1" applyAlignment="1">
      <x:alignment vertical="top" wrapText="1"/>
    </x:xf>
    <x:xf numFmtId="202" fontId="4" fillId="0" borderId="3" xfId="0" applyNumberFormat="1" applyFont="1" applyFill="1" applyBorder="1" applyAlignment="1">
      <x:alignment vertical="top" wrapText="1"/>
    </x:xf>
    <x:xf numFmtId="203" fontId="4" fillId="0" borderId="2" xfId="0" applyNumberFormat="1" applyFont="1" applyFill="1" applyBorder="1" applyAlignment="1">
      <x:alignment vertical="top" wrapText="1"/>
    </x:xf>
    <x:xf numFmtId="203" fontId="4" fillId="0" borderId="3" xfId="0" applyNumberFormat="1" applyFont="1" applyFill="1" applyBorder="1" applyAlignment="1">
      <x:alignment vertical="top" wrapText="1"/>
    </x:xf>
    <x:xf numFmtId="204" fontId="4" fillId="0" borderId="2" xfId="0" applyNumberFormat="1" applyFont="1" applyFill="1" applyBorder="1" applyAlignment="1">
      <x:alignment vertical="top" wrapText="1"/>
    </x:xf>
    <x:xf numFmtId="204" fontId="4" fillId="0" borderId="3" xfId="0" applyNumberFormat="1" applyFont="1" applyFill="1" applyBorder="1" applyAlignment="1">
      <x:alignment vertical="top" wrapText="1"/>
    </x:xf>
    <x:xf numFmtId="205" fontId="4" fillId="0" borderId="2" xfId="0" applyNumberFormat="1" applyFont="1" applyFill="1" applyBorder="1" applyAlignment="1">
      <x:alignment vertical="top" wrapText="1"/>
    </x:xf>
    <x:xf numFmtId="205" fontId="4" fillId="0" borderId="3" xfId="0" applyNumberFormat="1" applyFont="1" applyFill="1" applyBorder="1" applyAlignment="1">
      <x:alignment vertical="top" wrapText="1"/>
    </x:xf>
    <x:xf numFmtId="206" fontId="4" fillId="0" borderId="2" xfId="0" applyNumberFormat="1" applyFont="1" applyFill="1" applyBorder="1" applyAlignment="1">
      <x:alignment vertical="top" wrapText="1"/>
    </x:xf>
    <x:xf numFmtId="206" fontId="4" fillId="0" borderId="3" xfId="0" applyNumberFormat="1" applyFont="1" applyFill="1" applyBorder="1" applyAlignment="1">
      <x:alignment vertical="top" wrapText="1"/>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207" fontId="4" fillId="0" borderId="2" xfId="0" applyNumberFormat="1" applyFont="1" applyFill="1" applyBorder="1" applyAlignment="1">
      <x:alignment vertical="top" wrapText="1"/>
    </x:xf>
    <x:xf numFmtId="207" fontId="4" fillId="0" borderId="3" xfId="0" applyNumberFormat="1" applyFont="1" applyFill="1" applyBorder="1" applyAlignment="1">
      <x:alignment vertical="top" wrapText="1"/>
    </x:xf>
    <x:xf numFmtId="208" fontId="4" fillId="0" borderId="2" xfId="0" applyNumberFormat="1" applyFont="1" applyFill="1" applyBorder="1" applyAlignment="1">
      <x:alignment vertical="top" wrapText="1"/>
    </x:xf>
    <x:xf numFmtId="208" fontId="4" fillId="0" borderId="3" xfId="0" applyNumberFormat="1" applyFont="1" applyFill="1" applyBorder="1" applyAlignment="1">
      <x:alignment vertical="top" wrapText="1"/>
    </x:xf>
    <x:xf numFmtId="209" fontId="4" fillId="0" borderId="2" xfId="0" applyNumberFormat="1" applyFont="1" applyFill="1" applyBorder="1" applyAlignment="1">
      <x:alignment vertical="top" wrapText="1"/>
    </x:xf>
    <x:xf numFmtId="209" fontId="4" fillId="0" borderId="3"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3">
    <x:dxf>
      <x:font>
        <x:b/>
        <x:color rgb="FF176B3A"/>
      </x:font>
      <x:fill>
        <x:patternFill>
          <x:bgColor rgb="FFDDF2E5"/>
        </x:patternFill>
      </x:fill>
    </x:dxf>
    <x:dxf>
      <x:font>
        <x:b/>
        <x:color rgb="FF7A5B00"/>
      </x:font>
      <x:fill>
        <x:patternFill>
          <x:bgColor rgb="FFFFF3CD"/>
        </x:patternFill>
      </x:fill>
    </x:dxf>
    <x:dxf>
      <x:font>
        <x:b/>
        <x:color rgb="FF8B1A1A"/>
      </x:font>
      <x:fill>
        <x:patternFill>
          <x:bgColor rgb="FFFBE1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04ecdd9d7d434a" /><Relationship Type="http://schemas.openxmlformats.org/officeDocument/2006/relationships/theme" Target="/xl/theme/theme1.xml" Id="Ra73c992d7ea045b7" /><Relationship Type="http://schemas.openxmlformats.org/officeDocument/2006/relationships/sharedStrings" Target="/xl/sharedStrings.xml" Id="Rc5624557f1494a88" /><Relationship Type="http://schemas.openxmlformats.org/officeDocument/2006/relationships/worksheet" Target="/xl/worksheets/sheet1.xml" Id="R0699f2286d384dce" /><Relationship Type="http://schemas.openxmlformats.org/officeDocument/2006/relationships/worksheet" Target="/xl/worksheets/sheet2.xml" Id="Rea3de1426b214d7e" /><Relationship Type="http://schemas.openxmlformats.org/officeDocument/2006/relationships/worksheet" Target="/xl/worksheets/sheet3.xml" Id="R167e203abed34030" /><Relationship Type="http://schemas.openxmlformats.org/officeDocument/2006/relationships/worksheet" Target="/xl/worksheets/sheet4.xml" Id="R053d1ec5ba2747b0" /><Relationship Type="http://schemas.openxmlformats.org/officeDocument/2006/relationships/worksheet" Target="/xl/worksheets/sheet5.xml" Id="Reb14b4c47a674f46" /><Relationship Type="http://schemas.openxmlformats.org/officeDocument/2006/relationships/worksheet" Target="/xl/worksheets/sheet6.xml" Id="R8296ca5e0529417d" /><Relationship Type="http://schemas.openxmlformats.org/officeDocument/2006/relationships/worksheet" Target="/xl/worksheets/sheet7.xml" Id="R836eae43e9a2441f" /><Relationship Type="http://schemas.openxmlformats.org/officeDocument/2006/relationships/worksheet" Target="/xl/worksheets/sheet8.xml" Id="R5d9104b2b28b46a7" /><Relationship Type="http://schemas.openxmlformats.org/officeDocument/2006/relationships/worksheet" Target="/xl/worksheets/sheet9.xml" Id="R7e4767f430aa4729" /><Relationship Type="http://schemas.openxmlformats.org/officeDocument/2006/relationships/worksheet" Target="/xl/worksheets/sheet10.xml" Id="R4c9a6376fb77498f" /><Relationship Type="http://schemas.openxmlformats.org/officeDocument/2006/relationships/worksheet" Target="/xl/worksheets/sheet11.xml" Id="R1c9824df2fad4abc" /><Relationship Type="http://schemas.openxmlformats.org/officeDocument/2006/relationships/worksheet" Target="/xl/worksheets/sheet12.xml" Id="Rbf034ddf34d14749" /><Relationship Type="http://schemas.openxmlformats.org/officeDocument/2006/relationships/worksheet" Target="/xl/worksheets/sheet13.xml" Id="Ree6ec9f102ac4ed8" /><Relationship Type="http://schemas.openxmlformats.org/officeDocument/2006/relationships/worksheet" Target="/xl/worksheets/sheet14.xml" Id="R0099dd25784c428c" /><Relationship Type="http://schemas.openxmlformats.org/officeDocument/2006/relationships/worksheet" Target="/xl/worksheets/sheet15.xml" Id="R91db543b83be4f0b" /><Relationship Type="http://schemas.microsoft.com/office/2017/10/relationships/person" Target="/xl/persons/person.xml" Id="R24bf9d8052ae4661" /></Relationships>
</file>

<file path=xl/persons/person.xml><?xml version="1.0" encoding="utf-8"?>
<xltc:personList xmlns:xltc="http://schemas.microsoft.com/office/spreadsheetml/2018/threadedcomments">
  <xltc:person displayName="Ken Hahn" id="{257ED11D-0E94-4EDF-9027-E4DEB7AF2578}"/>
</xltc:personList>
</file>

<file path=xl/tables/table1.xml><?xml version="1.0" encoding="utf-8"?>
<x:table xmlns:x="http://schemas.openxmlformats.org/spreadsheetml/2006/main" id="1" name="BrandMasterTableENv02" displayName="BrandMasterTableENv02" ref="A1:AD49" headerRowCount="1" totalsRowCount="0" totalsRowShown="0">
  <x:autoFilter ref="A1:AD49"/>
  <x:tableColumns count="30">
    <x:tableColumn id="1" name="Brand_ID"/>
    <x:tableColumn id="2" name="Research Sequence"/>
    <x:tableColumn id="3" name="Source Rank"/>
    <x:tableColumn id="4" name="Brand Name"/>
    <x:tableColumn id="5" name="Source Website"/>
    <x:tableColumn id="6" name="Source Primary Category"/>
    <x:tableColumn id="7" name="Source Awareness Factor"/>
    <x:tableColumn id="8" name="Source Amazon Sales Strength"/>
    <x:tableColumn id="9" name="Verified Official Website"/>
    <x:tableColumn id="10" name="Verified Primary Category"/>
    <x:tableColumn id="11" name="Verified Awareness Factor"/>
    <x:tableColumn id="12" name="Verified Amazon Sales Strength"/>
    <x:tableColumn id="13" name="Core-Field Verification"/>
    <x:tableColumn id="14" name="Status"/>
    <x:tableColumn id="15" name="Approval Decision"/>
    <x:tableColumn id="16" name="Last Research Date"/>
    <x:tableColumn id="17" name="Current U.S. Market Score"/>
    <x:tableColumn id="18" name="U.S. Growth Potential"/>
    <x:tableColumn id="19" name="Distributor Fit"/>
    <x:tableColumn id="20" name="Overall Score"/>
    <x:tableColumn id="21" name="Recommendation Grade"/>
    <x:tableColumn id="22" name="Hero SKU Summary"/>
    <x:tableColumn id="23" name="Key U.S. Channels"/>
    <x:tableColumn id="24" name="Detailed Report Link"/>
    <x:tableColumn id="25" name="Hero Image Link"/>
    <x:tableColumn id="26" name="Source Count"/>
    <x:tableColumn id="27" name="Image Count"/>
    <x:tableColumn id="28" name="Next Action"/>
    <x:tableColumn id="29" name="Owner"/>
    <x:tableColumn id="30" name="Notes"/>
  </x:tableColumns>
  <x:tableStyleInfo name="TableStyleMedium2" showFirstColumn="0" showLastColumn="0" showRowStripes="1" showColumnStripes="0"/>
</x:table>
</file>

<file path=xl/tables/table2.xml><?xml version="1.0" encoding="utf-8"?>
<x:table xmlns:x="http://schemas.openxmlformats.org/spreadsheetml/2006/main" id="2" name="BrandSummaryTableEN" displayName="BrandSummaryTableEN" ref="A1:AD49" headerRowCount="1" totalsRowCount="0" totalsRowShown="0">
  <x:autoFilter ref="A1:AD49"/>
  <x:tableColumns count="30">
    <x:tableColumn id="1" name="Brand_ID"/>
    <x:tableColumn id="2" name="Brand Name"/>
    <x:tableColumn id="3" name="Company"/>
    <x:tableColumn id="4" name="Founded"/>
    <x:tableColumn id="5" name="Brand Positioning"/>
    <x:tableColumn id="6" name="Core Consumer"/>
    <x:tableColumn id="7" name="U.S. Awareness Stage"/>
    <x:tableColumn id="8" name="Official U.S. Distributor"/>
    <x:tableColumn id="9" name="Key U.S. Sales Channels"/>
    <x:tableColumn id="10" name="U.S. Price Tier"/>
    <x:tableColumn id="11" name="Brand USP"/>
    <x:tableColumn id="12" name="Verified U.S. Sales Facts"/>
    <x:tableColumn id="13" name="Estimated Sales Scale"/>
    <x:tableColumn id="14" name="Estimation Basis"/>
    <x:tableColumn id="15" name="Estimate Confidence"/>
    <x:tableColumn id="16" name="Positive Consumer Summary"/>
    <x:tableColumn id="17" name="Negative Consumer Summary"/>
    <x:tableColumn id="18" name="TikTok / Instagram Summary"/>
    <x:tableColumn id="19" name="Reddit Summary"/>
    <x:tableColumn id="20" name="Competing Brands"/>
    <x:tableColumn id="21" name="U.S. Market Opportunity"/>
    <x:tableColumn id="22" name="Key Risks"/>
    <x:tableColumn id="23" name="Regulatory Pre-Screen"/>
    <x:tableColumn id="24" name="Recommended MSRP"/>
    <x:tableColumn id="25" name="Recommended Channels"/>
    <x:tableColumn id="26" name="U.S. Marketing Message"/>
    <x:tableColumn id="27" name="Final Conclusion"/>
    <x:tableColumn id="28" name="Detailed Report Link"/>
    <x:tableColumn id="29" name="Research As-of Date"/>
    <x:tableColumn id="30" name="Author"/>
  </x:tableColumns>
  <x:tableStyleInfo name="TableStyleMedium2" showFirstColumn="0" showLastColumn="0" showRowStripes="1" showColumnStripes="0"/>
</x:table>
</file>

<file path=xl/tables/table3.xml><?xml version="1.0" encoding="utf-8"?>
<x:table xmlns:x="http://schemas.openxmlformats.org/spreadsheetml/2006/main" id="3" name="ScoreTableEN" displayName="ScoreTableEN" ref="A1:S49" headerRowCount="1" totalsRowCount="0" totalsRowShown="0">
  <x:autoFilter ref="A1:S49"/>
  <x:tableColumns count="19">
    <x:tableColumn id="1" name="Brand_ID"/>
    <x:tableColumn id="2" name="Brand Name"/>
    <x:tableColumn id="3" name="Product &amp; Price Competitiveness"/>
    <x:tableColumn id="4" name="U.S. Demand &amp; Trend Fit"/>
    <x:tableColumn id="5" name="Current Sales Momentum"/>
    <x:tableColumn id="6" name="Reviews &amp; Satisfaction"/>
    <x:tableColumn id="7" name="Viral Potential"/>
    <x:tableColumn id="8" name="Distribution &amp; Margin Fit"/>
    <x:tableColumn id="9" name="Competitive Entry Opportunity"/>
    <x:tableColumn id="10" name="Regulatory &amp; Operating Readiness"/>
    <x:tableColumn id="11" name="Overall Score (100)"/>
    <x:tableColumn id="12" name="Recommendation Grade"/>
    <x:tableColumn id="13" name="Current U.S. Market Position"/>
    <x:tableColumn id="14" name="Future Growth Potential"/>
    <x:tableColumn id="15" name="New Distributor Fit"/>
    <x:tableColumn id="16" name="Data Confidence"/>
    <x:tableColumn id="17" name="Scoring Rationale"/>
    <x:tableColumn id="18" name="Evaluation Date"/>
    <x:tableColumn id="19" name="Evaluator"/>
  </x:tableColumns>
  <x:tableStyleInfo name="TableStyleMedium2" showFirstColumn="0" showLastColumn="0" showRowStripes="1" showColumnStripes="0"/>
</x:table>
</file>

<file path=xl/tables/table4.xml><?xml version="1.0" encoding="utf-8"?>
<x:table xmlns:x="http://schemas.openxmlformats.org/spreadsheetml/2006/main" id="4" name="T04HeroSKUTableEN" displayName="T04HeroSKUTableEN" ref="A1:Z2" headerRowCount="1" totalsRowCount="0" totalsRowShown="0">
  <x:autoFilter ref="A1:Z2"/>
  <x:tableColumns count="26">
    <x:tableColumn id="1" name="Product_ID"/>
    <x:tableColumn id="2" name="Brand_ID"/>
    <x:tableColumn id="3" name="Brand Name"/>
    <x:tableColumn id="4" name="Hero Rank"/>
    <x:tableColumn id="5" name="Product Name"/>
    <x:tableColumn id="6" name="Category"/>
    <x:tableColumn id="7" name="Function / USP"/>
    <x:tableColumn id="8" name="Key Ingredients"/>
    <x:tableColumn id="9" name="Size"/>
    <x:tableColumn id="10" name="Korea Price"/>
    <x:tableColumn id="11" name="U.S. List Price"/>
    <x:tableColumn id="12" name="Current U.S. Price"/>
    <x:tableColumn id="13" name="Unit Price"/>
    <x:tableColumn id="14" name="Key Channels"/>
    <x:tableColumn id="15" name="Amazon Review Count"/>
    <x:tableColumn id="16" name="Rating"/>
    <x:tableColumn id="17" name="TikTok Sales / Engagement Signal"/>
    <x:tableColumn id="18" name="Positive Factors"/>
    <x:tableColumn id="19" name="Negative Factors"/>
    <x:tableColumn id="20" name="Primary Competing Product"/>
    <x:tableColumn id="21" name="Differentiation"/>
    <x:tableColumn id="22" name="Sales Potential"/>
    <x:tableColumn id="23" name="Image_ID"/>
    <x:tableColumn id="24" name="Product URL"/>
    <x:tableColumn id="25" name="Research Date"/>
    <x:tableColumn id="26" name="Source_ID"/>
  </x:tableColumns>
  <x:tableStyleInfo name="TableStyleMedium2" showFirstColumn="0" showLastColumn="0" showRowStripes="1" showColumnStripes="0"/>
</x:table>
</file>

<file path=xl/tables/table5.xml><?xml version="1.0" encoding="utf-8"?>
<x:table xmlns:x="http://schemas.openxmlformats.org/spreadsheetml/2006/main" id="5" name="T05ChannelTrackingTableEN" displayName="T05ChannelTrackingTableEN" ref="A1:W2" headerRowCount="1" totalsRowCount="0" totalsRowShown="0">
  <x:autoFilter ref="A1:W2"/>
  <x:tableColumns count="23">
    <x:tableColumn id="1" name="Tracking_ID"/>
    <x:tableColumn id="2" name="Brand_ID"/>
    <x:tableColumn id="3" name="Product_ID"/>
    <x:tableColumn id="4" name="Channel"/>
    <x:tableColumn id="5" name="Sales Page"/>
    <x:tableColumn id="6" name="Seller Name"/>
    <x:tableColumn id="7" name="Official Status"/>
    <x:tableColumn id="8" name="List Price"/>
    <x:tableColumn id="9" name="Sale Price"/>
    <x:tableColumn id="10" name="Discount"/>
    <x:tableColumn id="11" name="Review Count"/>
    <x:tableColumn id="12" name="Rating"/>
    <x:tableColumn id="13" name="BSR / Rank"/>
    <x:tableColumn id="14" name="Purchase / Sales Display"/>
    <x:tableColumn id="15" name="Stock Status"/>
    <x:tableColumn id="16" name="Recent Review Velocity"/>
    <x:tableColumn id="17" name="Verified Facts"/>
    <x:tableColumn id="18" name="Sales Estimate"/>
    <x:tableColumn id="19" name="Estimation Basis"/>
    <x:tableColumn id="20" name="Confidence"/>
    <x:tableColumn id="21" name="Check Date"/>
    <x:tableColumn id="22" name="Source_ID"/>
    <x:tableColumn id="23" name="Notes"/>
  </x:tableColumns>
  <x:tableStyleInfo name="TableStyleMedium2" showFirstColumn="0" showLastColumn="0" showRowStripes="1" showColumnStripes="0"/>
</x:table>
</file>

<file path=xl/tables/table6.xml><?xml version="1.0" encoding="utf-8"?>
<x:table xmlns:x="http://schemas.openxmlformats.org/spreadsheetml/2006/main" id="6" name="T06CompetitorsTableEN" displayName="T06CompetitorsTableEN" ref="A1:V2" headerRowCount="1" totalsRowCount="0" totalsRowShown="0">
  <x:autoFilter ref="A1:V2"/>
  <x:tableColumns count="22">
    <x:tableColumn id="1" name="Comparison_ID"/>
    <x:tableColumn id="2" name="Brand_ID"/>
    <x:tableColumn id="3" name="Own Product_ID"/>
    <x:tableColumn id="4" name="Competitor Brand"/>
    <x:tableColumn id="5" name="Competitor Product"/>
    <x:tableColumn id="6" name="Competitive Set"/>
    <x:tableColumn id="7" name="Category"/>
    <x:tableColumn id="8" name="Size"/>
    <x:tableColumn id="9" name="U.S. Price"/>
    <x:tableColumn id="10" name="Unit Price"/>
    <x:tableColumn id="11" name="Key Channels"/>
    <x:tableColumn id="12" name="Review Count"/>
    <x:tableColumn id="13" name="Rating"/>
    <x:tableColumn id="14" name="Awareness Evidence"/>
    <x:tableColumn id="15" name="Popularity Drivers"/>
    <x:tableColumn id="16" name="Similarities"/>
    <x:tableColumn id="17" name="Differentiation"/>
    <x:tableColumn id="18" name="Price Difference"/>
    <x:tableColumn id="19" name="Competitive Intensity"/>
    <x:tableColumn id="20" name="Product URL"/>
    <x:tableColumn id="21" name="Check Date"/>
    <x:tableColumn id="22" name="Source_ID"/>
  </x:tableColumns>
  <x:tableStyleInfo name="TableStyleMedium2" showFirstColumn="0" showLastColumn="0" showRowStripes="1" showColumnStripes="0"/>
</x:table>
</file>

<file path=xl/tables/table7.xml><?xml version="1.0" encoding="utf-8"?>
<x:table xmlns:x="http://schemas.openxmlformats.org/spreadsheetml/2006/main" id="7" name="T07ReviewInsightsTableEN" displayName="T07ReviewInsightsTableEN" ref="A1:V2" headerRowCount="1" totalsRowCount="0" totalsRowShown="0">
  <x:autoFilter ref="A1:V2"/>
  <x:tableColumns count="22">
    <x:tableColumn id="1" name="Review_ID"/>
    <x:tableColumn id="2" name="Brand_ID"/>
    <x:tableColumn id="3" name="Product_ID"/>
    <x:tableColumn id="4" name="Platform"/>
    <x:tableColumn id="5" name="Post / Product URL"/>
    <x:tableColumn id="6" name="Post / Review Date"/>
    <x:tableColumn id="7" name="Check Date"/>
    <x:tableColumn id="8" name="Sample Size"/>
    <x:tableColumn id="9" name="Verified Purchase"/>
    <x:tableColumn id="10" name="Sponsorship Risk"/>
    <x:tableColumn id="11" name="Sentiment"/>
    <x:tableColumn id="12" name="Key Theme"/>
    <x:tableColumn id="13" name="Consumer Statement Summary"/>
    <x:tableColumn id="14" name="Positive Content"/>
    <x:tableColumn id="15" name="Negative Content"/>
    <x:tableColumn id="16" name="Skin Type"/>
    <x:tableColumn id="17" name="Repurchase Signal"/>
    <x:tableColumn id="18" name="Competitor Mention"/>
    <x:tableColumn id="19" name="U.S. Consumer"/>
    <x:tableColumn id="20" name="Confidence"/>
    <x:tableColumn id="21" name="Source_ID"/>
    <x:tableColumn id="22" name="Notes"/>
  </x:tableColumns>
  <x:tableStyleInfo name="TableStyleMedium2" showFirstColumn="0" showLastColumn="0" showRowStripes="1" showColumnStripes="0"/>
</x:table>
</file>

<file path=xl/tables/table8.xml><?xml version="1.0" encoding="utf-8"?>
<x:table xmlns:x="http://schemas.openxmlformats.org/spreadsheetml/2006/main" id="8" name="T08SourceLogTableEN" displayName="T08SourceLogTableEN" ref="A1:O2" headerRowCount="1" totalsRowCount="0" totalsRowShown="0">
  <x:autoFilter ref="A1:O2"/>
  <x:tableColumns count="15">
    <x:tableColumn id="1" name="Source_ID"/>
    <x:tableColumn id="2" name="Brand_ID"/>
    <x:tableColumn id="3" name="Research Topic"/>
    <x:tableColumn id="4" name="Key Claim"/>
    <x:tableColumn id="5" name="Source Name"/>
    <x:tableColumn id="6" name="Direct URL"/>
    <x:tableColumn id="7" name="Source Type"/>
    <x:tableColumn id="8" name="Publication Date"/>
    <x:tableColumn id="9" name="Check Date"/>
    <x:tableColumn id="10" name="Data Classification"/>
    <x:tableColumn id="11" name="Confidence"/>
    <x:tableColumn id="12" name="Original Reviewed"/>
    <x:tableColumn id="13" name="Snapshot / File Link"/>
    <x:tableColumn id="14" name="Citation / Summary Notes"/>
    <x:tableColumn id="15" name="Owner"/>
  </x:tableColumns>
  <x:tableStyleInfo name="TableStyleMedium2" showFirstColumn="0" showLastColumn="0" showRowStripes="1" showColumnStripes="0"/>
</x:table>
</file>

<file path=xl/tables/table9.xml><?xml version="1.0" encoding="utf-8"?>
<x:table xmlns:x="http://schemas.openxmlformats.org/spreadsheetml/2006/main" id="9" name="T09ImageAssetsTableEN" displayName="T09ImageAssetsTableEN" ref="A1:P2" headerRowCount="1" totalsRowCount="0" totalsRowShown="0">
  <x:autoFilter ref="A1:P2"/>
  <x:tableColumns count="16">
    <x:tableColumn id="1" name="Image_ID"/>
    <x:tableColumn id="2" name="Brand_ID"/>
    <x:tableColumn id="3" name="Product_ID"/>
    <x:tableColumn id="4" name="Image Type"/>
    <x:tableColumn id="5" name="Image Description"/>
    <x:tableColumn id="6" name="Original Image URL"/>
    <x:tableColumn id="7" name="Source Page URL"/>
    <x:tableColumn id="8" name="Local File Path"/>
    <x:tableColumn id="9" name="Excel Location"/>
    <x:tableColumn id="10" name="Photo / Publication Date"/>
    <x:tableColumn id="11" name="Check Date"/>
    <x:tableColumn id="12" name="Rights / Copyright Notes"/>
    <x:tableColumn id="13" name="Commercial Use Allowed"/>
    <x:tableColumn id="14" name="Hero Image"/>
    <x:tableColumn id="15" name="Source_ID"/>
    <x:tableColumn id="16" name="Notes"/>
  </x:tableColumns>
  <x:tableStyleInfo name="TableStyleMedium2" showFirstColumn="0" showLastColumn="0" showRowStripes="1" showColumnStripes="0"/>
</x:table>
</file>

<file path=xl/tables/table10.xml><?xml version="1.0" encoding="utf-8"?>
<x:table xmlns:x="http://schemas.openxmlformats.org/spreadsheetml/2006/main" id="10" name="T10VendorTermsTableEN" displayName="T10VendorTermsTableEN" ref="A1:V2" headerRowCount="1" totalsRowCount="0" totalsRowShown="0">
  <x:autoFilter ref="A1:V2"/>
  <x:tableColumns count="22">
    <x:tableColumn id="1" name="Term_ID"/>
    <x:tableColumn id="2" name="Brand_ID"/>
    <x:tableColumn id="3" name="Vendor / Manufacturer"/>
    <x:tableColumn id="4" name="Contact"/>
    <x:tableColumn id="5" name="Contact Details"/>
    <x:tableColumn id="6" name="Check Date"/>
    <x:tableColumn id="7" name="MOQ"/>
    <x:tableColumn id="8" name="Currency"/>
    <x:tableColumn id="9" name="Supply Cost"/>
    <x:tableColumn id="10" name="Estimated Landed Cost"/>
    <x:tableColumn id="11" name="Recommended MSRP"/>
    <x:tableColumn id="12" name="Distributor Margin"/>
    <x:tableColumn id="13" name="Retailer Margin"/>
    <x:tableColumn id="14" name="Payment Terms"/>
    <x:tableColumn id="15" name="Lead Time"/>
    <x:tableColumn id="16" name="U.S. Exclusivity"/>
    <x:tableColumn id="17" name="Channel Restrictions"/>
    <x:tableColumn id="18" name="Pricing / MAP Policy"/>
    <x:tableColumn id="19" name="Sample Status"/>
    <x:tableColumn id="20" name="Regulatory Documents"/>
    <x:tableColumn id="21" name="Contract / Document Link"/>
    <x:tableColumn id="22" name="Confidential Notes"/>
  </x:tableColumns>
  <x:tableStyleInfo name="TableStyleMedium2" showFirstColumn="0" showLastColumn="0" showRowStripes="1" showColumnStripes="0"/>
</x:table>
</file>

<file path=xl/tables/table11.xml><?xml version="1.0" encoding="utf-8"?>
<x:table xmlns:x="http://schemas.openxmlformats.org/spreadsheetml/2006/main" id="11" name="T11ApprovalLogTableEN" displayName="T11ApprovalLogTableEN" ref="A1:N2" headerRowCount="1" totalsRowCount="0" totalsRowShown="0">
  <x:autoFilter ref="A1:N2"/>
  <x:tableColumns count="14">
    <x:tableColumn id="1" name="Approval_ID"/>
    <x:tableColumn id="2" name="Brand_ID"/>
    <x:tableColumn id="3" name="Brand Name"/>
    <x:tableColumn id="4" name="Submission Date"/>
    <x:tableColumn id="5" name="Decision Date"/>
    <x:tableColumn id="6" name="Decision"/>
    <x:tableColumn id="7" name="Approver"/>
    <x:tableColumn id="8" name="Decision Summary"/>
    <x:tableColumn id="9" name="Revision Request"/>
    <x:tableColumn id="10" name="Previous Status"/>
    <x:tableColumn id="11" name="New Status"/>
    <x:tableColumn id="12" name="Workbook Version"/>
    <x:tableColumn id="13" name="Related Report Link"/>
    <x:tableColumn id="1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G1" dT="2026-07-30T01:29:01.707" personId="{257ED11D-0E94-4EDF-9027-E4DEB7AF2578}" id="{CD368395-66A9-F5C0-AA53-7B7CFE2B0D77}">
    <xltc:text>Preserve this imported source value. Record the researched conclusion in the corresponding Verified field.</xltc:text>
  </xltc:threadedComment>
  <xltc:threadedComment ref="I1" dT="2026-07-30T01:29:01.708" personId="{257ED11D-0E94-4EDF-9027-E4DEB7AF2578}" id="{C45EEAE6-79F3-750B-C7AD-2C8E94F115B3}">
    <xltc:text>Verify the official website from current primary evidence before completing the brand.</xltc:text>
  </xltc:threadedComment>
  <xltc:threadedComment ref="M1" dT="2026-07-30T01:29:01.708" personId="{257ED11D-0E94-4EDF-9027-E4DEB7AF2578}" id="{CDE430D7-D25A-5E19-EFB8-2C127816C132}">
    <xltc:text>Use Verified only after Website, Primary Category, Awareness Factor and Amazon Sales Strength have all been checked.</xltc:text>
  </xltc:threadedComment>
</xltc:ThreadedComments>
</file>

<file path=xl/threadedcomments/threadedcomment2.xml><?xml version="1.0" encoding="utf-8"?>
<xltc:ThreadedComments xmlns:xltc="http://schemas.microsoft.com/office/spreadsheetml/2018/threadedcomments">
  <xltc:threadedComment ref="K1" dT="2026-07-30T01:29:01.708" personId="{257ED11D-0E94-4EDF-9027-E4DEB7AF2578}" id="{AACF0558-5ABE-5453-7979-CB4681BF4504}">
    <xltc:text>Formula references the weights in 12_Scoring_Criteria and remains blank until all eight factors are entered.</xltc:text>
  </xltc:threadedComment>
</xltc:ThreadedComments>
</file>

<file path=xl/threadedcomments/threadedcomment3.xml><?xml version="1.0" encoding="utf-8"?>
<xltc:ThreadedComments xmlns:xltc="http://schemas.microsoft.com/office/spreadsheetml/2018/threadedcomments">
  <xltc:threadedComment ref="L1" dT="2026-07-30T01:29:01.708" personId="{257ED11D-0E94-4EDF-9027-E4DEB7AF2578}" id="{7058FC63-C8FB-4BA9-3485-DBC419003735}">
    <xltc:text>Official images may still have reuse restrictions. Record the source and usage terms.</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4955b26ef43945c3" /><Relationship Type="http://schemas.openxmlformats.org/officeDocument/2006/relationships/vmlDrawing" Target="/xl/drawings/vmldrawing.vml" Id="Rb7b5546f2c8c46dc" /><Relationship Type="http://schemas.microsoft.com/office/2017/10/relationships/threadedComment" Target="/xl/threadedcomments/threadedcomment.xml" Id="Rc5ebcf9a9c214de1" /><Relationship Type="http://schemas.openxmlformats.org/officeDocument/2006/relationships/table" Target="/xl/tables/table1.xml" Id="R3c98a067c1884360" /></Relationships>
</file>

<file path=xl/worksheets/_rels/sheet3.xml.rels>&#65279;<?xml version="1.0" encoding="utf-8"?><Relationships xmlns="http://schemas.openxmlformats.org/package/2006/relationships"><Relationship Type="http://schemas.openxmlformats.org/officeDocument/2006/relationships/table" Target="/xl/tables/table2.xml" Id="R867b43743dcf4101" /></Relationships>
</file>

<file path=xl/worksheets/_rels/sheet4.xml.rels>&#65279;<?xml version="1.0" encoding="utf-8"?><Relationships xmlns="http://schemas.openxmlformats.org/package/2006/relationships"><Relationship Type="http://schemas.openxmlformats.org/officeDocument/2006/relationships/comments" Target="/xl/comments2.xml" Id="R19d5788ccc2c4551" /><Relationship Type="http://schemas.openxmlformats.org/officeDocument/2006/relationships/vmlDrawing" Target="/xl/drawings/vmldrawing2.vml" Id="Rb7b77999c6c2494c" /><Relationship Type="http://schemas.microsoft.com/office/2017/10/relationships/threadedComment" Target="/xl/threadedcomments/threadedcomment2.xml" Id="R7fb4c7127fca4d9b" /><Relationship Type="http://schemas.openxmlformats.org/officeDocument/2006/relationships/table" Target="/xl/tables/table3.xml" Id="R9c0cd5101d1d4ff5" /></Relationships>
</file>

<file path=xl/worksheets/_rels/sheet5.xml.rels>&#65279;<?xml version="1.0" encoding="utf-8"?><Relationships xmlns="http://schemas.openxmlformats.org/package/2006/relationships"><Relationship Type="http://schemas.openxmlformats.org/officeDocument/2006/relationships/table" Target="/xl/tables/table4.xml" Id="R0fe253a87c9349d8" /></Relationships>
</file>

<file path=xl/worksheets/_rels/sheet6.xml.rels>&#65279;<?xml version="1.0" encoding="utf-8"?><Relationships xmlns="http://schemas.openxmlformats.org/package/2006/relationships"><Relationship Type="http://schemas.openxmlformats.org/officeDocument/2006/relationships/table" Target="/xl/tables/table5.xml" Id="R73f296c0bd954932" /></Relationships>
</file>

<file path=xl/worksheets/_rels/sheet7.xml.rels>&#65279;<?xml version="1.0" encoding="utf-8"?><Relationships xmlns="http://schemas.openxmlformats.org/package/2006/relationships"><Relationship Type="http://schemas.openxmlformats.org/officeDocument/2006/relationships/table" Target="/xl/tables/table6.xml" Id="Rc695ba7bed2b46eb" /></Relationships>
</file>

<file path=xl/worksheets/_rels/sheet8.xml.rels>&#65279;<?xml version="1.0" encoding="utf-8"?><Relationships xmlns="http://schemas.openxmlformats.org/package/2006/relationships"><Relationship Type="http://schemas.openxmlformats.org/officeDocument/2006/relationships/table" Target="/xl/tables/table7.xml" Id="R89124c6bd97240a0" /></Relationships>
</file>

<file path=xl/worksheets/_rels/sheet9.xml.rels>&#65279;<?xml version="1.0" encoding="utf-8"?><Relationships xmlns="http://schemas.openxmlformats.org/package/2006/relationships"><Relationship Type="http://schemas.openxmlformats.org/officeDocument/2006/relationships/table" Target="/xl/tables/table8.xml" Id="Rcaf73036a1f744d4" /></Relationships>
</file>

<file path=xl/worksheets/_rels/sheet10.xml.rels>&#65279;<?xml version="1.0" encoding="utf-8"?><Relationships xmlns="http://schemas.openxmlformats.org/package/2006/relationships"><Relationship Type="http://schemas.openxmlformats.org/officeDocument/2006/relationships/comments" Target="/xl/comments3.xml" Id="Rae3558bc7555427f" /><Relationship Type="http://schemas.openxmlformats.org/officeDocument/2006/relationships/vmlDrawing" Target="/xl/drawings/vmldrawing3.vml" Id="Raf92c3da683f4bd5" /><Relationship Type="http://schemas.microsoft.com/office/2017/10/relationships/threadedComment" Target="/xl/threadedcomments/threadedcomment3.xml" Id="R8549b700cb6e4ca9" /><Relationship Type="http://schemas.openxmlformats.org/officeDocument/2006/relationships/table" Target="/xl/tables/table9.xml" Id="Rdef001a0662b479f" /></Relationships>
</file>

<file path=xl/worksheets/_rels/sheet11.xml.rels>&#65279;<?xml version="1.0" encoding="utf-8"?><Relationships xmlns="http://schemas.openxmlformats.org/package/2006/relationships"><Relationship Type="http://schemas.openxmlformats.org/officeDocument/2006/relationships/table" Target="/xl/tables/table10.xml" Id="R7ae9d791a7d44f21" /></Relationships>
</file>

<file path=xl/worksheets/_rels/sheet12.xml.rels>&#65279;<?xml version="1.0" encoding="utf-8"?><Relationships xmlns="http://schemas.openxmlformats.org/package/2006/relationships"><Relationship Type="http://schemas.openxmlformats.org/officeDocument/2006/relationships/table" Target="/xl/tables/table11.xml" Id="Rbbbaaeb2e29e4d2b"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3" max="3" width="14" hidden="0" customWidth="1"/>
    <x:col min="4" max="4" width="18" hidden="0" customWidth="1"/>
    <x:col min="5" max="5" width="14" hidden="0" customWidth="1"/>
    <x:col min="6" max="6" width="18" hidden="0" customWidth="1"/>
    <x:col min="7" max="7" width="15" hidden="0" customWidth="1"/>
    <x:col min="8" max="8" width="38" hidden="0" customWidth="1"/>
  </x:cols>
  <x:sheetData>
    <x:row r="1" ht="34" customHeight="1">
      <x:c r="A1" s="4" t="str">
        <x:v>K-Beauty U.S. Sourcing Research Master</x:v>
      </x:c>
      <x:c r="B1" s="4" t="str">
        <x:v>K-Beauty U.S. Sourcing Research Master</x:v>
      </x:c>
      <x:c r="C1" s="4" t="str">
        <x:v>K-Beauty U.S. Sourcing Research Master</x:v>
      </x:c>
      <x:c r="D1" s="4" t="str">
        <x:v>K-Beauty U.S. Sourcing Research Master</x:v>
      </x:c>
      <x:c r="E1" s="4" t="str">
        <x:v>K-Beauty U.S. Sourcing Research Master</x:v>
      </x:c>
      <x:c r="F1" s="4" t="str">
        <x:v>K-Beauty U.S. Sourcing Research Master</x:v>
      </x:c>
      <x:c r="G1" s="4" t="str">
        <x:v>K-Beauty U.S. Sourcing Research Master</x:v>
      </x:c>
      <x:c r="H1" s="4" t="str">
        <x:v>K-Beauty U.S. Sourcing Research Master</x:v>
      </x:c>
    </x:row>
    <x:row r="2" ht="28" customHeight="1">
      <x:c r="A2" s="8" t="str">
        <x:v>Research one brand at a time and move to the next brand only after explicit user approval.</x:v>
      </x:c>
      <x:c r="B2" s="8" t="str">
        <x:v>Research one brand at a time and move to the next brand only after explicit user approval.</x:v>
      </x:c>
      <x:c r="C2" s="8" t="str">
        <x:v>Research one brand at a time and move to the next brand only after explicit user approval.</x:v>
      </x:c>
      <x:c r="D2" s="8" t="str">
        <x:v>Research one brand at a time and move to the next brand only after explicit user approval.</x:v>
      </x:c>
      <x:c r="E2" s="8" t="str">
        <x:v>Research one brand at a time and move to the next brand only after explicit user approval.</x:v>
      </x:c>
      <x:c r="F2" s="8" t="str">
        <x:v>Research one brand at a time and move to the next brand only after explicit user approval.</x:v>
      </x:c>
      <x:c r="G2" s="8" t="str">
        <x:v>Research one brand at a time and move to the next brand only after explicit user approval.</x:v>
      </x:c>
      <x:c r="H2" s="8" t="str">
        <x:v>Research one brand at a time and move to the next brand only after explicit user approval.</x:v>
      </x:c>
    </x:row>
    <x:row r="4">
      <x:c r="A4" s="14" t="str">
        <x:v>Item</x:v>
      </x:c>
      <x:c r="B4" s="14" t="str">
        <x:v>Current Status</x:v>
      </x:c>
      <x:c r="D4" s="14" t="str">
        <x:v>Sequential Approval Workflow</x:v>
      </x:c>
      <x:c r="E4" s="14" t="str">
        <x:v>Sequential Approval Workflow</x:v>
      </x:c>
      <x:c r="F4" s="14" t="str">
        <x:v>Sequential Approval Workflow</x:v>
      </x:c>
      <x:c r="G4" s="14" t="str">
        <x:v>Sequential Approval Workflow</x:v>
      </x:c>
      <x:c r="H4" s="14" t="str">
        <x:v>Sequential Approval Workflow</x:v>
      </x:c>
    </x:row>
    <x:row r="5">
      <x:c r="A5" s="20" t="str">
        <x:v>Total Research Targets</x:v>
      </x:c>
      <x:c r="B5" s="20" t="n">
        <x:v>48</x:v>
      </x:c>
      <x:c r="D5" s="22" t="str">
        <x:v>1. Open input/Top40_KBeauty_Global_Rankings 1.xlsx and identify the lowest unprocessed Source Rank.</x:v>
      </x:c>
      <x:c r="E5" s="22" t="str">
        <x:v>1. Open input/Top40_KBeauty_Global_Rankings 1.xlsx and identify the lowest unprocessed Source Rank.</x:v>
      </x:c>
      <x:c r="F5" s="22" t="str">
        <x:v>1. Open input/Top40_KBeauty_Global_Rankings 1.xlsx and identify the lowest unprocessed Source Rank.</x:v>
      </x:c>
      <x:c r="G5" s="22" t="str">
        <x:v>1. Open input/Top40_KBeauty_Global_Rankings 1.xlsx and identify the lowest unprocessed Source Rank.</x:v>
      </x:c>
      <x:c r="H5" s="22" t="str">
        <x:v>1. Open input/Top40_KBeauty_Global_Rankings 1.xlsx and identify the lowest unprocessed Source Rank.</x:v>
      </x:c>
    </x:row>
    <x:row r="6">
      <x:c r="A6" s="21" t="str">
        <x:v>Ranked Brands</x:v>
      </x:c>
      <x:c r="B6" s="21" t="n">
        <x:v>40</x:v>
      </x:c>
      <x:c r="D6" s="23" t="str">
        <x:v>2. Confirm the same brand and rank in 01_Brand_Master; never reorder brands by popularity or research convenience.</x:v>
      </x:c>
      <x:c r="E6" s="23" t="str">
        <x:v>2. Confirm the same brand and rank in 01_Brand_Master; never reorder brands by popularity or research convenience.</x:v>
      </x:c>
      <x:c r="F6" s="23" t="str">
        <x:v>2. Confirm the same brand and rank in 01_Brand_Master; never reorder brands by popularity or research convenience.</x:v>
      </x:c>
      <x:c r="G6" s="23" t="str">
        <x:v>2. Confirm the same brand and rank in 01_Brand_Master; never reorder brands by popularity or research convenience.</x:v>
      </x:c>
      <x:c r="H6" s="23" t="str">
        <x:v>2. Confirm the same brand and rank in 01_Brand_Master; never reorder brands by popularity or research convenience.</x:v>
      </x:c>
    </x:row>
    <x:row r="7">
      <x:c r="A7" s="21" t="str">
        <x:v>Additional Candidates</x:v>
      </x:c>
      <x:c r="B7" s="21" t="n">
        <x:v>8</x:v>
      </x:c>
      <x:c r="D7" s="23" t="str">
        <x:v>3. Research one brand and verify Website, Primary Category, Awareness Factor and Amazon Sales Strength first.</x:v>
      </x:c>
      <x:c r="E7" s="23" t="str">
        <x:v>3. Research one brand and verify Website, Primary Category, Awareness Factor and Amazon Sales Strength first.</x:v>
      </x:c>
      <x:c r="F7" s="23" t="str">
        <x:v>3. Research one brand and verify Website, Primary Category, Awareness Factor and Amazon Sales Strength first.</x:v>
      </x:c>
      <x:c r="G7" s="23" t="str">
        <x:v>3. Research one brand and verify Website, Primary Category, Awareness Factor and Amazon Sales Strength first.</x:v>
      </x:c>
      <x:c r="H7" s="23" t="str">
        <x:v>3. Research one brand and verify Website, Primary Category, Awareness Factor and Amazon Sales Strength first.</x:v>
      </x:c>
    </x:row>
    <x:row r="8">
      <x:c r="A8" s="21" t="str">
        <x:v>Approved</x:v>
      </x:c>
      <x:c r="B8" s="21" t="n">
        <x:v>19</x:v>
      </x:c>
      <x:c r="D8" s="23" t="str">
        <x:v>4. Write verified findings in the separate Verified fields; preserve all imported Source fields.</x:v>
      </x:c>
      <x:c r="E8" s="23" t="str">
        <x:v>4. Write verified findings in the separate Verified fields; preserve all imported Source fields.</x:v>
      </x:c>
      <x:c r="F8" s="23" t="str">
        <x:v>4. Write verified findings in the separate Verified fields; preserve all imported Source fields.</x:v>
      </x:c>
      <x:c r="G8" s="23" t="str">
        <x:v>4. Write verified findings in the separate Verified fields; preserve all imported Source fields.</x:v>
      </x:c>
      <x:c r="H8" s="23" t="str">
        <x:v>4. Write verified findings in the separate Verified fields; preserve all imported Source fields.</x:v>
      </x:c>
    </x:row>
    <x:row r="9">
      <x:c r="A9" s="21" t="str">
        <x:v>Awaiting Approval</x:v>
      </x:c>
      <x:c r="B9" s="21" t="n">
        <x:v>1</x:v>
      </x:c>
      <x:c r="D9" s="23" t="str">
        <x:v>5. Set the status to Research Complete - Awaiting Approval and stop.</x:v>
      </x:c>
      <x:c r="E9" s="23" t="str">
        <x:v>5. Set the status to Research Complete - Awaiting Approval and stop.</x:v>
      </x:c>
      <x:c r="F9" s="23" t="str">
        <x:v>5. Set the status to Research Complete - Awaiting Approval and stop.</x:v>
      </x:c>
      <x:c r="G9" s="23" t="str">
        <x:v>5. Set the status to Research Complete - Awaiting Approval and stop.</x:v>
      </x:c>
      <x:c r="H9" s="23" t="str">
        <x:v>5. Set the status to Research Complete - Awaiting Approval and stop.</x:v>
      </x:c>
    </x:row>
    <x:row r="10">
      <x:c r="A10" s="21" t="str">
        <x:v>Next Research Target</x:v>
      </x:c>
      <x:c r="B10" s="21" t="str">
        <x:v>Axis-Y</x:v>
      </x:c>
      <x:c r="D10" s="23" t="str">
        <x:v>6. Continue with the next Source Rank only after explicit user approval.</x:v>
      </x:c>
      <x:c r="E10" s="23" t="str">
        <x:v>6. Continue with the next Source Rank only after explicit user approval.</x:v>
      </x:c>
      <x:c r="F10" s="23" t="str">
        <x:v>6. Continue with the next Source Rank only after explicit user approval.</x:v>
      </x:c>
      <x:c r="G10" s="23" t="str">
        <x:v>6. Continue with the next Source Rank only after explicit user approval.</x:v>
      </x:c>
      <x:c r="H10" s="23" t="str">
        <x:v>6. Continue with the next Source Rank only after explicit user approval.</x:v>
      </x:c>
    </x:row>
    <x:row r="11">
      <x:c r="D11" s="23" t="str">
        <x:v>7. Do not begin the eight unranked candidates until all Top 40 brands are complete and the user separately authorizes them.</x:v>
      </x:c>
      <x:c r="E11" s="23" t="str">
        <x:v>7. Do not begin the eight unranked candidates until all Top 40 brands are complete and the user separately authorizes them.</x:v>
      </x:c>
      <x:c r="F11" s="23" t="str">
        <x:v>7. Do not begin the eight unranked candidates until all Top 40 brands are complete and the user separately authorizes them.</x:v>
      </x:c>
      <x:c r="G11" s="23" t="str">
        <x:v>7. Do not begin the eight unranked candidates until all Top 40 brands are complete and the user separately authorizes them.</x:v>
      </x:c>
      <x:c r="H11" s="23" t="str">
        <x:v>7. Do not begin the eight unranked candidates until all Top 40 brands are complete and the user separately authorizes them.</x:v>
      </x:c>
    </x:row>
    <x:row r="13">
      <x:c r="A13" s="14" t="str">
        <x:v>Workbook Structure</x:v>
      </x:c>
      <x:c r="B13" s="14" t="str">
        <x:v>Workbook Structure</x:v>
      </x:c>
      <x:c r="C13" s="14" t="str">
        <x:v>Workbook Structure</x:v>
      </x:c>
      <x:c r="D13" s="14" t="str">
        <x:v>Workbook Structure</x:v>
      </x:c>
      <x:c r="E13" s="14" t="str">
        <x:v>Workbook Structure</x:v>
      </x:c>
      <x:c r="F13" s="14" t="str">
        <x:v>Workbook Structure</x:v>
      </x:c>
      <x:c r="G13" s="14" t="str">
        <x:v>Workbook Structure</x:v>
      </x:c>
      <x:c r="H13" s="14" t="str">
        <x:v>Workbook Structure</x:v>
      </x:c>
    </x:row>
    <x:row r="14">
      <x:c r="A14" s="14" t="str">
        <x:v>Sheet</x:v>
      </x:c>
      <x:c r="B14" s="14" t="str">
        <x:v>Purpose</x:v>
      </x:c>
      <x:c r="C14" s="14" t="str">
        <x:v>Primary Owner</x:v>
      </x:c>
      <x:c r="D14" s="14" t="str">
        <x:v>Editable Before Approval</x:v>
      </x:c>
      <x:c r="E14" s="14" t="str">
        <x:v>Rows per Brand</x:v>
      </x:c>
      <x:c r="F14" s="14" t="str">
        <x:v>Image Support</x:v>
      </x:c>
      <x:c r="G14" s="14" t="str">
        <x:v>Required</x:v>
      </x:c>
      <x:c r="H14" s="14" t="str">
        <x:v>Notes</x:v>
      </x:c>
    </x:row>
    <x:row r="15">
      <x:c r="A15" s="20" t="str">
        <x:v>01_Brand_Master</x:v>
      </x:c>
      <x:c r="B15" s="20" t="str">
        <x:v>Source order, imported fields, verified fields, status and links</x:v>
      </x:c>
      <x:c r="C15" s="20" t="str">
        <x:v>AI / Owner</x:v>
      </x:c>
      <x:c r="D15" s="20" t="str">
        <x:v>Yes</x:v>
      </x:c>
      <x:c r="E15" s="20" t="str">
        <x:v>1</x:v>
      </x:c>
      <x:c r="F15" s="20" t="str">
        <x:v>Hero image link</x:v>
      </x:c>
      <x:c r="G15" s="20" t="str">
        <x:v>Required</x:v>
      </x:c>
      <x:c r="H15" s="20" t="str">
        <x:v>Top 40 first; 8 candidates require separate approval</x:v>
      </x:c>
    </x:row>
    <x:row r="16">
      <x:c r="A16" s="21" t="str">
        <x:v>02_Brand_Summary</x:v>
      </x:c>
      <x:c r="B16" s="21" t="str">
        <x:v>U.S. position, demand, risks, conclusions</x:v>
      </x:c>
      <x:c r="C16" s="21" t="str">
        <x:v>AI</x:v>
      </x:c>
      <x:c r="D16" s="21" t="str">
        <x:v>Yes</x:v>
      </x:c>
      <x:c r="E16" s="21" t="str">
        <x:v>1</x:v>
      </x:c>
      <x:c r="F16" s="21" t="str">
        <x:v>Linked to image sheet</x:v>
      </x:c>
      <x:c r="G16" s="21" t="str">
        <x:v>Required</x:v>
      </x:c>
      <x:c r="H16" s="21" t="str">
        <x:v>Separate facts from estimates</x:v>
      </x:c>
    </x:row>
    <x:row r="17">
      <x:c r="A17" s="21" t="str">
        <x:v>03_Scoring</x:v>
      </x:c>
      <x:c r="B17" s="21" t="str">
        <x:v>Weighted score and recommendation grade</x:v>
      </x:c>
      <x:c r="C17" s="21" t="str">
        <x:v>AI / Approver</x:v>
      </x:c>
      <x:c r="D17" s="21" t="str">
        <x:v>Yes</x:v>
      </x:c>
      <x:c r="E17" s="21" t="str">
        <x:v>1</x:v>
      </x:c>
      <x:c r="F17" s="21" t="str">
        <x:v>No</x:v>
      </x:c>
      <x:c r="G17" s="21" t="str">
        <x:v>Required</x:v>
      </x:c>
      <x:c r="H17" s="21" t="str">
        <x:v>Enter scores from 0 to 10</x:v>
      </x:c>
    </x:row>
    <x:row r="18">
      <x:c r="A18" s="21" t="str">
        <x:v>04_Hero_SKU</x:v>
      </x:c>
      <x:c r="B18" s="21" t="str">
        <x:v>Hero product details</x:v>
      </x:c>
      <x:c r="C18" s="21" t="str">
        <x:v>AI</x:v>
      </x:c>
      <x:c r="D18" s="21" t="str">
        <x:v>Yes</x:v>
      </x:c>
      <x:c r="E18" s="21" t="str">
        <x:v>Multiple</x:v>
      </x:c>
      <x:c r="F18" s="21" t="str">
        <x:v>Image ID</x:v>
      </x:c>
      <x:c r="G18" s="21" t="str">
        <x:v>Required</x:v>
      </x:c>
      <x:c r="H18" s="21" t="str">
        <x:v>Recommended: 3-5 Hero SKUs</x:v>
      </x:c>
    </x:row>
    <x:row r="19">
      <x:c r="A19" s="21" t="str">
        <x:v>05_Channel_Tracking</x:v>
      </x:c>
      <x:c r="B19" s="21" t="str">
        <x:v>Dated Amazon, Walmart, TikTok and retail signals</x:v>
      </x:c>
      <x:c r="C19" s="21" t="str">
        <x:v>AI</x:v>
      </x:c>
      <x:c r="D19" s="21" t="str">
        <x:v>Yes</x:v>
      </x:c>
      <x:c r="E19" s="21" t="str">
        <x:v>Multiple</x:v>
      </x:c>
      <x:c r="F19" s="21" t="str">
        <x:v>Product URL</x:v>
      </x:c>
      <x:c r="G19" s="21" t="str">
        <x:v>Required</x:v>
      </x:c>
      <x:c r="H19" s="21" t="str">
        <x:v>Separate actual data from estimates</x:v>
      </x:c>
    </x:row>
    <x:row r="20">
      <x:c r="A20" s="21" t="str">
        <x:v>06_Competitors</x:v>
      </x:c>
      <x:c r="B20" s="21" t="str">
        <x:v>Direct SKU comparison</x:v>
      </x:c>
      <x:c r="C20" s="21" t="str">
        <x:v>AI</x:v>
      </x:c>
      <x:c r="D20" s="21" t="str">
        <x:v>Yes</x:v>
      </x:c>
      <x:c r="E20" s="21" t="str">
        <x:v>Multiple</x:v>
      </x:c>
      <x:c r="F20" s="21" t="str">
        <x:v>Product URL</x:v>
      </x:c>
      <x:c r="G20" s="21" t="str">
        <x:v>Required</x:v>
      </x:c>
      <x:c r="H20" s="21" t="str">
        <x:v>Compare unit economics</x:v>
      </x:c>
    </x:row>
    <x:row r="21">
      <x:c r="A21" s="21" t="str">
        <x:v>07_Review_Insights</x:v>
      </x:c>
      <x:c r="B21" s="21" t="str">
        <x:v>Reddit, retail and social consumer feedback</x:v>
      </x:c>
      <x:c r="C21" s="21" t="str">
        <x:v>AI</x:v>
      </x:c>
      <x:c r="D21" s="21" t="str">
        <x:v>Yes</x:v>
      </x:c>
      <x:c r="E21" s="21" t="str">
        <x:v>Multiple</x:v>
      </x:c>
      <x:c r="F21" s="21" t="str">
        <x:v>Post URL</x:v>
      </x:c>
      <x:c r="G21" s="21" t="str">
        <x:v>Required</x:v>
      </x:c>
      <x:c r="H21" s="21" t="str">
        <x:v>Record sample and period</x:v>
      </x:c>
    </x:row>
    <x:row r="22">
      <x:c r="A22" s="21" t="str">
        <x:v>08_Source_Log</x:v>
      </x:c>
      <x:c r="B22" s="21" t="str">
        <x:v>Evidence supporting all key claims</x:v>
      </x:c>
      <x:c r="C22" s="21" t="str">
        <x:v>AI</x:v>
      </x:c>
      <x:c r="D22" s="21" t="str">
        <x:v>Yes</x:v>
      </x:c>
      <x:c r="E22" s="21" t="str">
        <x:v>Multiple</x:v>
      </x:c>
      <x:c r="F22" s="21" t="str">
        <x:v>Source URL</x:v>
      </x:c>
      <x:c r="G22" s="21" t="str">
        <x:v>Required</x:v>
      </x:c>
      <x:c r="H22" s="21" t="str">
        <x:v>Record date and confidence</x:v>
      </x:c>
    </x:row>
    <x:row r="23">
      <x:c r="A23" s="21" t="str">
        <x:v>09_Image_Assets</x:v>
      </x:c>
      <x:c r="B23" s="21" t="str">
        <x:v>Logos, products, packaging and screenshots</x:v>
      </x:c>
      <x:c r="C23" s="21" t="str">
        <x:v>AI / Owner</x:v>
      </x:c>
      <x:c r="D23" s="21" t="str">
        <x:v>Yes</x:v>
      </x:c>
      <x:c r="E23" s="21" t="str">
        <x:v>Multiple</x:v>
      </x:c>
      <x:c r="F23" s="21" t="str">
        <x:v>Yes</x:v>
      </x:c>
      <x:c r="G23" s="21" t="str">
        <x:v>Optional</x:v>
      </x:c>
      <x:c r="H23" s="21" t="str">
        <x:v>Record rights and source</x:v>
      </x:c>
    </x:row>
    <x:row r="24">
      <x:c r="A24" s="21" t="str">
        <x:v>10_Vendor_Terms</x:v>
      </x:c>
      <x:c r="B24" s="21" t="str">
        <x:v>MOQ, cost, exclusivity and lead time</x:v>
      </x:c>
      <x:c r="C24" s="21" t="str">
        <x:v>Owner</x:v>
      </x:c>
      <x:c r="D24" s="21" t="str">
        <x:v>Yes</x:v>
      </x:c>
      <x:c r="E24" s="21" t="str">
        <x:v>Multiple</x:v>
      </x:c>
      <x:c r="F24" s="21" t="str">
        <x:v>Document link</x:v>
      </x:c>
      <x:c r="G24" s="21" t="str">
        <x:v>Required before contract</x:v>
      </x:c>
      <x:c r="H24" s="21" t="str">
        <x:v>Protect confidential data</x:v>
      </x:c>
    </x:row>
    <x:row r="25">
      <x:c r="A25" s="21" t="str">
        <x:v>11_Approval_Log</x:v>
      </x:c>
      <x:c r="B25" s="21" t="str">
        <x:v>Approval and revision history</x:v>
      </x:c>
      <x:c r="C25" s="21" t="str">
        <x:v>Approver</x:v>
      </x:c>
      <x:c r="D25" s="21" t="str">
        <x:v>Append only</x:v>
      </x:c>
      <x:c r="E25" s="21" t="str">
        <x:v>Multiple</x:v>
      </x:c>
      <x:c r="F25" s="21" t="str">
        <x:v>No</x:v>
      </x:c>
      <x:c r="G25" s="21" t="str">
        <x:v>Required</x:v>
      </x:c>
      <x:c r="H25" s="21" t="str">
        <x:v>Do not delete prior decisions</x:v>
      </x:c>
    </x:row>
    <x:row r="26">
      <x:c r="A26" s="21" t="str">
        <x:v>12_Scoring_Criteria</x:v>
      </x:c>
      <x:c r="B26" s="21" t="str">
        <x:v>Weights and definitions</x:v>
      </x:c>
      <x:c r="C26" s="21" t="str">
        <x:v>Administrator</x:v>
      </x:c>
      <x:c r="D26" s="21" t="str">
        <x:v>Avoid editing</x:v>
      </x:c>
      <x:c r="E26" s="21" t="str">
        <x:v>Criteria</x:v>
      </x:c>
      <x:c r="F26" s="21" t="str">
        <x:v>No</x:v>
      </x:c>
      <x:c r="G26" s="21" t="str">
        <x:v>Required</x:v>
      </x:c>
      <x:c r="H26" s="21" t="str">
        <x:v>Version changes</x:v>
      </x:c>
    </x:row>
    <x:row r="27">
      <x:c r="A27" s="21" t="str">
        <x:v>13_Execution_Prompt</x:v>
      </x:c>
      <x:c r="B27" s="21" t="str">
        <x:v>Prompt for a new Codex task</x:v>
      </x:c>
      <x:c r="C27" s="21" t="str">
        <x:v>Administrator</x:v>
      </x:c>
      <x:c r="D27" s="21" t="str">
        <x:v>Yes</x:v>
      </x:c>
      <x:c r="E27" s="21" t="str">
        <x:v>N/A</x:v>
      </x:c>
      <x:c r="F27" s="21" t="str">
        <x:v>No</x:v>
      </x:c>
      <x:c r="G27" s="21" t="str">
        <x:v>Required</x:v>
      </x:c>
      <x:c r="H27" s="21" t="str">
        <x:v>Copy all text</x:v>
      </x:c>
    </x:row>
  </x:sheetData>
  <x:mergeCells>
    <x:mergeCell ref="A1:H1"/>
    <x:mergeCell ref="A2:H2"/>
    <x:mergeCell ref="D4:H4"/>
    <x:mergeCell ref="D5:H5"/>
    <x:mergeCell ref="D6:H6"/>
    <x:mergeCell ref="D7:H7"/>
    <x:mergeCell ref="D8:H8"/>
    <x:mergeCell ref="D9:H9"/>
    <x:mergeCell ref="D10:H10"/>
    <x:mergeCell ref="D11:H11"/>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24" hidden="0" customWidth="1"/>
    <x:col min="5" max="5" width="32" hidden="0" customWidth="1"/>
    <x:col min="6" max="6" width="22" hidden="0" customWidth="1"/>
    <x:col min="7" max="7" width="42" hidden="0" customWidth="1"/>
    <x:col min="8" max="8" width="42" hidden="0" customWidth="1"/>
    <x:col min="9" max="9" width="32" hidden="0" customWidth="1"/>
    <x:col min="10" max="10" width="22" hidden="0" customWidth="1"/>
    <x:col min="11" max="11" width="42" hidden="0" customWidth="1"/>
    <x:col min="12" max="12" width="42" hidden="0" customWidth="1"/>
    <x:col min="13" max="13" width="20" hidden="0" customWidth="1"/>
    <x:col min="14" max="14" width="26" hidden="0" customWidth="1"/>
    <x:col min="15" max="15" width="26" hidden="0" customWidth="1"/>
    <x:col min="16" max="16" width="15" hidden="0" customWidth="1"/>
    <x:col min="17" max="17" width="17" hidden="0" customWidth="1"/>
    <x:col min="18" max="18" width="17" hidden="0" customWidth="1"/>
    <x:col min="19" max="19" width="17" hidden="0" customWidth="1"/>
    <x:col min="20" max="20" width="17" hidden="0" customWidth="1"/>
    <x:col min="21" max="21" width="14" hidden="0" customWidth="1"/>
    <x:col min="22" max="22" width="32" hidden="0" customWidth="1"/>
    <x:col min="23" max="23" width="32" hidden="0" customWidth="1"/>
    <x:col min="24" max="24" width="36" hidden="0" customWidth="1"/>
    <x:col min="25" max="25" width="36" hidden="0" customWidth="1"/>
    <x:col min="26" max="26" width="11" hidden="0" customWidth="1"/>
    <x:col min="27" max="27" width="11" hidden="0" customWidth="1"/>
    <x:col min="28" max="28" width="32" hidden="0" customWidth="1"/>
    <x:col min="29" max="29" width="16" hidden="0" customWidth="1"/>
    <x:col min="30" max="30" width="42" hidden="0" customWidth="1"/>
  </x:cols>
  <x:sheetData>
    <x:row r="1">
      <x:c r="A1" s="14" t="str">
        <x:v>Brand_ID</x:v>
      </x:c>
      <x:c r="B1" s="14" t="str">
        <x:v>Research Sequence</x:v>
      </x:c>
      <x:c r="C1" s="14" t="str">
        <x:v>Source Rank</x:v>
      </x:c>
      <x:c r="D1" s="14" t="str">
        <x:v>Brand Name</x:v>
      </x:c>
      <x:c r="E1" s="14" t="str">
        <x:v>Source Website</x:v>
      </x:c>
      <x:c r="F1" s="14" t="str">
        <x:v>Source Primary Category</x:v>
      </x:c>
      <x:c r="G1" s="14" t="str">
        <x:v>Source Awareness Factor</x:v>
      </x:c>
      <x:c r="H1" s="14" t="str">
        <x:v>Source Amazon Sales Strength</x:v>
      </x:c>
      <x:c r="I1" s="14" t="str">
        <x:v>Verified Official Website</x:v>
      </x:c>
      <x:c r="J1" s="14" t="str">
        <x:v>Verified Primary Category</x:v>
      </x:c>
      <x:c r="K1" s="14" t="str">
        <x:v>Verified Awareness Factor</x:v>
      </x:c>
      <x:c r="L1" s="14" t="str">
        <x:v>Verified Amazon Sales Strength</x:v>
      </x:c>
      <x:c r="M1" s="14" t="str">
        <x:v>Core-Field Verification</x:v>
      </x:c>
      <x:c r="N1" s="14" t="str">
        <x:v>Status</x:v>
      </x:c>
      <x:c r="O1" s="14" t="str">
        <x:v>Approval Decision</x:v>
      </x:c>
      <x:c r="P1" s="14" t="str">
        <x:v>Last Research Date</x:v>
      </x:c>
      <x:c r="Q1" s="14" t="str">
        <x:v>Current U.S. Market Score</x:v>
      </x:c>
      <x:c r="R1" s="14" t="str">
        <x:v>U.S. Growth Potential</x:v>
      </x:c>
      <x:c r="S1" s="14" t="str">
        <x:v>Distributor Fit</x:v>
      </x:c>
      <x:c r="T1" s="14" t="str">
        <x:v>Overall Score</x:v>
      </x:c>
      <x:c r="U1" s="14" t="str">
        <x:v>Recommendation Grade</x:v>
      </x:c>
      <x:c r="V1" s="14" t="str">
        <x:v>Hero SKU Summary</x:v>
      </x:c>
      <x:c r="W1" s="14" t="str">
        <x:v>Key U.S. Channels</x:v>
      </x:c>
      <x:c r="X1" s="14" t="str">
        <x:v>Detailed Report Link</x:v>
      </x:c>
      <x:c r="Y1" s="14" t="str">
        <x:v>Hero Image Link</x:v>
      </x:c>
      <x:c r="Z1" s="14" t="str">
        <x:v>Source Count</x:v>
      </x:c>
      <x:c r="AA1" s="14" t="str">
        <x:v>Image Count</x:v>
      </x:c>
      <x:c r="AB1" s="14" t="str">
        <x:v>Next Action</x:v>
      </x:c>
      <x:c r="AC1" s="14" t="str">
        <x:v>Owner</x:v>
      </x:c>
      <x:c r="AD1" s="14" t="str">
        <x:v>Notes</x:v>
      </x:c>
    </x:row>
    <x:row r="2" ht="108" customHeight="1">
      <x:c r="A2" s="20" t="str">
        <x:v>KB001</x:v>
      </x:c>
      <x:c r="B2" s="20" t="n">
        <x:v>1</x:v>
      </x:c>
      <x:c r="C2" s="20" t="n">
        <x:v>1</x:v>
      </x:c>
      <x:c r="D2" s="20" t="str">
        <x:v>COSRX</x:v>
      </x:c>
      <x:c r="E2" s="20" t="str">
        <x:v>https://www.cosrx.com</x:v>
      </x:c>
      <x:c r="F2" s="20" t="str">
        <x:v>Skincare</x:v>
      </x:c>
      <x:c r="G2" s="20" t="str">
        <x:v>Snail mucin essence helped drive the TikTok 'glass skin' trend.</x:v>
      </x:c>
      <x:c r="H2" s="20" t="str">
        <x:v>Reported history of reaching No. 1 in Amazon US Beauty, supported by very high review volume; verify current data.</x:v>
      </x:c>
      <x:c r="I2" s="20" t="str">
        <x:v>https://www.cosrx.com</x:v>
      </x:c>
      <x:c r="J2" s="20" t="str">
        <x:v>Skincare — primarily facial cleansers, toners, essences/serums, moisturizers, spot care/patches, masks and sun care, with limited adjacent categories.</x:v>
      </x:c>
      <x:c r="K2" s="20" t="str">
        <x:v>High U.S. digital awareness verified. The official U.S. TikTok Shop displayed 123.6K+ followers, 1.3M sold and 2,327 videos; @cosrx on Instagram displayed about 780K followers. Snail mucin remains the signature awareness driver, while the 6 Peptide line has added campaign momentum.</x:v>
      </x:c>
      <x:c r="L2" s="20" t="str">
        <x:v>Verified strong and broad Amazon U.S. momentum. On 2026-07-29 the official COSRX seller's Snail Essence listing showed 105,965 reviews, 40K+ bought in the past month, #191 in Beauty &amp; Personal Care and #9 in Facial Serums. Four other hero listings displayed 4K–10K+ monthly-purchase badges and 12K–63K reviews. Corporate and brand sources support a historical Amazon #1 claim; that is not the current rank.</x:v>
      </x:c>
      <x:c r="M2" s="20" t="str">
        <x:v>Verified</x:v>
      </x:c>
      <x:c r="N2" s="20" t="str">
        <x:v>Approved</x:v>
      </x:c>
      <x:c r="O2" s="20" t="str">
        <x:v>Approved</x:v>
      </x:c>
      <x:c r="P2" s="24" t="str">
        <x:v>2026-07-29</x:v>
      </x:c>
      <x:c r="Q2" s="26" t="n">
        <x:f>'03_Scoring'!M2</x:f>
        <x:v>9</x:v>
      </x:c>
      <x:c r="R2" s="26" t="n">
        <x:f>'03_Scoring'!N2</x:f>
        <x:v>8</x:v>
      </x:c>
      <x:c r="S2" s="26" t="n">
        <x:f>'03_Scoring'!O2</x:f>
        <x:v>4</x:v>
      </x:c>
      <x:c r="T2" s="26" t="n">
        <x:f>'03_Scoring'!K2</x:f>
        <x:v>79.25</x:v>
      </x:c>
      <x:c r="U2" s="20" t="str">
        <x:f>'03_Scoring'!L2</x:f>
        <x:v>B</x:v>
      </x:c>
      <x:c r="V2" s="20" t="str">
        <x:v>Advanced Snail 96 Mucin Power Essence; Acne Pimple Master Patch; Low pH Good Morning Gel Cleanser; The 6 Peptide Skin Booster Serum; Advanced Snail 92 All In One Cream.</x:v>
      </x:c>
      <x:c r="W2" s="20" t="str">
        <x:v>Official DTC; Amazon U.S.; TikTok Shop; Ulta; Ulta at Target; Walmart; JCPenney; Urban Outfitters; authorized cross-border retailers.</x:v>
      </x:c>
      <x:c r="X2" s="20" t="str">
        <x:v>See sheets 02_Brand_Summary through 10_Vendor_Terms in this workbook.</x:v>
      </x:c>
      <x:c r="Y2" s="20" t="str">
        <x:v>https://www.cosrx.com/cdn/shop/files/COSRX_150x.png?v=1658313147</x:v>
      </x:c>
      <x:c r="Z2" s="28" t="n">
        <x:f>COUNTIF('08_Source_Log'!$B$2:$B$201,A2)</x:f>
        <x:v>56</x:v>
      </x:c>
      <x:c r="AA2" s="28" t="n">
        <x:f>COUNTIF('09_Image_Assets'!$B$2:$B$201,A2)</x:f>
        <x:v>6</x:v>
      </x:c>
      <x:c r="AB2" s="20" t="str">
        <x:v>Research approved by the user on 2026-07-29. Vendor contact, procurement and commercial commitments remain separate actions requiring authorization.</x:v>
      </x:c>
      <x:c r="AC2" s="20" t="str">
        <x:v>Codex</x:v>
      </x:c>
      <x:c r="AD2" s="20" t="str">
        <x:v>Source columns E:H were preserved without change. Core verification evidence: SRC-COSRX-001 (official website), SRC-COSRX-002 (category), SRC-COSRX-003/SRC-COSRX-004 (awareness), and SRC-COSRX-005 through SRC-COSRX-010 (Amazon strength). Sales displays are platform signals, not audited U.S. revenue.</x:v>
      </x:c>
    </x:row>
    <x:row r="3" ht="120" customHeight="1">
      <x:c r="A3" s="21" t="str">
        <x:v>KB002</x:v>
      </x:c>
      <x:c r="B3" s="21" t="n">
        <x:v>2</x:v>
      </x:c>
      <x:c r="C3" s="21" t="n">
        <x:v>2</x:v>
      </x:c>
      <x:c r="D3" s="21" t="str">
        <x:v>Beauty of Joseon</x:v>
      </x:c>
      <x:c r="E3" s="21" t="str">
        <x:v>https://beautyofjoseon.com</x:v>
      </x:c>
      <x:c r="F3" s="21" t="str">
        <x:v>Skincare / Sun Care</x:v>
      </x:c>
      <x:c r="G3" s="21" t="str">
        <x:v>Viral reviews from international creators highlighted its lightweight organic sunscreen.</x:v>
      </x:c>
      <x:c r="H3" s="21" t="str">
        <x:v>Strong sunscreen-category visibility with sales expanding across skincare; verify current rank and seller.</x:v>
      </x:c>
      <x:c r="I3" s="21" t="str">
        <x:v>https://beautyofjoseon.com</x:v>
      </x:c>
      <x:c r="J3" s="21" t="str">
        <x:v>Skincare — Hanbang-inspired facial skincare led by sun care, serums, eye treatments, moisturizers, cleansers, toners/essences and masks.</x:v>
      </x:c>
      <x:c r="K3" s="21" t="str">
        <x:v>High U.S. awareness verified. Beauty of Joseon's official About page identifies Relief Sun as the product that changed consumer perceptions of sunscreen and reports 700K Instagram followers and 220K TikTok followers. Its official U.S. TikTok Shop displayed 84.6K+ followers and 657.2K sold. Sephora listed 22 Beauty of Joseon products, confirming mainstream specialty-retail presence.</x:v>
      </x:c>
      <x:c r="L3" s="21" t="str">
        <x:v>Verified strong, multi-SKU Amazon U.S. momentum, but not a current sunscreen-category #1 claim. The official seller's Revive Eye Serum displayed 20,037 reviews, 50K+ bought in the past month, #235 in Beauty &amp; Personal Care and #2 in Eye Treatment Serums. Green Plum Cleanser displayed 10K+ monthly purchases; Dynasty Cream and Glow Serum each displayed 6K+. Goodai records a historical #1 U.S. Amazon Sunscreen-category milestone in November 2022. Current sunscreen search results showed material unofficial/ambiguous-listing risk.</x:v>
      </x:c>
      <x:c r="M3" s="21" t="str">
        <x:v>Verified</x:v>
      </x:c>
      <x:c r="N3" s="21" t="str">
        <x:v>Approved</x:v>
      </x:c>
      <x:c r="O3" s="21" t="str">
        <x:v>Approved</x:v>
      </x:c>
      <x:c r="P3" s="25" t="str">
        <x:v>2026-07-29</x:v>
      </x:c>
      <x:c r="Q3" s="27" t="n">
        <x:f>'03_Scoring'!M3</x:f>
        <x:v>9</x:v>
      </x:c>
      <x:c r="R3" s="27" t="n">
        <x:f>'03_Scoring'!N3</x:f>
        <x:v>8.5</x:v>
      </x:c>
      <x:c r="S3" s="27" t="n">
        <x:f>'03_Scoring'!O3</x:f>
        <x:v>4</x:v>
      </x:c>
      <x:c r="T3" s="27" t="n">
        <x:f>'03_Scoring'!K3</x:f>
        <x:v>79.25</x:v>
      </x:c>
      <x:c r="U3" s="21" t="str">
        <x:f>'03_Scoring'!L3</x:f>
        <x:v>B</x:v>
      </x:c>
      <x:c r="V3" s="21" t="str">
        <x:v>Daily Relief Sunscreen SPF 40; Revive Eye Serum: Ginseng + Retinal; Glow Serum: Propolis + Niacinamide; Dynasty Cream; Green Plum Refreshing Cleanser.</x:v>
      </x:c>
      <x:c r="W3" s="21" t="str">
        <x:v>Official DTC; Amazon U.S.; TikTok Shop U.S.; Sephora online/offline; Costco; TJ Maxx; Marshalls; Senti Senti and authorized specialty/cross-border retailers. Walmart U.S. listings observed were third-party marketplace offers, not confirmed on the brand's U.S. authorized list.</x:v>
      </x:c>
      <x:c r="X3" s="21" t="str">
        <x:v>See sheets 02_Brand_Summary through 10_Vendor_Terms in this workbook.</x:v>
      </x:c>
      <x:c r="Y3" s="21" t="str">
        <x:v>https://beautyofjoseon.com/cdn/shop/files/boj_domain.webp?v=1780891480</x:v>
      </x:c>
      <x:c r="Z3" s="29" t="n">
        <x:f>COUNTIF('08_Source_Log'!$B$2:$B$201,A3)</x:f>
        <x:v>46</x:v>
      </x:c>
      <x:c r="AA3" s="29" t="n">
        <x:f>COUNTIF('09_Image_Assets'!$B$2:$B$201,A3)</x:f>
        <x:v>6</x:v>
      </x:c>
      <x:c r="AB3" s="21" t="str">
        <x:v>Research approved by the user on 2026-07-29. Vendor contact, procurement and commercial commitments remain separate actions requiring authorization.</x:v>
      </x:c>
      <x:c r="AC3" s="21" t="str">
        <x:v>Codex</x:v>
      </x:c>
      <x:c r="AD3" s="21" t="str">
        <x:v>Source columns E:H were preserved without change. Core verification evidence: SRC-BOJ-001/SRC-BOJ-002 (website/category), SRC-BOJ-003/SRC-BOJ-004/SRC-BOJ-023 (awareness), and SRC-BOJ-009 through SRC-BOJ-013 (Amazon strength). Purchase badges, ranks, sold displays and reviews are platform signals, not audited revenue.</x:v>
      </x:c>
    </x:row>
    <x:row r="4" ht="128" customHeight="1">
      <x:c r="A4" s="21" t="str">
        <x:v>KB003</x:v>
      </x:c>
      <x:c r="B4" s="21" t="n">
        <x:v>3</x:v>
      </x:c>
      <x:c r="C4" s="21" t="n">
        <x:v>3</x:v>
      </x:c>
      <x:c r="D4" s="21" t="str">
        <x:v>Anua</x:v>
      </x:c>
      <x:c r="E4" s="21" t="str">
        <x:v>https://anua.com</x:v>
      </x:c>
      <x:c r="F4" s="21" t="str">
        <x:v>Skincare</x:v>
      </x:c>
      <x:c r="G4" s="21" t="str">
        <x:v>Heartleaf 77 toner went viral for oil-control and soothing claims.</x:v>
      </x:c>
      <x:c r="H4" s="21" t="str">
        <x:v>Strong toner-category visibility, with cleansing oil and newer products also appearing among best sellers.</x:v>
      </x:c>
      <x:c r="I4" s="21" t="str">
        <x:v>https://anua.com</x:v>
      </x:c>
      <x:c r="J4" s="21" t="str">
        <x:v>Skincare — facial cleansers, cleansing oils, toners/pads, serums, moisturizers, masks, sunscreen and targeted spot/exfoliation care.</x:v>
      </x:c>
      <x:c r="K4" s="21" t="str">
        <x:v>Very high U.S. awareness verified, but the source description is now incomplete. Heartleaf 77 Toner and pore/double-cleansing content created the original viral halo; current demand has broadened to Quercetinol cleansing foam, Niacinamide + TXA, Azelaic Acid, PDRN, sunscreen and routine sets. The official U.S. TikTok Shop displayed 1.3M sold and 171.1K+ followers, Anua is carried across approximately 1,500 Ulta stores, and Kendall Jenner became the brand's first global ambassador in June 2026.</x:v>
      </x:c>
      <x:c r="L4" s="21" t="str">
        <x:v>Verified very strong, diversified Amazon U.S. sales signals. All six sampled ASINs were sold by Anua and in stock: Azelaic Acid Serum showed 70K+ bought/month and #6 Facial Serums; Quercetinol Cleansing Foam 60K+ and #7 Facial Cleansing Washes; Cleansing Oil 50K+ and #1 Makeup Cleansing Oils; Niacinamide + TXA 30K+; Heartleaf 77 Toner 10K+ and #16 Facial Toners; PDRN Serum 8K+. The official toner page's “#1 Bestseller Facial Toner on Amazon” statement did not match the current direct check and is treated as a historical/general claim, not a current rank.</x:v>
      </x:c>
      <x:c r="M4" s="21" t="str">
        <x:v>Verified</x:v>
      </x:c>
      <x:c r="N4" s="21" t="str">
        <x:v>Approved</x:v>
      </x:c>
      <x:c r="O4" s="21" t="str">
        <x:v>Approved</x:v>
      </x:c>
      <x:c r="P4" s="25" t="str">
        <x:v>2026-07-29</x:v>
      </x:c>
      <x:c r="Q4" s="27" t="n">
        <x:f>'03_Scoring'!M4</x:f>
        <x:v>9.5</x:v>
      </x:c>
      <x:c r="R4" s="27" t="n">
        <x:f>'03_Scoring'!N4</x:f>
        <x:v>9</x:v>
      </x:c>
      <x:c r="S4" s="27" t="n">
        <x:f>'03_Scoring'!O4</x:f>
        <x:v>3.5</x:v>
      </x:c>
      <x:c r="T4" s="27" t="n">
        <x:f>'03_Scoring'!K4</x:f>
        <x:v>78</x:v>
      </x:c>
      <x:c r="U4" s="21" t="str">
        <x:f>'03_Scoring'!L4</x:f>
        <x:v>B</x:v>
      </x:c>
      <x:c r="V4" s="21" t="str">
        <x:v>Heartleaf Quercetinol Pore Deep Cleansing Foam; Azelaic Acid 10 Hyaluron Serum; Heartleaf Pore Control Cleansing Oil; Niacinamide 10 + TXA 4 Serum; Heartleaf 77 Soothing Toner. PDRN Hyaluronic Acid Capsule 100 Serum is an emerging growth SKU.</x:v>
      </x:c>
      <x:c r="W4" s="21" t="str">
        <x:v>Official DTC; Amazon U.S.; TikTok Shop U.S.; nationwide Ulta; Olive Young USA/Global; selected Target listings and cross-border K-Beauty retailers. Walmart offers observed were third-party marketplace listings with unconfirmed authorization. U.S. Sephora availability was not verified.</x:v>
      </x:c>
      <x:c r="X4" s="21" t="str">
        <x:v>See sheets 02_Brand_Summary through 10_Vendor_Terms in this workbook.</x:v>
      </x:c>
      <x:c r="Y4" s="21" t="str">
        <x:v>https://anua.com/cdn/shop/files/1200X600_ANUA.jpg?v=1738611627&amp;width=2048</x:v>
      </x:c>
      <x:c r="Z4" s="29" t="n">
        <x:f>COUNTIF('08_Source_Log'!$B$2:$B$201,A4)</x:f>
        <x:v>52</x:v>
      </x:c>
      <x:c r="AA4" s="29" t="n">
        <x:f>COUNTIF('09_Image_Assets'!$B$2:$B$201,A4)</x:f>
        <x:v>6</x:v>
      </x:c>
      <x:c r="AB4" s="21" t="str">
        <x:v>Research approved by the user on 2026-07-30. Vendor contact, procurement and commercial commitments remain separate actions requiring authorization.</x:v>
      </x:c>
      <x:c r="AC4" s="21" t="str">
        <x:v>Codex</x:v>
      </x:c>
      <x:c r="AD4" s="21" t="str">
        <x:v>Source columns E:H were preserved without change. Core verification evidence: SRC-ANUA-001/SRC-ANUA-002 (website/category), SRC-ANUA-003 through SRC-ANUA-006 and SRC-ANUA-021/SRC-ANUA-022 (awareness), and SRC-ANUA-007 through SRC-ANUA-012 (Amazon strength). Platform purchase badges, ranks, followers, sold displays and reviews are dynamic signals, not audited revenue.</x:v>
      </x:c>
    </x:row>
    <x:row r="5" ht="142" customHeight="1">
      <x:c r="A5" s="21" t="str">
        <x:v>KB004</x:v>
      </x:c>
      <x:c r="B5" s="21" t="n">
        <x:v>4</x:v>
      </x:c>
      <x:c r="C5" s="21" t="n">
        <x:v>4</x:v>
      </x:c>
      <x:c r="D5" s="21" t="str">
        <x:v>SKIN1004</x:v>
      </x:c>
      <x:c r="E5" s="21" t="str">
        <x:v>https://skin1004.com</x:v>
      </x:c>
      <x:c r="F5" s="21" t="str">
        <x:v>Skincare</x:v>
      </x:c>
      <x:c r="G5" s="21" t="str">
        <x:v>Madagascar Centella ampoule and sun serum gained attention for texture and application.</x:v>
      </x:c>
      <x:c r="H5" s="21" t="str">
        <x:v>High visibility in serum and sun-care categories with strong recent growth signals.</x:v>
      </x:c>
      <x:c r="I5" s="21" t="str">
        <x:v>https://skin1004.com</x:v>
      </x:c>
      <x:c r="J5" s="21" t="str">
        <x:v>Facial skincare — led by centella ampoules/serums, oil and foam cleansers, moisturizers, toners/pads, masks and a distinct U.S.-compliant OTC sunscreen.</x:v>
      </x:c>
      <x:c r="K5" s="21" t="str">
        <x:v>Very high U.S. awareness verified. Official U.S. TikTok Shop search displays showed 1.0M followers and 1.0M sold; @skin1004official displayed 797K Instagram followers. The brand has an authorized Ulta assortment, Target and marketplace visibility, an official New York flagship, and an official TikTok campaign case study. Madagascar Centella, sensorial sun serum, double cleansing and fast clay-stick content are the principal awareness drivers.</x:v>
      </x:c>
      <x:c r="L5" s="21" t="str">
        <x:v>Verified exceptional, diversified Amazon U.S. strength. Direct checks found the Centella Ampoule at $14.85, 4.7/9,278, 10K+ bought/month and #11 Facial Serums; Light Cleansing Oil at $13.17, 4.6/13,226, 10K+ and #2 Makeup Cleansing Oils; Poremizing Quick Clay Stick at $13.88, 4.6/7,956, 10K+ and #9 Facial Masks; Ampoule Foam at $9.54, 4.7/10,260 and 9K+; and the U.S.-specific SPF 50 sun serum at $18.46, 4.5/1,321 and 30K+. Their rounded purchase badges and prices imply a conservative observed lower bound of at least $1,058,660 per month, not audited revenue.</x:v>
      </x:c>
      <x:c r="M5" s="21" t="str">
        <x:v>Verified</x:v>
      </x:c>
      <x:c r="N5" s="21" t="str">
        <x:v>Approved</x:v>
      </x:c>
      <x:c r="O5" s="21" t="str">
        <x:v>Approved</x:v>
      </x:c>
      <x:c r="P5" s="25" t="str">
        <x:v>2026-07-30</x:v>
      </x:c>
      <x:c r="Q5" s="27" t="n">
        <x:f>'03_Scoring'!M5</x:f>
        <x:v>9.5</x:v>
      </x:c>
      <x:c r="R5" s="27" t="n">
        <x:f>'03_Scoring'!N5</x:f>
        <x:v>9.5</x:v>
      </x:c>
      <x:c r="S5" s="27" t="n">
        <x:f>'03_Scoring'!O5</x:f>
        <x:v>2.5</x:v>
      </x:c>
      <x:c r="T5" s="27" t="n">
        <x:f>'03_Scoring'!K5</x:f>
        <x:v>81</x:v>
      </x:c>
      <x:c r="U5" s="21" t="str">
        <x:f>'03_Scoring'!L5</x:f>
        <x:v>A</x:v>
      </x:c>
      <x:c r="V5" s="21" t="str">
        <x:v>Madagascar Centella Ampoule; Madagascar Centella Light Cleansing Oil; Poremizing Quick Clay Stick Mask; Madagascar Centella Ampoule Foam; U.S.-specific Madagascar Centella Hyalu-Cica Water-Fit Sun Serum UV SPF 50.</x:v>
      </x:c>
      <x:c r="W5" s="21" t="str">
        <x:v>Official global/U.S.-serving DTC with U.S. fulfillment; Amazon U.S.; TikTok Shop U.S.; Instagram; Ulta Beauty; New York flagship; listed U.S. specialty authorized sellers; Target; Walmart marketplace; authorized cross-border retailers.</x:v>
      </x:c>
      <x:c r="X5" s="21" t="str">
        <x:v>See sheets 02_Brand_Summary through 10_Vendor_Terms in this workbook.</x:v>
      </x:c>
      <x:c r="Y5" s="21" t="str">
        <x:v>https://www.skin1004.com/cdn/shop/files/logo_3ce60e3c-e671-45a3-b6b2-1c7f4cd826e5.png?v=1738772075</x:v>
      </x:c>
      <x:c r="Z5" s="29" t="n">
        <x:f>COUNTIF('08_Source_Log'!$B$2:$B$320,A5)</x:f>
        <x:v>52</x:v>
      </x:c>
      <x:c r="AA5" s="29" t="n">
        <x:f>COUNTIF('09_Image_Assets'!$B$2:$B$320,A5)</x:f>
        <x:v>6</x:v>
      </x:c>
      <x:c r="AB5" s="21" t="str">
        <x:v>Research approved by the user on 2026-07-30. Vendor contact, procurement and commercial commitments remain separate actions requiring authorization.</x:v>
      </x:c>
      <x:c r="AC5" s="21" t="str">
        <x:v>Codex</x:v>
      </x:c>
      <x:c r="AD5" s="21" t="str">
        <x:v>Source fields E:H were preserved without change. Core verification evidence: SRC-SKN-001 through SRC-SKN-006 for website/category/awareness and SRC-SKN-013 through SRC-SKN-018 for Amazon strength. The source claim is supported, but the sun-care evidence now depends on a distinct U.S. OTC formula; the global/Korean sunscreen is not officially available for U.S. delivery. Counts, prices, ranks and platform badges are dynamic public signals, not audited sales.</x:v>
      </x:c>
    </x:row>
    <x:row r="6" ht="132" customHeight="1">
      <x:c r="A6" s="21" t="str">
        <x:v>KB005</x:v>
      </x:c>
      <x:c r="B6" s="21" t="n">
        <x:v>5</x:v>
      </x:c>
      <x:c r="C6" s="21" t="n">
        <x:v>5</x:v>
      </x:c>
      <x:c r="D6" s="21" t="str">
        <x:v>Laneige</x:v>
      </x:c>
      <x:c r="E6" s="21" t="str">
        <x:v>https://www.laneige.com</x:v>
      </x:c>
      <x:c r="F6" s="21" t="str">
        <x:v>Skincare / Lip Care</x:v>
      </x:c>
      <x:c r="G6" s="21" t="str">
        <x:v>Lip Sleeping Mask became a global beauty staple and recurring TikTok meme/challenge product.</x:v>
      </x:c>
      <x:c r="H6" s="21" t="str">
        <x:v>Leading lip-care visibility with stable demand across the Lip Sleeping Mask and Water Bank lines.</x:v>
      </x:c>
      <x:c r="I6" s="21" t="str">
        <x:v>https://us.laneige.com</x:v>
      </x:c>
      <x:c r="J6" s="21" t="str">
        <x:v>Facial skincare and lip care — led by lip treatments/sleeping masks, hydration-focused toners, moisturizers, serums, cleansers and overnight masks.</x:v>
      </x:c>
      <x:c r="K6" s="21" t="str">
        <x:v>Very high U.S. awareness verified. Lip Sleeping Mask remains the signature cult hero; the official page identifies LANEIGE as the #1 U.S. lip-treatment brand by dollar and unit sales for 2022–2025 and says one mask sold every two seconds globally in 2025. The official U.S. TikTok Shop displayed 1.2M followers and 650.5K sold, while @laneige_us displayed 1.6M Instagram followers. Sephora, Kohl's and Amazon provide large-scale U.S. prestige visibility.</x:v>
      </x:c>
      <x:c r="L6" s="21" t="str">
        <x:v>Verified very strong and diversified Amazon U.S. demand, but not a current #1 lip-balm rank. Direct checks found Lip Sleeping Mask at 10K+ bought/month, 37,110 reviews and #7 Lip Balms &amp; Moisturizers; Lip Glowy Balm at 9K+, 37,449 reviews and #10; Cream Skin at 2K+ and #22 Facial Toners; Water Bank Cream at 3K+; and Bouncy &amp; Firm Sleeping Mask at 1K+. The five current purchase badges and prices imply a conservative observed lower bound of at least $550,800 per month, not audited revenue.</x:v>
      </x:c>
      <x:c r="M6" s="21" t="str">
        <x:v>Verified</x:v>
      </x:c>
      <x:c r="N6" s="21" t="str">
        <x:v>Approved</x:v>
      </x:c>
      <x:c r="O6" s="21" t="str">
        <x:v>Approved</x:v>
      </x:c>
      <x:c r="P6" s="25" t="str">
        <x:v>2026-07-30</x:v>
      </x:c>
      <x:c r="Q6" s="27" t="n">
        <x:f>'03_Scoring'!M6</x:f>
        <x:v>9.8</x:v>
      </x:c>
      <x:c r="R6" s="27" t="n">
        <x:f>'03_Scoring'!N6</x:f>
        <x:v>9</x:v>
      </x:c>
      <x:c r="S6" s="27" t="n">
        <x:f>'03_Scoring'!O6</x:f>
        <x:v>1.5</x:v>
      </x:c>
      <x:c r="T6" s="27" t="n">
        <x:f>'03_Scoring'!K6</x:f>
        <x:v>74.5</x:v>
      </x:c>
      <x:c r="U6" s="21" t="str">
        <x:f>'03_Scoring'!L6</x:f>
        <x:v>B</x:v>
      </x:c>
      <x:c r="V6" s="21" t="str">
        <x:v>Lip Sleeping Mask; Lip Glowy Balm; Cream Skin Toner &amp; Moisturizer; Water Bank Blue Hyaluronic Cream Moisturizer; Bouncy &amp; Firm Sleeping Mask.</x:v>
      </x:c>
      <x:c r="W6" s="21" t="str">
        <x:v>Official U.S. DTC; Amazon U.S. official brand store/Amazon.com offers; TikTok Shop U.S.; Sephora; Sephora at Kohl's/Kohl's; Aritaum store network; Instagram. Target and Walmart include mixed or third-party marketplace offers that require seller-level authorization checks; Olive Young Global is cross-border.</x:v>
      </x:c>
      <x:c r="X6" s="21" t="str">
        <x:v>See sheets 02_Brand_Summary through 10_Vendor_Terms in this workbook.</x:v>
      </x:c>
      <x:c r="Y6" s="21" t="str">
        <x:v>https://us.laneige.com/cdn/shop/files/URL_Image_02.jpg?v=1724771888</x:v>
      </x:c>
      <x:c r="Z6" s="29" t="n">
        <x:f>COUNTIF('08_Source_Log'!$B$2:$B$260,A6)</x:f>
        <x:v>52</x:v>
      </x:c>
      <x:c r="AA6" s="29" t="n">
        <x:f>COUNTIF('09_Image_Assets'!$B$2:$B$260,A6)</x:f>
        <x:v>6</x:v>
      </x:c>
      <x:c r="AB6" s="21" t="str">
        <x:v>Research approved by the user on 2026-07-30. Vendor contact, procurement and commercial commitments remain separate actions requiring authorization.</x:v>
      </x:c>
      <x:c r="AC6" s="21" t="str">
        <x:v>Codex</x:v>
      </x:c>
      <x:c r="AD6" s="21" t="str">
        <x:v>Source fields E:H were preserved without change. Core verification evidence: SRC-LAN-001 through SRC-LAN-006 (website, category and awareness) and SRC-LAN-011 through SRC-LAN-016 (Amazon strength). Platform purchase badges, ranks, reviews, followers and sold displays are dynamic public signals, not audited U.S. revenue.</x:v>
      </x:c>
    </x:row>
    <x:row r="7" ht="154" customHeight="1">
      <x:c r="A7" s="21" t="str">
        <x:v>KB006</x:v>
      </x:c>
      <x:c r="B7" s="21" t="n">
        <x:v>6</x:v>
      </x:c>
      <x:c r="C7" s="21" t="n">
        <x:v>6</x:v>
      </x:c>
      <x:c r="D7" s="21" t="str">
        <x:v>TIRTIR</x:v>
      </x:c>
      <x:c r="E7" s="21" t="str">
        <x:v>https://tirtir.global</x:v>
      </x:c>
      <x:c r="F7" s="21" t="str">
        <x:v>Makeup</x:v>
      </x:c>
      <x:c r="G7" s="21" t="str">
        <x:v>Mask Fit Red Cushion gained major traction for coverage and an expanded 30-shade range.</x:v>
      </x:c>
      <x:c r="H7" s="21" t="str">
        <x:v>Strong foundation/cushion visibility and a leading position in U.S. K-makeup.</x:v>
      </x:c>
      <x:c r="I7" s="21" t="str">
        <x:v>https://tirtir.global</x:v>
      </x:c>
      <x:c r="J7" s="21" t="str">
        <x:v>Makeup-led K-Beauty — primarily cushion and liquid foundations, concealers, primers, setting sprays, lip color and blush/highlighter, with a meaningful secondary facial-skincare portfolio.</x:v>
      </x:c>
      <x:c r="K7" s="21" t="str">
        <x:v>Exceptional U.S. awareness verified. The official U.S. TikTok Shop displayed 868.9K+ followers, 990.1K sold and 1,065 videos; @tirtir_global displayed 791,387 Instagram followers. Mask Fit Red Cushion expanded from 3 to 40 shades in 2024, won Allure's 2026 Favorite K-Beauty Product Readers' Choice award and remains the signature awareness engine. Mask Fit Makeup Fixer won Allure Best of Beauty 2025, while AI Filter Cushion, Waterproof Setting Spray and Glide &amp; Hide now broaden momentum.</x:v>
      </x:c>
      <x:c r="L7" s="21" t="str">
        <x:v>Verified very strong and diversified Amazon U.S. strength. Direct official-seller checks found Waterproof Setting Spray at $12.75, 4.4/1,416, 20K+ bought/month and #313 Beauty; Milk Skin Toner at $20, 4.6/8,107, 9K+ and #14 Facial Toners; one Red Cushion shade at $18.75, 4.3/7,927, 1K+ and #10 Foundation Makeup; and Ceramic Milk Ampoule at $20, 4.6/2,184 and 3K+. These four non-overlapping sampled signals imply a conservative lower bound of at least $513,750 per month. Makeup Fixer also showed 10K+, but it was excluded from the lower-bound math because Amazon grouped it with the setting-spray family.</x:v>
      </x:c>
      <x:c r="M7" s="21" t="str">
        <x:v>Verified</x:v>
      </x:c>
      <x:c r="N7" s="21" t="str">
        <x:v>Approved</x:v>
      </x:c>
      <x:c r="O7" s="21" t="str">
        <x:v>Approved</x:v>
      </x:c>
      <x:c r="P7" s="25" t="str">
        <x:v>2026-07-30</x:v>
      </x:c>
      <x:c r="Q7" s="27" t="n">
        <x:f>'03_Scoring'!M7</x:f>
        <x:v>9.6</x:v>
      </x:c>
      <x:c r="R7" s="27" t="n">
        <x:f>'03_Scoring'!N7</x:f>
        <x:v>9.8</x:v>
      </x:c>
      <x:c r="S7" s="27" t="n">
        <x:f>'03_Scoring'!O7</x:f>
        <x:v>1.5</x:v>
      </x:c>
      <x:c r="T7" s="27" t="n">
        <x:f>'03_Scoring'!K7</x:f>
        <x:v>80.5</x:v>
      </x:c>
      <x:c r="U7" s="21" t="str">
        <x:f>'03_Scoring'!L7</x:f>
        <x:v>A</x:v>
      </x:c>
      <x:c r="V7" s="21" t="str">
        <x:v>Mask Fit Red Cushion; Mask Fit AI Filter Cushion; Mask Fit Waterproof Setting Spray; Glide &amp; Hide Blurring Concealer; Milk Skin Toner.</x:v>
      </x:c>
      <x:c r="W7" s="21" t="str">
        <x:v>Official U.S.-serving DTC; Amazon U.S.; TikTok Shop U.S.; Instagram; Ulta Beauty; Costco; iHerb; cross-border YesStyle; Walmart marketplace; selected international K-Beauty retailers.</x:v>
      </x:c>
      <x:c r="X7" s="21" t="str">
        <x:v>See sheets 02_Brand_Summary through 10_Vendor_Terms in this workbook.</x:v>
      </x:c>
      <x:c r="Y7" s="21" t="str">
        <x:v>https://tirtir.global/cdn/shop/files/7c24b3d66fee6b80dbb4f1a53861468d.png?v=1780380616</x:v>
      </x:c>
      <x:c r="Z7" s="29" t="n">
        <x:f>COUNTIF('08_Source_Log'!$B$2:$B$320,A7)</x:f>
        <x:v>52</x:v>
      </x:c>
      <x:c r="AA7" s="29" t="n">
        <x:f>COUNTIF('09_Image_Assets'!$B$2:$B$320,A7)</x:f>
        <x:v>6</x:v>
      </x:c>
      <x:c r="AB7" s="21" t="str">
        <x:v>Research approved by the user on 2026-07-30. Vendor contact, procurement and commercial commitments remain separate actions requiring authorization.</x:v>
      </x:c>
      <x:c r="AC7" s="21" t="str">
        <x:v>Codex</x:v>
      </x:c>
      <x:c r="AD7" s="21" t="str">
        <x:v>Source fields E:H were preserved without change. Core verification evidence: SRC-TIR-001 through SRC-TIR-015 for website/category/awareness and SRC-TIR-016 through SRC-TIR-021 for Amazon strength. The source's 30-shade awareness description is outdated: the Red Cushion now has 40 shades. Prices, ranks, followers, sold displays, reviews and purchase badges are dynamic public signals, not audited revenue.</x:v>
      </x:c>
    </x:row>
    <x:row r="8" ht="164" customHeight="1">
      <x:c r="A8" s="21" t="str">
        <x:v>KB007</x:v>
      </x:c>
      <x:c r="B8" s="21" t="n">
        <x:v>7</x:v>
      </x:c>
      <x:c r="C8" s="21" t="n">
        <x:v>7</x:v>
      </x:c>
      <x:c r="D8" s="21" t="str">
        <x:v>VT Cosmetics</x:v>
      </x:c>
      <x:c r="E8" s="21" t="str">
        <x:v>https://vtcosmetics.com</x:v>
      </x:c>
      <x:c r="F8" s="21" t="str">
        <x:v>Skincare</x:v>
      </x:c>
      <x:c r="G8" s="21" t="str">
        <x:v>Reedle Shot went viral for its micro-needle concept, visible-use ritual, and tingling sensation.</x:v>
      </x:c>
      <x:c r="H8" s="21" t="str">
        <x:v>Reedle Shot and cica masks show strong visibility in facial serum and mask categories.</x:v>
      </x:c>
      <x:c r="I8" s="21" t="str">
        <x:v>https://globalvt-cosmetics.com</x:v>
      </x:c>
      <x:c r="J8" s="21" t="str">
        <x:v>Skincare-led K-Beauty — facial boosters/serums, PDRN essences and moisturizers, masks, cleansers, toners/pads, targeted treatment lines and lip care, with an emerging hair/scalp-care extension.</x:v>
      </x:c>
      <x:c r="K8" s="21" t="str">
        <x:v>Very high U.S. awareness verified, and the source description is supported but now incomplete. Reedle Shot's prickly application ritual remains the brand-defining viral engine; the official U.S. TikTok Shop displayed 164.2K+ followers, 361.9K sold and 1,594 videos, while the Reedle Shot Lip Plumper alone displayed 187.9K sold. Ulta carried 36 products, with Reedle Shot 100 at 4.8/535 and PDRN Essence 100 at 4.9/527. Target, Nordstrom, Costco and iHerb confirm broad U.S. reach.</x:v>
      </x:c>
      <x:c r="L8" s="21" t="str">
        <x:v>Verified exceptional and diversified Amazon U.S. strength, with the source claim partly evolved. Direct official-seller checks found Reedle Shot 100 at $20.34, 4.5/12,535, 10K+ bought/month, #746 Beauty and #27 Facial Serums; PDRN Essence 100 at $22.10 subscribe-and-save, 4.6/2,506, 10K+, #2,245 Beauty and #68 Facial Serums; and PDRN Capsule Cream 100 at $20, 10K+, #5,231 Beauty and #145 Face Moisturizers. These three non-overlapping rounded signals imply at least $624,400 per month at observed prices. Current direct evidence is strongest for Reedle and PDRN; a current Amazon-leading rank for the Cica Daily Soothing Mask was not established.</x:v>
      </x:c>
      <x:c r="M8" s="21" t="str">
        <x:v>Verified with Corrections</x:v>
      </x:c>
      <x:c r="N8" s="21" t="str">
        <x:v>Approved</x:v>
      </x:c>
      <x:c r="O8" s="21" t="str">
        <x:v>Approved</x:v>
      </x:c>
      <x:c r="P8" s="25" t="str">
        <x:v>2026-07-30</x:v>
      </x:c>
      <x:c r="Q8" s="27" t="n">
        <x:f>'03_Scoring'!M8</x:f>
        <x:v>9.2</x:v>
      </x:c>
      <x:c r="R8" s="27" t="n">
        <x:f>'03_Scoring'!N8</x:f>
        <x:v>9.5</x:v>
      </x:c>
      <x:c r="S8" s="27" t="n">
        <x:f>'03_Scoring'!O8</x:f>
        <x:v>2</x:v>
      </x:c>
      <x:c r="T8" s="27" t="n">
        <x:f>'03_Scoring'!K8</x:f>
        <x:v>77.25</x:v>
      </x:c>
      <x:c r="U8" s="21" t="str">
        <x:f>'03_Scoring'!L8</x:f>
        <x:v>B</x:v>
      </x:c>
      <x:c r="V8" s="21" t="str">
        <x:v>Reedle Shot 100; PDRN Essence 100; PDRN Capsule Cream 100; Reedle Shot Lip Plumper Expert; Cica Daily Soothing Mask 30 Sheets.</x:v>
      </x:c>
      <x:c r="W8" s="21" t="str">
        <x:v>Official U.S.-serving DTC; Amazon U.S.; TikTok Shop U.S.; Instagram; Ulta Beauty; Target; Nordstrom; Costco; iHerb; Song of Skin; Moida; authorized cross-border K-Beauty retailers; Walmart marketplace.</x:v>
      </x:c>
      <x:c r="X8" s="21" t="str">
        <x:v>See sheets 02_Brand_Summary through 10_Vendor_Terms in this workbook.</x:v>
      </x:c>
      <x:c r="Y8" s="21" t="str">
        <x:v>https://globalvt-cosmetics.com/cdn/shop/files/1vt_cosmetics_logo.svg?v=1729167728&amp;width=600</x:v>
      </x:c>
      <x:c r="Z8" s="29" t="n">
        <x:f>COUNTIF('08_Source_Log'!$B$2:$B$500,A8)</x:f>
        <x:v>52</x:v>
      </x:c>
      <x:c r="AA8" s="29" t="n">
        <x:f>COUNTIF('09_Image_Assets'!$B$2:$B$500,A8)</x:f>
        <x:v>6</x:v>
      </x:c>
      <x:c r="AB8" s="21" t="str">
        <x:v>Research approved by the user on 2026-07-30. Vendor contact, procurement and commercial commitments remain separate actions requiring authorization.</x:v>
      </x:c>
      <x:c r="AC8" s="21" t="str">
        <x:v>Codex</x:v>
      </x:c>
      <x:c r="AD8" s="21" t="str">
        <x:v>Source fields E:H were preserved without change. The controlling website resolves but the current verifiable official hubs are the Korean https://vt-cosmetics.com and the U.S.-serving https://globalvt-cosmetics.com storefront. Core evidence: SRC-VT-001 through SRC-VT-016 for website/category/awareness and SRC-VT-017 through SRC-VT-020 for Amazon strength. Purchase badges, ranks, prices, followers, sold displays and reviews are dynamic public signals, not audited revenue.</x:v>
      </x:c>
    </x:row>
    <x:row r="9" ht="164" customHeight="1">
      <x:c r="A9" s="21" t="str">
        <x:v>KB008</x:v>
      </x:c>
      <x:c r="B9" s="21" t="n">
        <x:v>8</x:v>
      </x:c>
      <x:c r="C9" s="21" t="n">
        <x:v>8</x:v>
      </x:c>
      <x:c r="D9" s="21" t="str">
        <x:v>Round Lab</x:v>
      </x:c>
      <x:c r="E9" s="21" t="str">
        <x:v>https://roundlab.co.kr</x:v>
      </x:c>
      <x:c r="F9" s="21" t="str">
        <x:v>Skincare / Sun Care</x:v>
      </x:c>
      <x:c r="G9" s="21" t="str">
        <x:v>Birch Juice sunscreen and Dokdo toner are frequently recommended for gentle formulas.</x:v>
      </x:c>
      <x:c r="H9" s="21" t="str">
        <x:v>Competes near the top of sunscreen results with Beauty of Joseon; verify current rank and official seller.</x:v>
      </x:c>
      <x:c r="I9" s="21" t="str">
        <x:v>https://roundlab.com</x:v>
      </x:c>
      <x:c r="J9" s="21" t="str">
        <x:v>Skincare-led K-Beauty with a major U.S. OTC sun-care franchise; gentle hydration, cleansing and toning are the core, supported by serums, moisturizers, masks, acne patches and limited hair/body/lip extensions.</x:v>
      </x:c>
      <x:c r="K9" s="21" t="str">
        <x:v>Very high U.S. awareness verified, and the source description is supported but now incomplete. Birch Juice sunscreen and 1025 Dokdo Toner remain core equities; the official U.S. site says the UVLock sunscreen has sold 20M+ worldwide and the Dokdo Toner has reached 2M+ users. The official U.S. TikTok Shop displayed about 74.1K followers, 145.1K sold and 880 videos, while the Camellia Deep Collagen mask alone displayed about 43.3K sold. Ulta carried 27 products and Target displayed 34 results, confirming broad mainstream reach.</x:v>
      </x:c>
      <x:c r="L9" s="21" t="str">
        <x:v>Verified strong Amazon U.S. sales signals, with the source statement corrected. Direct checks found Birch Juice Moisturizing UVLock SPF45 at 4.4/2,100, 10K+ bought/month, #1,255 Beauty and #23 Facial Sunscreens; 1025 Dokdo Toner at 4.7/1,842, 7K+, #5,132 Beauty and #44 Toners; and Mild-Up UVLock SPF50 at 3K+ and #89 Facial Sunscreens. The first two non-overlapping public badges imply a conservative monthly observed-price floor of at least $304,030. No current evidence established overall Amazon sunscreen leadership or a head-to-head No.1 position versus Beauty of Joseon.</x:v>
      </x:c>
      <x:c r="M9" s="21" t="str">
        <x:v>Verified with Corrections</x:v>
      </x:c>
      <x:c r="N9" s="21" t="str">
        <x:v>Approved</x:v>
      </x:c>
      <x:c r="O9" s="21" t="str">
        <x:v>Approved</x:v>
      </x:c>
      <x:c r="P9" s="25" t="str">
        <x:v>2026-07-30</x:v>
      </x:c>
      <x:c r="Q9" s="27" t="n">
        <x:f>'03_Scoring'!M9</x:f>
        <x:v>9.2</x:v>
      </x:c>
      <x:c r="R9" s="27" t="n">
        <x:f>'03_Scoring'!N9</x:f>
        <x:v>9.3</x:v>
      </x:c>
      <x:c r="S9" s="27" t="n">
        <x:f>'03_Scoring'!O9</x:f>
        <x:v>2</x:v>
      </x:c>
      <x:c r="T9" s="27" t="n">
        <x:f>'03_Scoring'!K9</x:f>
        <x:v>76.15</x:v>
      </x:c>
      <x:c r="U9" s="21" t="str">
        <x:f>'03_Scoring'!L9</x:f>
        <x:v>B</x:v>
      </x:c>
      <x:c r="V9" s="21" t="str">
        <x:v>Birch Juice Moisturizing UVLock Sunscreen SPF45; 1025 Dokdo Toner; 1025 Dokdo Cleanser; Birch Moisturizing Cream; Birch Juice Mild-Up UVLock Sunscreen SPF50.</x:v>
      </x:c>
      <x:c r="W9" s="21" t="str">
        <x:v>Official U.S. DTC; Amazon U.S.; TikTok Shop U.S.; Instagram; Ulta Beauty; Target; Costco; iHerb; Olive Young U.S./Global; YesStyle and other authorized cross-border retailers; Walmart marketplace.</x:v>
      </x:c>
      <x:c r="X9" s="21" t="str">
        <x:v>See sheets 02_Brand_Summary through 10_Vendor_Terms in this workbook.</x:v>
      </x:c>
      <x:c r="Y9" s="21" t="str">
        <x:v>https://roundlab.com/cdn/shop/files/Web_banner_2_2e4ecb22-a31e-488d-a5dd-214d706b20bc.png?v=1772852267</x:v>
      </x:c>
      <x:c r="Z9" s="29" t="n">
        <x:f>COUNTIF('08_Source_Log'!$B$2:$B$500,A9)</x:f>
        <x:v>52</x:v>
      </x:c>
      <x:c r="AA9" s="29" t="n">
        <x:f>COUNTIF('09_Image_Assets'!$B$2:$B$500,A9)</x:f>
        <x:v>6</x:v>
      </x:c>
      <x:c r="AB9" s="21" t="str">
        <x:v>Research approved by the user on 2026-07-30. Vendor contact, procurement and commercial commitments remain separate actions requiring authorization.</x:v>
      </x:c>
      <x:c r="AC9" s="21" t="str">
        <x:v>Codex</x:v>
      </x:c>
      <x:c r="AD9" s="21" t="str">
        <x:v>Source fields E:H were preserved without change. The controlling Korean site remains official; https://roundlab.com is the verified U.S. storefront operated by UB Round Lab LLC. Core verification evidence: SRC-RL-001 through SRC-RL-008 for website/category/awareness and SRC-RL-015 through SRC-RL-018 for Amazon strength. Purchase badges, ranks, sold displays, prices and review counts are dynamic public signals, not audited revenue.</x:v>
      </x:c>
    </x:row>
    <x:row r="10" ht="180" customHeight="1">
      <x:c r="A10" s="21" t="str">
        <x:v>KB009</x:v>
      </x:c>
      <x:c r="B10" s="21" t="n">
        <x:v>9</x:v>
      </x:c>
      <x:c r="C10" s="21" t="n">
        <x:v>9</x:v>
      </x:c>
      <x:c r="D10" s="21" t="str">
        <x:v>Mediheal</x:v>
      </x:c>
      <x:c r="E10" s="21" t="str">
        <x:v>https://mediheal.com</x:v>
      </x:c>
      <x:c r="F10" s="21" t="str">
        <x:v>Skincare</x:v>
      </x:c>
      <x:c r="G10" s="21" t="str">
        <x:v>Square toner pads and the brand's established sheet masks generate recurring review content.</x:v>
      </x:c>
      <x:c r="H10" s="21" t="str">
        <x:v>Established share in toner pads and sheet masks with strong Amazon visibility.</x:v>
      </x:c>
      <x:c r="I10" s="21" t="str">
        <x:v>https://mediheal.com</x:v>
      </x:c>
      <x:c r="J10" s="21" t="str">
        <x:v>Skincare led by toner pads and sheet masks, with supporting serums, cleansers, creams, eye patches, spot patches and a U.S.-listed OTC sunscreen.</x:v>
      </x:c>
      <x:c r="K10" s="21" t="str">
        <x:v>Verified and expanded. Mediheal has durable U.S. awareness from its long-running sheet-mask franchise and viral square toner pads. Current evidence includes 110K Instagram followers, 97.6K+ TikTok Shop followers, 32 Ulta products, 24 Target results, a PDRN rollout announced for more than 1,400 Ulta stores, and strong Target purchase badges for sheet masks.</x:v>
      </x:c>
      <x:c r="L10" s="21" t="str">
        <x:v>Verified strong Amazon U.S. sales strength, with the source statement supported but market-share language not independently quantified. Six distinct official-store ASINs showed rounded monthly purchase badges totaling at least 9,100 units and a conservative observed-price floor of at least $163,280 per month. Madecassoside Blemish Pad alone displayed 4K+ bought/month, 4.6/10,184 reviews and seller Mediheal Cos.</x:v>
      </x:c>
      <x:c r="M10" s="21" t="str">
        <x:v>Verified with Clarifications</x:v>
      </x:c>
      <x:c r="N10" s="21" t="str">
        <x:v>Approved</x:v>
      </x:c>
      <x:c r="O10" s="21" t="str">
        <x:v>Approved</x:v>
      </x:c>
      <x:c r="P10" s="25" t="str">
        <x:v>2026-07-31</x:v>
      </x:c>
      <x:c r="Q10" s="27" t="n">
        <x:f>'03_Scoring'!M10</x:f>
        <x:v>9.4</x:v>
      </x:c>
      <x:c r="R10" s="27" t="n">
        <x:f>'03_Scoring'!N10</x:f>
        <x:v>9.2</x:v>
      </x:c>
      <x:c r="S10" s="27" t="n">
        <x:f>'03_Scoring'!O10</x:f>
        <x:v>2.5</x:v>
      </x:c>
      <x:c r="T10" s="27" t="n">
        <x:f>'03_Scoring'!K10</x:f>
        <x:v>79.64999999999999</x:v>
      </x:c>
      <x:c r="U10" s="21" t="str">
        <x:f>'03_Scoring'!L10</x:f>
        <x:v>B</x:v>
      </x:c>
      <x:c r="V10" s="21" t="str">
        <x:v>Madecassoside Blemish Pad; Teatree Trouble Pad; PDRN Lifting Pad; Madecassoside Essential Mask; Madecassoside Moisture Sun Serum.</x:v>
      </x:c>
      <x:c r="W10" s="21" t="str">
        <x:v>Official U.S. DTC; Amazon U.S.; TikTok Shop U.S.; Instagram; Ulta Beauty; Target; Costco; iHerb; Olive Young U.S./Global; Soko Glam; brand-listed Walgreens; Walmart marketplace.</x:v>
      </x:c>
      <x:c r="X10" s="21" t="str">
        <x:v>See sheets 02_Brand_Summary through 10_Vendor_Terms in this workbook.</x:v>
      </x:c>
      <x:c r="Y10" s="21" t="str">
        <x:v>https://mediheal.com/cdn/shop/files/Blue_240202.png?v=1708018400</x:v>
      </x:c>
      <x:c r="Z10" s="29" t="n">
        <x:f>COUNTIF('08_Source_Log'!$B$2:$B$500,A10)</x:f>
        <x:v>52</x:v>
      </x:c>
      <x:c r="AA10" s="29" t="n">
        <x:f>COUNTIF('09_Image_Assets'!$B$2:$B$500,A10)</x:f>
        <x:v>6</x:v>
      </x:c>
      <x:c r="AB10" s="21" t="str">
        <x:v>Research approved by the user on 2026-07-31. Vendor contact, procurement and commercial commitments remain separate actions requiring authorization.</x:v>
      </x:c>
      <x:c r="AC10" s="21" t="str">
        <x:v>Codex</x:v>
      </x:c>
      <x:c r="AD10" s="21" t="str">
        <x:v>Source fields E:H were preserved without change. Core verification evidence: SRC-MED-001 through SRC-MED-006 for website/category/awareness and SRC-MED-022 through SRC-MED-028 for Amazon strength. Purchase badges, sold displays, prices and review counts are dynamic public signals, not audited revenue or market share.</x:v>
      </x:c>
    </x:row>
    <x:row r="11" ht="180" customHeight="1">
      <x:c r="A11" s="21" t="str">
        <x:v>KB010</x:v>
      </x:c>
      <x:c r="B11" s="21" t="n">
        <x:v>10</x:v>
      </x:c>
      <x:c r="C11" s="21" t="n">
        <x:v>10</x:v>
      </x:c>
      <x:c r="D11" s="21" t="str">
        <x:v>Dr.Jart+</x:v>
      </x:c>
      <x:c r="E11" s="21" t="str">
        <x:v>https://www.drjart.com</x:v>
      </x:c>
      <x:c r="F11" s="21" t="str">
        <x:v>Skincare</x:v>
      </x:c>
      <x:c r="G11" s="21" t="str">
        <x:v>Cicapair Tiger Grass Color Correcting Treatment became a major TikTok hit.</x:v>
      </x:c>
      <x:c r="H11" s="21" t="str">
        <x:v>Stable premium skincare demand led by Ceramidin and Cicapair.</x:v>
      </x:c>
      <x:c r="I11" s="21" t="str">
        <x:v>https://www.drjart.com</x:v>
      </x:c>
      <x:c r="J11" s="21" t="str">
        <x:v>Premium dermocosmetic skincare led by Cicapair redness care, Ceramidin barrier care, masks and hydration, with secondary BB/color-correcting makeup and U.S. OTC sunscreen products.</x:v>
      </x:c>
      <x:c r="K11" s="21" t="str">
        <x:v>Verified and expanded. Cicapair's social-media breakthrough is corroborated by the brand's own Amazon-launch announcement, live official-channel demand and large retail/social audiences. Current evidence includes 513K Instagram followers, a verified U.S. TikTok Shop with 94.0K+ followers and 17.1K sold, broad Sephora/Kohl's placement, and current Amazon velocity for the Cicapair color corrector.</x:v>
      </x:c>
      <x:c r="L11" s="21" t="str">
        <x:v>Verified strong and diversified Amazon U.S. demand. Five distinct Amazon.com-sold hero ASINs displayed rounded monthly purchase badges totaling at least 5,400 units and a conservative observed-price floor of at least $188,300 per month. Cicapair led the sampled revenue floor, while Ceramidin, a Cicapair moisturizer, Cryo Rubber and Premium BB all showed meaningful demand.</x:v>
      </x:c>
      <x:c r="M11" s="21" t="str">
        <x:v>Verified and Expanded</x:v>
      </x:c>
      <x:c r="N11" s="21" t="str">
        <x:v>Approved</x:v>
      </x:c>
      <x:c r="O11" s="21" t="str">
        <x:v>Approved</x:v>
      </x:c>
      <x:c r="P11" s="25" t="str">
        <x:v>2026-08-01</x:v>
      </x:c>
      <x:c r="Q11" s="27" t="n">
        <x:f>'03_Scoring'!M11</x:f>
        <x:v>9.4</x:v>
      </x:c>
      <x:c r="R11" s="27" t="n">
        <x:f>'03_Scoring'!N11</x:f>
        <x:v>7.6</x:v>
      </x:c>
      <x:c r="S11" s="27" t="n">
        <x:f>'03_Scoring'!O11</x:f>
        <x:v>0.8</x:v>
      </x:c>
      <x:c r="T11" s="27" t="n">
        <x:f>'03_Scoring'!K11</x:f>
        <x:v>70.65</x:v>
      </x:c>
      <x:c r="U11" s="21" t="str">
        <x:f>'03_Scoring'!L11</x:f>
        <x:v>B</x:v>
      </x:c>
      <x:c r="V11" s="21" t="str">
        <x:v>Cicapair Soothing Color Correcting Treatment SPF 30; Ceramidin Skin Barrier Moisturizing Cream; Cicapair Sensitive Skin Moisturizer; Cryo Rubber Moisturizing Mask; Premium BB Tinted Moisturizer SPF 40.</x:v>
      </x:c>
      <x:c r="W11" s="21" t="str">
        <x:v>Official U.S. DTC; Amazon Premium Beauty; TikTok Shop U.S.; Instagram; Sephora; Sephora at Kohl's; physical stores through the official locator; Target Plus and Walmart third-party marketplaces.</x:v>
      </x:c>
      <x:c r="X11" s="21" t="str">
        <x:v>See sheets 02_Brand_Summary through 10_Vendor_Terms in this workbook.</x:v>
      </x:c>
      <x:c r="Y11" s="21" t="str">
        <x:v>https://www.drjart.com/media/export/cms/FY27/JUL_FY27/DJ_FY27_Premium_Beauty_Balm_HP_Desktop_HeroBanner_v2_dt.jpg</x:v>
      </x:c>
      <x:c r="Z11" s="29" t="n">
        <x:f>COUNTIF('08_Source_Log'!$B$2:$B$5000,A11)</x:f>
        <x:v>52</x:v>
      </x:c>
      <x:c r="AA11" s="29" t="n">
        <x:f>COUNTIF('09_Image_Assets'!$B$2:$B$500,A11)</x:f>
        <x:v>6</x:v>
      </x:c>
      <x:c r="AB11" s="21" t="str">
        <x:v>Research approved by the user on 2026-08-01. Vendor contact, procurement and commercial commitments remain separate actions requiring authorization.</x:v>
      </x:c>
      <x:c r="AC11" s="21" t="str">
        <x:v>Codex</x:v>
      </x:c>
      <x:c r="AD11" s="21" t="str">
        <x:v>Source fields E:H were preserved without change. Core verification evidence: SRC-DJ-001 through SRC-DJ-012 for website/category/awareness and SRC-DJ-020 through SRC-DJ-025 for Amazon strength. Purchase badges, prices, ranks, ratings, reviews, followers and sold displays are dynamic public signals, not audited revenue.</x:v>
      </x:c>
    </x:row>
    <x:row r="12" ht="190" customHeight="1">
      <x:c r="A12" s="21" t="str">
        <x:v>KB011</x:v>
      </x:c>
      <x:c r="B12" s="21" t="n">
        <x:v>11</x:v>
      </x:c>
      <x:c r="C12" s="21" t="n">
        <x:v>11</x:v>
      </x:c>
      <x:c r="D12" s="21" t="str">
        <x:v>Torriden</x:v>
      </x:c>
      <x:c r="E12" s="21" t="str">
        <x:v>https://torriden.us</x:v>
      </x:c>
      <x:c r="F12" s="21" t="str">
        <x:v>Skincare</x:v>
      </x:c>
      <x:c r="G12" s="21" t="str">
        <x:v>Dive-In hyaluronic acid serum is frequently praised for hydration and relief of tightness.</x:v>
      </x:c>
      <x:c r="H12" s="21" t="str">
        <x:v>Consistent serum-category demand and strong repeat-purchase signals; exact ranking requires verification.</x:v>
      </x:c>
      <x:c r="I12" s="21" t="str">
        <x:v>https://torriden.us</x:v>
      </x:c>
      <x:c r="J12" s="21" t="str">
        <x:v>Skincare led by hydration-focused serums, toners, gel creams, sheet masks and cleansers, with secondary ceramide lip care and cica, collagen, vitamin C and men's lines.</x:v>
      </x:c>
      <x:c r="K12" s="21" t="str">
        <x:v>Verified and expanded. DIVE IN Serum is Torriden's main awareness engine. Current U.S. evidence includes an 11-product Sephora assortment, a verified Instagram profile with 172,237 followers, an official TikTok Shop with 90.1K+ followers and 154.2K sold, Amazon demand, Costco placement and Olive Young U.S. visibility. The brand-sourced claim that one in four Korean women owns the serum was not independently verified.</x:v>
      </x:c>
      <x:c r="L12" s="21" t="str">
        <x:v>Verified strong and serum-led. Five distinct TORRIDEN-sold hero ASINs displayed at least 12,600 bought in the past month and a conservative observed-price floor of at least $295,793 per month. DIVE IN Serum alone showed 9K+ bought, #1,841 in Beauty and #56 in Facial Serums. Public data did not verify a repeat-purchase rate or a current No. 1 serum rank; a duplicate cream offer from a third-party seller creates provenance and version risk.</x:v>
      </x:c>
      <x:c r="M12" s="21" t="str">
        <x:v>Verified with Clarifications</x:v>
      </x:c>
      <x:c r="N12" s="21" t="str">
        <x:v>Approved</x:v>
      </x:c>
      <x:c r="O12" s="21" t="str">
        <x:v>Approved</x:v>
      </x:c>
      <x:c r="P12" s="25" t="str">
        <x:v>2026-08-01</x:v>
      </x:c>
      <x:c r="Q12" s="27" t="n">
        <x:f>'03_Scoring'!M12</x:f>
        <x:v>8.8</x:v>
      </x:c>
      <x:c r="R12" s="27" t="n">
        <x:f>'03_Scoring'!N12</x:f>
        <x:v>9</x:v>
      </x:c>
      <x:c r="S12" s="27" t="n">
        <x:f>'03_Scoring'!O12</x:f>
        <x:v>2.5</x:v>
      </x:c>
      <x:c r="T12" s="27" t="n">
        <x:f>'03_Scoring'!K12</x:f>
        <x:v>78.85000000000001</x:v>
      </x:c>
      <x:c r="U12" s="21" t="str">
        <x:f>'03_Scoring'!L12</x:f>
        <x:v>B</x:v>
      </x:c>
      <x:c r="V12" s="21" t="str">
        <x:v>DIVE IN Low Molecular Hyaluronic Acid Serum; DIVE IN Soothing Cream; DIVE IN Toner; DIVE IN Sheet Mask; SOLID IN Ceramide Lip Essence.</x:v>
      </x:c>
      <x:c r="W12" s="21" t="str">
        <x:v>Official U.S. DTC; Amazon U.S.; TikTok Shop U.S.; Instagram; Sephora; Costco; Olive Young U.S.; Walmart Marketplace; cross-border K-Beauty retailers.</x:v>
      </x:c>
      <x:c r="X12" s="21" t="str">
        <x:v>See sheets 02_Brand_Summary through 10_Vendor_Terms in this workbook.</x:v>
      </x:c>
      <x:c r="Y12" s="21" t="str">
        <x:v>https://www.instagram.com/torriden/</x:v>
      </x:c>
      <x:c r="Z12" s="29" t="n">
        <x:f>COUNTIF('08_Source_Log'!$B$2:$B$5000,A12)</x:f>
        <x:v>52</x:v>
      </x:c>
      <x:c r="AA12" s="29" t="n">
        <x:f>COUNTIF('09_Image_Assets'!$B$2:$B$500,A12)</x:f>
        <x:v>6</x:v>
      </x:c>
      <x:c r="AB12" s="21" t="str">
        <x:v>Research approved by the user on 2026-08-01. Vendor contact, procurement and commercial commitments remain separate actions requiring authorization.</x:v>
      </x:c>
      <x:c r="AC12" s="21" t="str">
        <x:v>Codex</x:v>
      </x:c>
      <x:c r="AD12" s="21" t="str">
        <x:v>Source fields E:H were preserved without change. Core verification evidence: SRC-TOR-001 through SRC-TOR-009 for website/category/awareness and SRC-TOR-016 through SRC-TOR-023 for Amazon strength. Purchase badges, prices, ranks, ratings, reviews, followers and sold displays are dynamic public signals, not audited revenue. Source Rank 12 remains untouched.</x:v>
      </x:c>
    </x:row>
    <x:row r="13" ht="120" customHeight="1">
      <x:c r="A13" s="21" t="str">
        <x:v>KB012</x:v>
      </x:c>
      <x:c r="B13" s="21" t="n">
        <x:v>12</x:v>
      </x:c>
      <x:c r="C13" s="21" t="n">
        <x:v>12</x:v>
      </x:c>
      <x:c r="D13" s="21" t="str">
        <x:v>Numbuzin</x:v>
      </x:c>
      <x:c r="E13" s="21" t="str">
        <x:v>https://numbuzin.com</x:v>
      </x:c>
      <x:c r="F13" s="21" t="str">
        <x:v>Skincare</x:v>
      </x:c>
      <x:c r="G13" s="21" t="str">
        <x:v>No. 3 toner and serum gained attention for skin-texture and radiance claims.</x:v>
      </x:c>
      <x:c r="H13" s="21" t="str">
        <x:v>Toner and serum products frequently appear in high-visibility search positions.</x:v>
      </x:c>
      <x:c r="I13" s="21" t="str">
        <x:v>https://us.numbuzin.com</x:v>
      </x:c>
      <x:c r="J13" s="21" t="str">
        <x:v>Skincare — numbered concern-led toners, serums/ampoules, toner pads, cleansers, creams, masks and a U.S. OTC sunscreen.</x:v>
      </x:c>
      <x:c r="K13" s="21" t="str">
        <x:v>Verified and expanded. No. 3 fermented toner/serum built awareness around texture, softness and glow, but the current U.S. halo is broader: No. 5 glutathione/TXA brightening and No. 9 NAD+/PDRN lifting-glow products now lead important Amazon and retail signals. Official channel links, 205K+ Instagram followers and broad U.S. retail placement corroborate substantial awareness; no audited U.S. market share was found.</x:v>
      </x:c>
      <x:c r="L13" s="21" t="str">
        <x:v>Verified strong, with a material correction. Current official-seller Amazon pages showed at least 42,000 units/month across five sampled heroes: No. 9 Essence 20K+, No. 5 Serum 9K+, No. 3 Toner 7K+, No. 9 Toner 5K+ and No. 3 Serum 1K+. Four heroes with observed Amazon prices imply a conservative $754,510 monthly floor. The Source statement's implied current top-10 toner/serum ranking was not supported: sampled category ranks included #33 and #44 in Toners and #56, #86 and #446 in Facial Serums.</x:v>
      </x:c>
      <x:c r="M13" s="21" t="str">
        <x:v>Verified with Clarifications</x:v>
      </x:c>
      <x:c r="N13" s="21" t="str">
        <x:v>Approved</x:v>
      </x:c>
      <x:c r="O13" s="21" t="str">
        <x:v>Approved</x:v>
      </x:c>
      <x:c r="P13" s="25" t="str">
        <x:v>2026-08-01</x:v>
      </x:c>
      <x:c r="Q13" s="27" t="n">
        <x:f>'03_Scoring'!M13</x:f>
        <x:v>9.5</x:v>
      </x:c>
      <x:c r="R13" s="27" t="n">
        <x:f>'03_Scoring'!N13</x:f>
        <x:v>9.4</x:v>
      </x:c>
      <x:c r="S13" s="27" t="n">
        <x:f>'03_Scoring'!O13</x:f>
        <x:v>1.5</x:v>
      </x:c>
      <x:c r="T13" s="27" t="n">
        <x:f>'03_Scoring'!K13</x:f>
        <x:v>80.85000000000001</x:v>
      </x:c>
      <x:c r="U13" s="21" t="str">
        <x:f>'03_Scoring'!L13</x:f>
        <x:v>A</x:v>
      </x:c>
      <x:c r="V13" s="21" t="str">
        <x:v>No. 9 NAD+ BIO Lifting-sil Essence; No. 5+ Glutathione Vitamin Concentrated Serum; No. 3 Super Glowing Essence Toner; No. 9 NAD+ PDRN Essence Toner; No. 3 Skin Softening Serum.</x:v>
      </x:c>
      <x:c r="W13" s="21" t="str">
        <x:v>Official U.S. DTC; Amazon U.S.; TikTok Shop U.S.; Instagram; Ulta; Target; Costco; Walmart Marketplace; Olive Young Global; YesStyle; StyleKorean; Jolse.</x:v>
      </x:c>
      <x:c r="X13" s="21" t="str">
        <x:v>See sheets 02_Brand_Summary through 10_Vendor_Terms in this workbook.</x:v>
      </x:c>
      <x:c r="Y13" s="21" t="str">
        <x:v>https://www.instagram.com/numbuzin_global/</x:v>
      </x:c>
      <x:c r="Z13" s="29" t="n">
        <x:f>COUNTIF('08_Source_Log'!$B$2:$B$5000,A13)</x:f>
        <x:v>52</x:v>
      </x:c>
      <x:c r="AA13" s="29" t="n">
        <x:f>COUNTIF('09_Image_Assets'!$B$2:$B$500,A13)</x:f>
        <x:v>6</x:v>
      </x:c>
      <x:c r="AB13" s="21" t="str">
        <x:v>Research approved by the user on 2026-08-01. Mixsoon research was authorized as the next sequential step. Vendor contact, procurement and commercial commitments remain separate actions requiring authorization.</x:v>
      </x:c>
      <x:c r="AC13" s="21" t="str">
        <x:v>Codex</x:v>
      </x:c>
      <x:c r="AD13" s="21" t="str">
        <x:v>Source fields E:H remain unchanged. Numbuzin research was completed in workbook v15 and approved/carried forward in workbook v16. Dynamic marketplace signals remain non-audited, and no commercial action was taken.</x:v>
      </x:c>
    </x:row>
    <x:row r="14" ht="126" customHeight="1">
      <x:c r="A14" s="21" t="str">
        <x:v>KB013</x:v>
      </x:c>
      <x:c r="B14" s="21" t="n">
        <x:v>13</x:v>
      </x:c>
      <x:c r="C14" s="21" t="n">
        <x:v>13</x:v>
      </x:c>
      <x:c r="D14" s="21" t="str">
        <x:v>Mixsoon</x:v>
      </x:c>
      <x:c r="E14" s="21" t="str">
        <x:v>https://mixsoon.com</x:v>
      </x:c>
      <x:c r="F14" s="21" t="str">
        <x:v>Skincare</x:v>
      </x:c>
      <x:c r="G14" s="21" t="str">
        <x:v>Bean Essence drew attention for its unusual texture and pore/sebum-focused demonstrations.</x:v>
      </x:c>
      <x:c r="H14" s="21" t="str">
        <x:v>Bean Essence shows rising best-seller visibility and growth signals.</x:v>
      </x:c>
      <x:c r="I14" s="21" t="str">
        <x:v>https://mixsoon.us</x:v>
      </x:c>
      <x:c r="J14" s="21" t="str">
        <x:v>Skincare — fermented essences/serums, toners, cleansers, moisturizers, masks/eye patches, lip care and adjacent sun/tinted products.</x:v>
      </x:c>
      <x:c r="K14" s="21" t="str">
        <x:v>Verified and expanded. Bean Essence remains the legacy viral hero through its elastic texture and massage/exfoliation demonstrations, but current awareness is broader: Bean Cream, high-value Glacier Water Hyaluronic Acid Serum, routine sets, sunscreen and PDRN/tinted products now contribute. Official TikTok Shop displayed approximately 358K followers, 586K cumulative units sold and multiple products/sets above 10K–70K sold; Ulta listed 33 Mixsoon products. These are dynamic platform signals, not audited U.S.-only market share.</x:v>
      </x:c>
      <x:c r="L14" s="21" t="str">
        <x:v>Verified strong with clarification. Four sampled official-seller Amazon ASINs displayed at least 13,000 combined monthly purchases: Bean Essence 50 mL 6K+, Bean Essence 30 mL 1K+, Bean Cream 5K+ and Glacier Water Hyaluronic Acid Serum 1K+. Observed prices imply a conservative $284,290 monthly floor. Current sampled category ranks were #104–#222, so strength is substantial but not category-leading.</x:v>
      </x:c>
      <x:c r="M14" s="21" t="str">
        <x:v>Verified with Clarifications</x:v>
      </x:c>
      <x:c r="N14" s="21" t="str">
        <x:v>Approved</x:v>
      </x:c>
      <x:c r="O14" s="21" t="str">
        <x:v>Approved</x:v>
      </x:c>
      <x:c r="P14" s="25" t="str">
        <x:v>2026-08-01</x:v>
      </x:c>
      <x:c r="Q14" s="27" t="n">
        <x:f>'03_Scoring'!M14</x:f>
        <x:v>9</x:v>
      </x:c>
      <x:c r="R14" s="27" t="n">
        <x:f>'03_Scoring'!N14</x:f>
        <x:v>9.4</x:v>
      </x:c>
      <x:c r="S14" s="27" t="n">
        <x:f>'03_Scoring'!O14</x:f>
        <x:v>1.5</x:v>
      </x:c>
      <x:c r="T14" s="27" t="n">
        <x:f>'03_Scoring'!K14</x:f>
        <x:v>77.8</x:v>
      </x:c>
      <x:c r="U14" s="21" t="str">
        <x:f>'03_Scoring'!L14</x:f>
        <x:v>B</x:v>
      </x:c>
      <x:c r="V14" s="21" t="str">
        <x:v>Bean Essence 50 mL; Bean Cream 50 mL; Glacier Water Hyaluronic Acid Serum 300 mL; Bean Cleansing Oil 195 mL; PDRN Collagen Tinted Moisturizer 50 mL.</x:v>
      </x:c>
      <x:c r="W14" s="21" t="str">
        <x:v>Official U.S. DTC; Amazon U.S.; TikTok Shop U.S.; Instagram; Ulta; Walmart; Costco; TJX; YesStyle; Stylevana; StyleKorean; Jolse; Coreelle.</x:v>
      </x:c>
      <x:c r="X14" s="21" t="str">
        <x:v>See sheets 02_Brand_Summary through 10_Vendor_Terms in this workbook.</x:v>
      </x:c>
      <x:c r="Y14" s="21" t="str">
        <x:v>https://www.instagram.com/mixsoon_us/</x:v>
      </x:c>
      <x:c r="Z14" s="29" t="n">
        <x:f>COUNTIF('08_Source_Log'!$B$2:$B$5000,A14)</x:f>
        <x:v>52</x:v>
      </x:c>
      <x:c r="AA14" s="29" t="n">
        <x:f>COUNTIF('09_Image_Assets'!$B$2:$B$500,A14)</x:f>
        <x:v>6</x:v>
      </x:c>
      <x:c r="AB14" s="21" t="str">
        <x:v>Research approved by the user on 2026-08-01. Source Rank 14, d'Alba, was authorized as the next sequential step. Vendor contact, procurement and commercial commitments remain separate actions requiring authorization.</x:v>
      </x:c>
      <x:c r="AC14" s="21" t="str">
        <x:v>Codex</x:v>
      </x:c>
      <x:c r="AD14" s="21" t="str">
        <x:v>Source fields E:H remain unchanged. Mixsoon research was completed in workbook v16 and approved/carried forward in workbook v17. Dynamic marketplace signals remain non-audited, and no commercial action was taken.</x:v>
      </x:c>
    </x:row>
    <x:row r="15" ht="132" customHeight="1">
      <x:c r="A15" s="21" t="str">
        <x:v>KB014</x:v>
      </x:c>
      <x:c r="B15" s="21" t="n">
        <x:v>14</x:v>
      </x:c>
      <x:c r="C15" s="21" t="n">
        <x:v>14</x:v>
      </x:c>
      <x:c r="D15" s="21" t="str">
        <x:v>d'Alba</x:v>
      </x:c>
      <x:c r="E15" s="21" t="str">
        <x:v>https://dalba.co.kr</x:v>
      </x:c>
      <x:c r="F15" s="21" t="str">
        <x:v>Skincare</x:v>
      </x:c>
      <x:c r="G15" s="21" t="str">
        <x:v>White Truffle First Spray Serum is widely known through the 'flight attendant mist' story.</x:v>
      </x:c>
      <x:c r="H15" s="21" t="str">
        <x:v>Strong premium mist/serum demand; exact Amazon performance requires verification.</x:v>
      </x:c>
      <x:c r="I15" s="21" t="str">
        <x:v>https://dalba.com</x:v>
      </x:c>
      <x:c r="J15" s="21" t="str">
        <x:v>Skincare — spray serums/mists, serums, moisturizers, sunscreens, toners, cleansers, masks, and adjacent hair/body care.</x:v>
      </x:c>
      <x:c r="K15" s="21" t="str">
        <x:v>Verified and expanded. d'Alba Global's IR materials confirm the First Spray Serum became known as the 'Flight Attendant Mist.' Current U.S. awareness is much broader: the brand claims 50 million First Spray Serum bottles sold globally; the official U.S. TikTok Shop displayed 129.8K+ followers and 93.8K cumulative sold; Ulta listed 24 products; Costco carries a club-size First Spray Serum; and celebrity/editorial use reinforces the glow/makeup-prep story. Brand claims and platform counts are dynamic and are not audited U.S. market share.</x:v>
      </x:c>
      <x:c r="L15" s="21" t="str">
        <x:v>Verified exceptional with clarification. Five distinct official-seller Amazon ASINs displayed at least 68,500 combined monthly purchases: First Spray Serum 40K+, Multi Balm 20K+, Intensive Volufiline Grinding Cream 7K+, Vital Spray Serum 1K+, and Double Layer Revitalizing Serum 500+. Observed prices imply a conservative $1,528,815 monthly floor. This is a public marketplace proxy, not audited revenue or total U.S. sales.</x:v>
      </x:c>
      <x:c r="M15" s="21" t="str">
        <x:v>Verified with Clarifications</x:v>
      </x:c>
      <x:c r="N15" s="21" t="str">
        <x:v>Approved</x:v>
      </x:c>
      <x:c r="O15" s="21" t="str">
        <x:v>Approved</x:v>
      </x:c>
      <x:c r="P15" s="25" t="str">
        <x:v>2026-08-01</x:v>
      </x:c>
      <x:c r="Q15" s="27" t="n">
        <x:f>'03_Scoring'!M15</x:f>
        <x:v>9.4</x:v>
      </x:c>
      <x:c r="R15" s="27" t="n">
        <x:f>'03_Scoring'!N15</x:f>
        <x:v>9.6</x:v>
      </x:c>
      <x:c r="S15" s="27" t="n">
        <x:f>'03_Scoring'!O15</x:f>
        <x:v>1.5</x:v>
      </x:c>
      <x:c r="T15" s="27" t="n">
        <x:f>'03_Scoring'!K15</x:f>
        <x:v>78.75</x:v>
      </x:c>
      <x:c r="U15" s="21" t="str">
        <x:f>'03_Scoring'!L15</x:f>
        <x:v>B</x:v>
      </x:c>
      <x:c r="V15" s="21" t="str">
        <x:v>White Truffle First Spray Serum 100 mL; Double Serum All In One Multi Balm 10 g; Intensive Volufiline Grinding Cream 45 g; White Truffle Vital Spray Serum 100 mL; Waterfull Tone-Up Sunscreen SPF 50+ 50 mL.</x:v>
      </x:c>
      <x:c r="W15" s="21" t="str">
        <x:v>Official DTC; Amazon U.S.; TikTok Shop U.S.; Instagram; Ulta; Costco; iHerb; Walmart marketplace; YesStyle; Olive Young Global; Jolse.</x:v>
      </x:c>
      <x:c r="X15" s="21" t="str">
        <x:v>See sheets 02_Brand_Summary through 10_Vendor_Terms in this workbook.</x:v>
      </x:c>
      <x:c r="Y15" s="21" t="str">
        <x:v>https://www.instagram.com/dalba_global/</x:v>
      </x:c>
      <x:c r="Z15" s="29" t="n">
        <x:f>COUNTIF('08_Source_Log'!$B$2:$B$5000,A15)</x:f>
        <x:v>52</x:v>
      </x:c>
      <x:c r="AA15" s="29" t="n">
        <x:f>COUNTIF('09_Image_Assets'!$B$2:$B$500,A15)</x:f>
        <x:v>6</x:v>
      </x:c>
      <x:c r="AB15" s="21" t="str">
        <x:v>Research approved by the user on 2026-08-01. Source Rank 15, SOME BY MI, was authorized as the next sequential step. Vendor contact, procurement and commercial commitments remain separate actions requiring authorization.</x:v>
      </x:c>
      <x:c r="AC15" s="21" t="str">
        <x:v>Codex</x:v>
      </x:c>
      <x:c r="AD15" s="21" t="str">
        <x:v>Source fields E:H remain unchanged. d'Alba research was completed in workbook v17 and approved/carried forward in workbook v18. Dynamic marketplace signals remain non-audited, and no commercial action was taken.</x:v>
      </x:c>
    </x:row>
    <x:row r="16" ht="138" customHeight="1">
      <x:c r="A16" s="21" t="str">
        <x:v>KB015</x:v>
      </x:c>
      <x:c r="B16" s="21" t="n">
        <x:v>15</x:v>
      </x:c>
      <x:c r="C16" s="21" t="n">
        <x:v>15</x:v>
      </x:c>
      <x:c r="D16" s="21" t="str">
        <x:v>SOME BY MI</x:v>
      </x:c>
      <x:c r="E16" s="21" t="str">
        <x:v>https://somebymi.com</x:v>
      </x:c>
      <x:c r="F16" s="21" t="str">
        <x:v>Skincare</x:v>
      </x:c>
      <x:c r="G16" s="21" t="str">
        <x:v>30 Days Miracle AHA-BHA-PHA toner spread through acne-care before-and-after content.</x:v>
      </x:c>
      <x:c r="H16" s="21" t="str">
        <x:v>Long-running visibility in acne-care products with substantial global sales claims requiring source validation.</x:v>
      </x:c>
      <x:c r="I16" s="21" t="str">
        <x:v>https://somebymi.com</x:v>
      </x:c>
      <x:c r="J16" s="21" t="str">
        <x:v>Skincare — acne/blemish and exfoliation, body care, retinol/anti-aging, brightening, pore care, sunscreen, and hair/scalp care.</x:v>
      </x:c>
      <x:c r="K16" s="21" t="str">
        <x:v>Verified and expanded. The 30 Days Miracle AHA-BHA-PHA line remains the legacy awareness anchor, supported by a 4.6/35,219 iHerb toner page and 5K+ Amazon monthly badge. Current U.S. momentum has shifted toward body acne/body care: the official TikTok Shop displayed 320.4K+ followers, 268.9K cumulative sold and 2,049 videos, led by the Acne Clear Body Cleanser at 83.8K sold. Ulta displayed 27 products. Source before-and-after virality was not independently quantified.</x:v>
      </x:c>
      <x:c r="L16" s="21" t="str">
        <x:v>Verified strong with clarification. Five distinct official-seller Amazon ASINs displayed at least 20,000 combined monthly purchases: Body Cleanser 10K+, Miracle Toner 5K+, Acne Clear Foam 3K+, Miracle Cream 1K+, and Retinol Serum 1K+. Observed one-time prices imply a conservative $359,300 monthly floor. The source claim about global cumulative category leadership was not independently audited; this finding verifies current U.S. marketplace strength instead.</x:v>
      </x:c>
      <x:c r="M16" s="21" t="str">
        <x:v>Verified with Clarifications</x:v>
      </x:c>
      <x:c r="N16" s="21" t="str">
        <x:v>Approved</x:v>
      </x:c>
      <x:c r="O16" s="21" t="str">
        <x:v>Approved</x:v>
      </x:c>
      <x:c r="P16" s="25" t="str">
        <x:v>2026-08-01</x:v>
      </x:c>
      <x:c r="Q16" s="27" t="n">
        <x:f>'03_Scoring'!M16</x:f>
        <x:v>9.2</x:v>
      </x:c>
      <x:c r="R16" s="27" t="n">
        <x:f>'03_Scoring'!N16</x:f>
        <x:v>9.3</x:v>
      </x:c>
      <x:c r="S16" s="27" t="n">
        <x:f>'03_Scoring'!O16</x:f>
        <x:v>1.8</x:v>
      </x:c>
      <x:c r="T16" s="27" t="n">
        <x:f>'03_Scoring'!K16</x:f>
        <x:v>79</x:v>
      </x:c>
      <x:c r="U16" s="21" t="str">
        <x:f>'03_Scoring'!L16</x:f>
        <x:v>B</x:v>
      </x:c>
      <x:c r="V16" s="21" t="str">
        <x:v>AHA BHA PHA 30 Days Miracle Acne Clear Body Cleanser 400 g; 30 Days Miracle Toner 150 mL; 30 Days Miracle Acne Clear Foam 100 g; 30 Days Miracle Cream 60 g; Retinol Intense Reactivating Serum 30 mL.</x:v>
      </x:c>
      <x:c r="W16" s="21" t="str">
        <x:v>Official HQ site; Amazon U.S.; TikTok Shop U.S.; Instagram U.S.; Ulta; Target Plus; Costco authorization; iHerb; Walmart; YesStyle; Olive Young Global; Jolse.</x:v>
      </x:c>
      <x:c r="X16" s="21" t="str">
        <x:v>See sheets 02_Brand_Summary through 10_Vendor_Terms in this workbook.</x:v>
      </x:c>
      <x:c r="Y16" s="21" t="str">
        <x:v>https://www.instagram.com/somebymi.official_us/</x:v>
      </x:c>
      <x:c r="Z16" s="29" t="n">
        <x:f>COUNTIF('08_Source_Log'!$B$2:$B$5000,A16)</x:f>
        <x:v>52</x:v>
      </x:c>
      <x:c r="AA16" s="29" t="n">
        <x:f>COUNTIF('09_Image_Assets'!$B$2:$B$500,A16)</x:f>
        <x:v>6</x:v>
      </x:c>
      <x:c r="AB16" s="21" t="str">
        <x:v>Research approved by the user on 2026-08-01. Source Rank 16, Isntree, was authorized as the next sequential step. Vendor contact, procurement and commercial commitments remain separate actions requiring authorization.</x:v>
      </x:c>
      <x:c r="AC16" s="21" t="str">
        <x:v>Codex</x:v>
      </x:c>
      <x:c r="AD16" s="21" t="str">
        <x:v>Source fields E:H remain unchanged. SOME BY MI research was completed in workbook v18 and approved/carried forward in workbook v19. Dynamic marketplace signals remain non-audited, and no commercial action was taken.</x:v>
      </x:c>
    </x:row>
    <x:row r="17" ht="145" customHeight="1">
      <x:c r="A17" s="21" t="str">
        <x:v>KB016</x:v>
      </x:c>
      <x:c r="B17" s="21" t="n">
        <x:v>16</x:v>
      </x:c>
      <x:c r="C17" s="21" t="n">
        <x:v>16</x:v>
      </x:c>
      <x:c r="D17" s="21" t="str">
        <x:v>Isntree</x:v>
      </x:c>
      <x:c r="E17" s="21" t="str">
        <x:v>https://isntree.com</x:v>
      </x:c>
      <x:c r="F17" s="21" t="str">
        <x:v>Skincare / Sun Care</x:v>
      </x:c>
      <x:c r="G17" s="21" t="str">
        <x:v>Hyaluronic Acid Watery Sun Gel and Onion Newpair line receive ingredient-focused recommendations.</x:v>
      </x:c>
      <x:c r="H17" s="21" t="str">
        <x:v>Sustained visibility in clean-beauty sun care with a loyal customer base.</x:v>
      </x:c>
      <x:c r="I17" s="21" t="str">
        <x:v>https://isntree.com (official HQ); https://isntree-global.com (official global DTC)</x:v>
      </x:c>
      <x:c r="J17" s="21" t="str">
        <x:v>Skincare and sun care — hydration/hyaluronic acid, green-tea oil-balance care, moisturizers, cleansers, exfoliation, onion/brightening care, masks and U.S. OTC sunscreens.</x:v>
      </x:c>
      <x:c r="K17" s="21" t="str">
        <x:v>Verified with qualification. Isntree has an established ingredient-led niche: founded in 2009 after an ingredient-information blog, U.S. entry in 2017, historical 2020 Amazon's Choice recognition for Hyaluronic Acid Toner, Watery Sun Gel and Green Tea Fresh Toner, an official social hub promoting a 200K milestone, and substantial Amazon/iHerb review bases. The Watery Sun Gel and Onion Newpair lines are recognizable, but no independent U.S. study quantified ingredient-analyst recommendations or broad mass-market awareness.</x:v>
      </x:c>
      <x:c r="L17" s="21" t="str">
        <x:v>Strong current U.S. Amazon demand, but the source's sustained top-ranking language requires qualification. Five official-seller ASINs displayed at least 8,100 combined monthly purchases and a conservative $133,930 monthly sales floor at observed prices. Daily Sun Gel led at 5K+ bought/month, $15.90, 4.6/1,021 and #63 Facial Sunscreens. That is meaningful velocity, not a current category-leading rank, and the estimate is not audited revenue.</x:v>
      </x:c>
      <x:c r="M17" s="21" t="str">
        <x:v>Conflicting Evidence</x:v>
      </x:c>
      <x:c r="N17" s="21" t="str">
        <x:v>Approved</x:v>
      </x:c>
      <x:c r="O17" s="21" t="str">
        <x:v>Approved</x:v>
      </x:c>
      <x:c r="P17" s="25" t="str">
        <x:v>2026-08-01</x:v>
      </x:c>
      <x:c r="Q17" s="27" t="n">
        <x:f>'03_Scoring'!M17</x:f>
        <x:v>8</x:v>
      </x:c>
      <x:c r="R17" s="27" t="n">
        <x:f>'03_Scoring'!N17</x:f>
        <x:v>7.8</x:v>
      </x:c>
      <x:c r="S17" s="27" t="n">
        <x:f>'03_Scoring'!O17</x:f>
        <x:v>4.2</x:v>
      </x:c>
      <x:c r="T17" s="27" t="n">
        <x:f>'03_Scoring'!K17</x:f>
        <x:v>76.3</x:v>
      </x:c>
      <x:c r="U17" s="21" t="str">
        <x:f>'03_Scoring'!L17</x:f>
        <x:v>B</x:v>
      </x:c>
      <x:c r="V17" s="21" t="str">
        <x:v>Hyaluronic Acid Daily Sun Gel SPF 30; Green Tea Fresh Toner 200 mL; Ultra-Low Molecular Hyaluronic Acid Serum 50 mL; Hyaluronic Acid Aqua Gel Cream 100 mL; Yam Root Vegan Milk Cleanser 220 mL.</x:v>
      </x:c>
      <x:c r="W17" s="21" t="str">
        <x:v>Official HQ/global DTC; Amazon U.S.; TikTok Shop U.S.; Instagram; iHerb; Soko Glam; Target Plus; Walmart marketplace; YesStyle; Stylevana; StyleKorean; Jolse; historical/uncertain Ulta relationship.</x:v>
      </x:c>
      <x:c r="X17" s="21" t="str">
        <x:v>See sheets 02_Brand_Summary through 10_Vendor_Terms in this workbook.</x:v>
      </x:c>
      <x:c r="Y17" s="21" t="str">
        <x:v>https://www.instagram.com/isntree_offical/</x:v>
      </x:c>
      <x:c r="Z17" s="29" t="n">
        <x:f>COUNTIF('08_Source_Log'!$B$2:$B$5000,A17)</x:f>
        <x:v>52</x:v>
      </x:c>
      <x:c r="AA17" s="29" t="n">
        <x:f>COUNTIF('09_Image_Assets'!$B$2:$B$500,A17)</x:f>
        <x:v>6</x:v>
      </x:c>
      <x:c r="AB17" s="21" t="str">
        <x:v>Research approved by the user on 2026-08-01. Source Rank 17, Goodal, was authorized as the next sequential step. Vendor contact, procurement and commercial commitments remain separate actions requiring authorization.</x:v>
      </x:c>
      <x:c r="AC17" s="21" t="str">
        <x:v>Codex</x:v>
      </x:c>
      <x:c r="AD17" s="21" t="str">
        <x:v>Source fields E:H remain unchanged. Isntree research was completed in workbook v19 and approved/carried forward in workbook v20. Dynamic marketplace signals remain non-audited, and no commercial action was taken.</x:v>
      </x:c>
    </x:row>
    <x:row r="18" ht="156" customHeight="1">
      <x:c r="A18" s="21" t="str">
        <x:v>KB017</x:v>
      </x:c>
      <x:c r="B18" s="21" t="n">
        <x:v>17</x:v>
      </x:c>
      <x:c r="C18" s="21" t="n">
        <x:v>17</x:v>
      </x:c>
      <x:c r="D18" s="21" t="str">
        <x:v>Goodal</x:v>
      </x:c>
      <x:c r="E18" s="21" t="str">
        <x:v>https://thegoodal.com</x:v>
      </x:c>
      <x:c r="F18" s="21" t="str">
        <x:v>Skincare</x:v>
      </x:c>
      <x:c r="G18" s="21" t="str">
        <x:v>Green Tangerine Vita C Dark Spot Serum is frequently recommended for brightening.</x:v>
      </x:c>
      <x:c r="H18" s="21" t="str">
        <x:v>Recognizable K-beauty product in the vitamin C serum category.</x:v>
      </x:c>
      <x:c r="I18" s="21" t="str">
        <x:v>Official brand authority: https://cliocosmetic.com/goodal_en.html (CLIO Cosmetics); U.S. official hub: https://linktr.ee/goodalofficialus; official U.S. drug labeling points to https://www.goodalcosmetic.com. The source URL https://thegoodal.com is an unaffiliated Amazon-associate site and is not accepted as official.</x:v>
      </x:c>
      <x:c r="J18" s="21" t="str">
        <x:v>Skincare and U.S. OTC sun care — brightening/dark-spot serums, creams, toner pads and eye patches led by Green Tangerine Vita C; heartleaf soothing care; cleansers, toners, moisturizers and sunscreens.</x:v>
      </x:c>
      <x:c r="K18" s="21" t="str">
        <x:v>Verified with qualification. Goodal is an established niche-to-mid-awareness K-Beauty brand led by the Green Tangerine Vita C franchise. CLIO launched Goodal in 2011; official history records 450,000 Green Tangerine serum units by 2018. Current U.S. proof includes first-party Target assortment, an official Amazon store, 45.1K U.S. Instagram followers, 8,477 U.S. TikTok followers and strong iHerb legacy-serum reviews. Influencer recommendation frequency was not independently quantified.</x:v>
      </x:c>
      <x:c r="L18" s="21" t="str">
        <x:v>Verified strong with clarification. Five CLUBCLIO-seller Amazon ASINs displayed at least 6,500 combined purchases in the past month and a conservative $141,870 monthly gross-sales floor at observed one-time prices. Serum Alpha led at 4K+ bought/month and $21.90. This is meaningful U.S. vitamin-C-franchise demand, but it is not audited revenue or proof of current category leadership.</x:v>
      </x:c>
      <x:c r="M18" s="21" t="str">
        <x:v>Conflicting Evidence</x:v>
      </x:c>
      <x:c r="N18" s="21" t="str">
        <x:v>Approved</x:v>
      </x:c>
      <x:c r="O18" s="21" t="str">
        <x:v>Approved</x:v>
      </x:c>
      <x:c r="P18" s="25" t="str">
        <x:v>2026-08-01</x:v>
      </x:c>
      <x:c r="Q18" s="27" t="n">
        <x:f>'03_Scoring'!M18</x:f>
        <x:v>7.7</x:v>
      </x:c>
      <x:c r="R18" s="27" t="n">
        <x:f>'03_Scoring'!N18</x:f>
        <x:v>7.6</x:v>
      </x:c>
      <x:c r="S18" s="27" t="n">
        <x:f>'03_Scoring'!O18</x:f>
        <x:v>3.5</x:v>
      </x:c>
      <x:c r="T18" s="27" t="n">
        <x:f>'03_Scoring'!K18</x:f>
        <x:v>71.70000000000002</x:v>
      </x:c>
      <x:c r="U18" s="21" t="str">
        <x:f>'03_Scoring'!L18</x:f>
        <x:v>B</x:v>
      </x:c>
      <x:c r="V18" s="21" t="str">
        <x:v>Green Tangerine Vitamin C Dark Spot Brightening Serum Alpha 30 mL; Green Tangerine Vita C Eye Patches Alpha 60 ct; Green Tangerine Vita C Cream Advanced 50 mL; Green Tangerine Vita-C Dark Spot UV Defense Sunscreen SPF50 50 mL; Green Tangerine Vita C Toner Pads Advanced 70 ct.</x:v>
      </x:c>
      <x:c r="W18" s="21" t="str">
        <x:v>CLIO/Goodal official brand infrastructure; Amazon U.S.; Target; iHerb; TikTok Shop; Instagram; Olive Young Global/U.S.; YesStyle; Jolse; Walmart marketplace; historical Costco online; cross-border K-Beauty retail.</x:v>
      </x:c>
      <x:c r="X18" s="21" t="str">
        <x:v>See sheets 02_Brand_Summary through 10_Vendor_Terms in this workbook.</x:v>
      </x:c>
      <x:c r="Y18" s="21" t="str">
        <x:v>https://www.instagram.com/goodal_official_us/</x:v>
      </x:c>
      <x:c r="Z18" s="29" t="n">
        <x:f>COUNTIF('08_Source_Log'!$B$2:$B$5000,A18)</x:f>
        <x:v>52</x:v>
      </x:c>
      <x:c r="AA18" s="29" t="n">
        <x:f>COUNTIF('09_Image_Assets'!$B$2:$B$500,A18)</x:f>
        <x:v>6</x:v>
      </x:c>
      <x:c r="AB18" s="21" t="str">
        <x:v>Research approved by the user on 2026-08-01. Source Rank 18, I'm From, was authorized as the next sequential step. Vendor contact, procurement and commercial commitments remain separate actions requiring authorization.</x:v>
      </x:c>
      <x:c r="AC18" s="21" t="str">
        <x:v>Codex</x:v>
      </x:c>
      <x:c r="AD18" s="21" t="str">
        <x:v>Source fields E:H remain unchanged. Goodal research was completed in workbook v20 and approved/carried forward in workbook v21. Dynamic marketplace signals remain non-audited, and no commercial action was taken.</x:v>
      </x:c>
    </x:row>
    <x:row r="19" ht="168" customHeight="1">
      <x:c r="A19" s="21" t="str">
        <x:v>KB018</x:v>
      </x:c>
      <x:c r="B19" s="21" t="n">
        <x:v>18</x:v>
      </x:c>
      <x:c r="C19" s="21" t="n">
        <x:v>18</x:v>
      </x:c>
      <x:c r="D19" s="21" t="str">
        <x:v>I'm From</x:v>
      </x:c>
      <x:c r="E19" s="21" t="str">
        <x:v>https://imfrom.co.kr</x:v>
      </x:c>
      <x:c r="F19" s="21" t="str">
        <x:v>Skincare</x:v>
      </x:c>
      <x:c r="G19" s="21" t="str">
        <x:v>Mugwort Essence and Honey Mask appeal through natural-ingredient and soothing positioning.</x:v>
      </x:c>
      <x:c r="H19" s="21" t="str">
        <x:v>Premium K-beauty strength in wash-off masks and essences.</x:v>
      </x:c>
      <x:c r="I19" s="21" t="str">
        <x:v>Verified official Korean brand store: https://imfrom.co.kr. The site footer identifies LAB &amp; Company Inc.; U.S. and Canadian trademark records also identify LAB&amp;Company. No separate official U.S. DTC domain was verified.</x:v>
      </x:c>
      <x:c r="J19" s="21" t="str">
        <x:v>Skincare — ingredient-origin-led facial toners, essences/serums, creams, cleansers and wash-off/sheet masks, led by Rice, Black Rice, Mugwort and Honey collections. Korean sun care exists, but no current U.S. I'm From OTC label was verified.</x:v>
      </x:c>
      <x:c r="K19" s="21" t="str">
        <x:v>Verified with qualification. Mugwort Essence and Honey Mask remain recognized legacy heroes, but current U.S. retail and marketplace evidence is led by Rice Toner and the broader Rice line: Ulta showed Rice Toner at 4.9/522, iHerb showed 4.7/6,986 with 2,000+ sold in 30 days and high toner ranks, and official TikTok Shop listings showed substantial cumulative sold displays.</x:v>
      </x:c>
      <x:c r="L19" s="21" t="str">
        <x:v>Conflicting with the source's category emphasis. Amazon strength is meaningful, but current active evidence is toner-led rather than primarily wash-off-mask/essence-led. Rice Toner ASIN B0GL23FXCZ showed 5K+ bought/month at $14.63 and Black Rice Toner showed 300+ at $18.50; together they imply a conservative $78,700 monthly gross-sales floor. Legacy/replaced ASINs were excluded from that floor.</x:v>
      </x:c>
      <x:c r="M19" s="21" t="str">
        <x:v>Conflicting Evidence</x:v>
      </x:c>
      <x:c r="N19" s="21" t="str">
        <x:v>Approved</x:v>
      </x:c>
      <x:c r="O19" s="21" t="str">
        <x:v>Approved</x:v>
      </x:c>
      <x:c r="P19" s="25" t="str">
        <x:v>2026-08-01</x:v>
      </x:c>
      <x:c r="Q19" s="27" t="n">
        <x:f>'03_Scoring'!M19</x:f>
        <x:v>8.3</x:v>
      </x:c>
      <x:c r="R19" s="27" t="n">
        <x:f>'03_Scoring'!N19</x:f>
        <x:v>7.8</x:v>
      </x:c>
      <x:c r="S19" s="27" t="n">
        <x:f>'03_Scoring'!O19</x:f>
        <x:v>3</x:v>
      </x:c>
      <x:c r="T19" s="27" t="n">
        <x:f>'03_Scoring'!K19</x:f>
        <x:v>74.85</x:v>
      </x:c>
      <x:c r="U19" s="21" t="str">
        <x:f>'03_Scoring'!L19</x:f>
        <x:v>B</x:v>
      </x:c>
      <x:c r="V19" s="21" t="str">
        <x:v>Rice Toner 150 mL; Black Rice Toner 150 mL; Mugwort Essence 150 mL; Rice Cream 50 g; Honey Mask 70 g.</x:v>
      </x:c>
      <x:c r="W19" s="21" t="str">
        <x:v>Official Korean DTC; Amazon U.S.; official TikTok Shop; Ulta; iHerb; Target listings; Walmart marketplace; YesStyle; Olive Young Global; Stylevana and other cross-border K-Beauty retailers; historical Wishtrend relationship.</x:v>
      </x:c>
      <x:c r="X19" s="21" t="str">
        <x:v>See sheets 02_Brand_Summary through 10_Vendor_Terms in this workbook.</x:v>
      </x:c>
      <x:c r="Y19" s="21" t="str">
        <x:v>https://m.imfrom.co.kr/brand/brand_about.html</x:v>
      </x:c>
      <x:c r="Z19" s="29" t="n">
        <x:f>COUNTIF('08_Source_Log'!$B$2:$B$5000,A19)</x:f>
        <x:v>52</x:v>
      </x:c>
      <x:c r="AA19" s="29" t="n">
        <x:f>COUNTIF('09_Image_Assets'!$B$2:$B$500,A19)</x:f>
        <x:v>6</x:v>
      </x:c>
      <x:c r="AB19" s="21" t="str">
        <x:v>Research approved by the user on 2026-08-01. Source Rank 19, Dear Klairs, was authorized as the next sequential step. Vendor contact, procurement and commercial commitments remain separate actions requiring authorization.</x:v>
      </x:c>
      <x:c r="AC19" s="21" t="str">
        <x:v>Codex</x:v>
      </x:c>
      <x:c r="AD19" s="21" t="str">
        <x:v>Source fields E:H remain unchanged. I'm From research was completed in workbook v21 and approved/carried forward in workbook v22. Dynamic marketplace signals remain non-audited, and no commercial action was taken.</x:v>
      </x:c>
    </x:row>
    <x:row r="20" ht="180" customHeight="1">
      <x:c r="A20" s="21" t="str">
        <x:v>KB019</x:v>
      </x:c>
      <x:c r="B20" s="21" t="n">
        <x:v>19</x:v>
      </x:c>
      <x:c r="C20" s="21" t="n">
        <x:v>19</x:v>
      </x:c>
      <x:c r="D20" s="21" t="str">
        <x:v>Dear Klairs</x:v>
      </x:c>
      <x:c r="E20" s="21" t="str">
        <x:v>https://klairs.com</x:v>
      </x:c>
      <x:c r="F20" s="21" t="str">
        <x:v>Skincare</x:v>
      </x:c>
      <x:c r="G20" s="21" t="str">
        <x:v>Supple Preparation Facial Toner remains an early global K-Beauty viral staple.</x:v>
      </x:c>
      <x:c r="H20" s="21" t="str">
        <x:v>Stable global sales supported by long-running sensitive-skin positioning.</x:v>
      </x:c>
      <x:c r="I20" s="21" t="str">
        <x:v>Verified official U.S. store: https://www.klairs.com, operated by WISHCOMPANY US CORP. The official global brand site is https://www.klairscosmetics.com, and parent-company information is at wishcompany.net.</x:v>
      </x:c>
      <x:c r="J20" s="21" t="str">
        <x:v>Skincare — sensitive-skin facial care led by hydrating toners, vitamin/peptide serums, calming and barrier moisturizers, cleansers, masks and eye care. Global sunscreen products exist, but no current Dear Klairs U.S. OTC label was verified in this scoped check.</x:v>
      </x:c>
      <x:c r="K20" s="21" t="str">
        <x:v>Verified with current scale. Supple Preparation remains the anchor cult franchise, supported by brand-reported 10M+ Unscented Toner units, multiple long-running Amazon listings, strong review depth, and current Blue/Vitamin line extensions. Official brand pages show inconsistent cumulative-unit/country figures, so those claims are treated as brand-reported rather than audited.</x:v>
      </x:c>
      <x:c r="L20" s="21" t="str">
        <x:v>Verified strong, concentrated hero-SKU performance. Amazon U.S. displayed 2K+ bought/month for Unscented Toner, 1K+ for Vitamin C Serum and 1K+ for Midnight Blue Calming Cream; the three visible badge minimums imply at least 4,000 units and about $69,470 in monthly gross-sales proxy at observed prices. These are dynamic platform floors, not audited brand revenue.</x:v>
      </x:c>
      <x:c r="M20" s="21" t="str">
        <x:v>Verified</x:v>
      </x:c>
      <x:c r="N20" s="21" t="str">
        <x:v>Approved</x:v>
      </x:c>
      <x:c r="O20" s="21" t="str">
        <x:v>Approved</x:v>
      </x:c>
      <x:c r="P20" s="25" t="str">
        <x:v>2026-08-01</x:v>
      </x:c>
      <x:c r="Q20" s="27" t="n">
        <x:f>'03_Scoring'!M20</x:f>
        <x:v>8.4</x:v>
      </x:c>
      <x:c r="R20" s="27" t="n">
        <x:f>'03_Scoring'!N20</x:f>
        <x:v>7.9</x:v>
      </x:c>
      <x:c r="S20" s="27" t="n">
        <x:f>'03_Scoring'!O20</x:f>
        <x:v>5.4</x:v>
      </x:c>
      <x:c r="T20" s="27" t="n">
        <x:f>'03_Scoring'!K20</x:f>
        <x:v>76.00000000000001</x:v>
      </x:c>
      <x:c r="U20" s="21" t="str">
        <x:f>'03_Scoring'!L20</x:f>
        <x:v>B</x:v>
      </x:c>
      <x:c r="V20" s="21" t="str">
        <x:v>Supple Preparation Unscented Toner 180 mL; Freshly Juiced Vitamin Drop 35 mL; Midnight Blue Calming Cream 60 g; Rich Moist Soothing Cream 80 g; EGF Blue Youth Activating Drop 20/50 mL.</x:v>
      </x:c>
      <x:c r="W20" s="21" t="str">
        <x:v>Official U.S. DTC; Amazon U.S.; official TikTok Shop; Olive Young U.S. online and Pasadena/Century City stores; Walmart-hosted listings; iHerb; YesStyle and other cross-border K-Beauty retailers. The brand's current U.S. official-retailer page verifies only DTC, Amazon, Olive Young U.S. and TikTok Shop.</x:v>
      </x:c>
      <x:c r="X20" s="21" t="str">
        <x:v>See sheets 02_Brand_Summary through 10_Vendor_Terms in this workbook.</x:v>
      </x:c>
      <x:c r="Y20" s="21" t="str">
        <x:v>https://www.klairs.com/pages/contact</x:v>
      </x:c>
      <x:c r="Z20" s="29" t="n">
        <x:f>COUNTIF('08_Source_Log'!$B$2:$B$5000,A20)</x:f>
        <x:v>52</x:v>
      </x:c>
      <x:c r="AA20" s="29" t="n">
        <x:f>COUNTIF('09_Image_Assets'!$B$2:$B$500,A20)</x:f>
        <x:v>6</x:v>
      </x:c>
      <x:c r="AB20" s="21" t="str">
        <x:v>Research approved by the user on 2026-08-01. Source Rank 20, Haruharu Wonder, was authorized as the next sequential step. Vendor contact, procurement and commercial commitments remain separate actions requiring authorization.</x:v>
      </x:c>
      <x:c r="AC20" s="21" t="str">
        <x:v>Codex</x:v>
      </x:c>
      <x:c r="AD20" s="21" t="str">
        <x:v>Source fields E:H remain unchanged. Dear Klairs research was completed in workbook v22 and approved/carried forward in workbook v23. Dynamic marketplace signals remain non-audited, and no commercial action was taken.</x:v>
      </x:c>
    </x:row>
    <x:row r="21" ht="188" customHeight="1">
      <x:c r="A21" s="21" t="str">
        <x:v>KB020</x:v>
      </x:c>
      <x:c r="B21" s="21" t="n">
        <x:v>20</x:v>
      </x:c>
      <x:c r="C21" s="21" t="n">
        <x:v>20</x:v>
      </x:c>
      <x:c r="D21" s="21" t="str">
        <x:v>Haruharu Wonder</x:v>
      </x:c>
      <x:c r="E21" s="21" t="str">
        <x:v>https://haruharuworld.com</x:v>
      </x:c>
      <x:c r="F21" s="21" t="str">
        <x:v>Skincare</x:v>
      </x:c>
      <x:c r="G21" s="21" t="str">
        <x:v>Black Rice Hyaluronic Toner gained attention for packaging and hydration.</x:v>
      </x:c>
      <x:c r="H21" s="21" t="str">
        <x:v>Strong toner and mineral-sunscreen visibility on Amazon.</x:v>
      </x:c>
      <x:c r="I21" s="21" t="str">
        <x:v>Verified current official global/DTC site: https://haruharuwonder.com. The controlling-source URL https://haruharuworld.com was not corroborated as the current site. The Korean corporate store is https://www.haruharu.com; a separate U.S. portal, https://haruharuusa.com, identifies DFS USA INC and StyleKorean-affiliated operations.</x:v>
      </x:c>
      <x:c r="J21" s="21" t="str">
        <x:v>Skincare — affordable-to-mid-priced Korean facial care led by fermented black-rice hydration, barrier essence and cream, cleansing oil, toner, bakuchiol eye care, serums and sun care. U.S. sourcing should prioritize cosmetic SKUs and hold SPF until exact OTC-drug compliance is documented.</x:v>
      </x:c>
      <x:c r="K21" s="21" t="str">
        <x:v>Verified with material current expansion. The Black Rice Hyaluronic Toner remains the legacy recognition anchor, while the Probiotics Barrier Essence, 5 Ceramide Cream, Moisture Cleansing Oil and Airyfit Daily Sunscreen now drive stronger current U.S. demand. A nationwide Target launch in January 2026 materially increased offline awareness.</x:v>
      </x:c>
      <x:c r="L21" s="21" t="str">
        <x:v>Conflicting with the source wording but verified exceptionally strong overall. Current Amazon U.S. displays showed official-seller minimums of 10K+ Barrier Essence, 8K+ Cleansing Oil and 3K+ Unscented Toner bought/month—at least 21,000 units and about $369,790 monthly gross-sales proxy at observed one-time prices. Separately, Airyfit Sunscreen showed 30K+ bought/month and #11 Facial Sunscreens but was sold by Breezesun, not the official seller; the current evidence does not support mineral sunscreen as the primary Amazon driver.</x:v>
      </x:c>
      <x:c r="M21" s="21" t="str">
        <x:v>Conflicting Evidence</x:v>
      </x:c>
      <x:c r="N21" s="21" t="str">
        <x:v>Research Complete - Awaiting Approval</x:v>
      </x:c>
      <x:c r="O21" s="21"/>
      <x:c r="P21" s="25" t="str">
        <x:v>2026-08-01</x:v>
      </x:c>
      <x:c r="Q21" s="27" t="n">
        <x:f>'03_Scoring'!M21</x:f>
        <x:v>9</x:v>
      </x:c>
      <x:c r="R21" s="27" t="n">
        <x:f>'03_Scoring'!N21</x:f>
        <x:v>9.1</x:v>
      </x:c>
      <x:c r="S21" s="27" t="n">
        <x:f>'03_Scoring'!O21</x:f>
        <x:v>3.5</x:v>
      </x:c>
      <x:c r="T21" s="27" t="n">
        <x:f>'03_Scoring'!K21</x:f>
        <x:v>77.14999999999999</x:v>
      </x:c>
      <x:c r="U21" s="21" t="str">
        <x:f>'03_Scoring'!L21</x:f>
        <x:v>B</x:v>
      </x:c>
      <x:c r="V21" s="21" t="str">
        <x:v>Black Rice Probiotics Barrier Essence 120 mL; Black Rice Moisture Cleansing Oil 150 mL; Black Rice Hyaluronic Toner Free of Alcohol &amp; Fragrance 150 mL; Black Rice Bakuchiol Eye Cream 20 mL; Black Rice Moisture Airyfit Daily Sunscreen 50 mL (market hero / U.S. regulatory hold).</x:v>
      </x:c>
      <x:c r="W21" s="21" t="str">
        <x:v>Official global DTC; separate U.S. DTC portal; Amazon U.S. official-seller and third-party offers; Target nationwide/online; official TikTok Shop U.S.; Instagram/TikTok social; StyleKorean; iHerb; Walmart Marketplace and other cross-border retailers. No current U.S. Sephora or Ulta placement was verified.</x:v>
      </x:c>
      <x:c r="X21" s="21" t="str">
        <x:v>See sheets 02_Brand_Summary through 10_Vendor_Terms in this workbook.</x:v>
      </x:c>
      <x:c r="Y21" s="21" t="str">
        <x:v>https://haruharuwonder.com/policies/contact-information</x:v>
      </x:c>
      <x:c r="Z21" s="29" t="n">
        <x:f>COUNTIF('08_Source_Log'!$B$2:$B$5000,A21)</x:f>
        <x:v>56</x:v>
      </x:c>
      <x:c r="AA21" s="29" t="n">
        <x:f>COUNTIF('09_Image_Assets'!$B$2:$B$500,A21)</x:f>
        <x:v>6</x:v>
      </x:c>
      <x:c r="AB21" s="21" t="str">
        <x:v>Review Haruharu Wonder research and choose Approved, Revision Requested, On Hold or Excluded. Do not begin Source Rank 21, Axis-Y, without explicit approval.</x:v>
      </x:c>
      <x:c r="AC21" s="21" t="str">
        <x:v>Codex</x:v>
      </x:c>
      <x:c r="AD21" s="21" t="str">
        <x:v>Source fields E:H were preserved unchanged. Core evidence is logged as SRC-HHW-001 through SRC-HHW-056. Dynamic Amazon, Target, TikTok, iHerb and retailer prices, ranks, ratings and purchase badges are public snapshots, not audited revenue. The current official global site and the separate haruharuusa.com portal identify different U.S.-facing entities/relationships; contracting, importer and MoCRA responsible-person roles require documentary confirmation. The Airyfit sunscreen listing uses multiple UV filters outside the currently observed U.S. monograph pathway and is sold by a third party on Amazon; exclude all SPF until exact U.S. Drug Facts, NDC/listing, establishment, formula and testing evidence is supplied. No vendor contact or commercial commitment was made.</x:v>
      </x:c>
    </x:row>
    <x:row r="22">
      <x:c r="A22" s="21" t="str">
        <x:v>KB021</x:v>
      </x:c>
      <x:c r="B22" s="21" t="n">
        <x:v>21</x:v>
      </x:c>
      <x:c r="C22" s="21" t="n">
        <x:v>21</x:v>
      </x:c>
      <x:c r="D22" s="21" t="str">
        <x:v>Axis-Y</x:v>
      </x:c>
      <x:c r="E22" s="21" t="str">
        <x:v>https://www.axis-y.com</x:v>
      </x:c>
      <x:c r="F22" s="21" t="str">
        <x:v>Skincare</x:v>
      </x:c>
      <x:c r="G22" s="21" t="str">
        <x:v>Dark Spot Correcting Glow Serum went viral through post-acne mark content.</x:v>
      </x:c>
      <x:c r="H22" s="21" t="str">
        <x:v>High visibility in dark-spot serum searches and substantial international demand.</x:v>
      </x:c>
      <x:c r="I22" s="21" t="str"/>
      <x:c r="J22" s="21" t="str"/>
      <x:c r="K22" s="21" t="str"/>
      <x:c r="L22" s="21" t="str"/>
      <x:c r="M22" s="21" t="str">
        <x:v>Not Verified</x:v>
      </x:c>
      <x:c r="N22" s="21" t="str">
        <x:v>Not Started</x:v>
      </x:c>
      <x:c r="O22" s="21" t="str"/>
      <x:c r="P22" s="25"/>
      <x:c r="Q22" s="27"/>
      <x:c r="R22" s="27"/>
      <x:c r="S22" s="27"/>
      <x:c r="T22" s="27"/>
      <x:c r="U22" s="21" t="str"/>
      <x:c r="V22" s="21" t="str"/>
      <x:c r="W22" s="21" t="str"/>
      <x:c r="X22" s="21" t="str"/>
      <x:c r="Y22" s="21" t="str"/>
      <x:c r="Z22" s="29"/>
      <x:c r="AA22" s="29"/>
      <x:c r="AB22" s="21" t="str"/>
      <x:c r="AC22" s="21" t="str"/>
      <x:c r="AD22" s="21" t="str">
        <x:v>Source fields are preserved from the ranking file. Write research results only in the Verified fields.</x:v>
      </x:c>
    </x:row>
    <x:row r="23">
      <x:c r="A23" s="21" t="str">
        <x:v>KB022</x:v>
      </x:c>
      <x:c r="B23" s="21" t="n">
        <x:v>22</x:v>
      </x:c>
      <x:c r="C23" s="21" t="n">
        <x:v>22</x:v>
      </x:c>
      <x:c r="D23" s="21" t="str">
        <x:v>Rom&amp;nd</x:v>
      </x:c>
      <x:c r="E23" s="21" t="str">
        <x:v>https://romand.us</x:v>
      </x:c>
      <x:c r="F23" s="21" t="str">
        <x:v>Makeup</x:v>
      </x:c>
      <x:c r="G23" s="21" t="str">
        <x:v>Juicy Lasting Tint gained traction for glossy color and broad warm/cool shade selection.</x:v>
      </x:c>
      <x:c r="H23" s="21" t="str">
        <x:v>Strong lip-tint category presence and leading K-color-makeup visibility.</x:v>
      </x:c>
      <x:c r="I23" s="21" t="str"/>
      <x:c r="J23" s="21" t="str"/>
      <x:c r="K23" s="21" t="str"/>
      <x:c r="L23" s="21" t="str"/>
      <x:c r="M23" s="21" t="str">
        <x:v>Not Verified</x:v>
      </x:c>
      <x:c r="N23" s="21" t="str">
        <x:v>Not Started</x:v>
      </x:c>
      <x:c r="O23" s="21" t="str"/>
      <x:c r="P23" s="25"/>
      <x:c r="Q23" s="27"/>
      <x:c r="R23" s="27"/>
      <x:c r="S23" s="27"/>
      <x:c r="T23" s="27"/>
      <x:c r="U23" s="21" t="str"/>
      <x:c r="V23" s="21" t="str"/>
      <x:c r="W23" s="21" t="str"/>
      <x:c r="X23" s="21" t="str"/>
      <x:c r="Y23" s="21" t="str"/>
      <x:c r="Z23" s="29"/>
      <x:c r="AA23" s="29"/>
      <x:c r="AB23" s="21" t="str"/>
      <x:c r="AC23" s="21" t="str"/>
      <x:c r="AD23" s="21" t="str">
        <x:v>Source fields are preserved from the ranking file. Write research results only in the Verified fields.</x:v>
      </x:c>
    </x:row>
    <x:row r="24">
      <x:c r="A24" s="21" t="str">
        <x:v>KB023</x:v>
      </x:c>
      <x:c r="B24" s="21" t="n">
        <x:v>23</x:v>
      </x:c>
      <x:c r="C24" s="21" t="n">
        <x:v>23</x:v>
      </x:c>
      <x:c r="D24" s="21" t="str">
        <x:v>Peripera</x:v>
      </x:c>
      <x:c r="E24" s="21" t="str">
        <x:v>https://www.clubclio.com</x:v>
      </x:c>
      <x:c r="F24" s="21" t="str">
        <x:v>Makeup</x:v>
      </x:c>
      <x:c r="G24" s="21" t="str">
        <x:v>Ink Velvet lip tint remains well known for color payoff and wear-focused content.</x:v>
      </x:c>
      <x:c r="H24" s="21" t="str">
        <x:v>Long-running value-makeup best seller in lip products.</x:v>
      </x:c>
      <x:c r="I24" s="21" t="str"/>
      <x:c r="J24" s="21" t="str"/>
      <x:c r="K24" s="21" t="str"/>
      <x:c r="L24" s="21" t="str"/>
      <x:c r="M24" s="21" t="str">
        <x:v>Not Verified</x:v>
      </x:c>
      <x:c r="N24" s="21" t="str">
        <x:v>Not Started</x:v>
      </x:c>
      <x:c r="O24" s="21" t="str"/>
      <x:c r="P24" s="25"/>
      <x:c r="Q24" s="27"/>
      <x:c r="R24" s="27"/>
      <x:c r="S24" s="27"/>
      <x:c r="T24" s="27"/>
      <x:c r="U24" s="21" t="str"/>
      <x:c r="V24" s="21" t="str"/>
      <x:c r="W24" s="21" t="str"/>
      <x:c r="X24" s="21" t="str"/>
      <x:c r="Y24" s="21" t="str"/>
      <x:c r="Z24" s="29"/>
      <x:c r="AA24" s="29"/>
      <x:c r="AB24" s="21" t="str"/>
      <x:c r="AC24" s="21" t="str"/>
      <x:c r="AD24" s="21" t="str">
        <x:v>Source fields are preserved from the ranking file. Write research results only in the Verified fields.</x:v>
      </x:c>
    </x:row>
    <x:row r="25">
      <x:c r="A25" s="21" t="str">
        <x:v>KB024</x:v>
      </x:c>
      <x:c r="B25" s="21" t="n">
        <x:v>24</x:v>
      </x:c>
      <x:c r="C25" s="21" t="n">
        <x:v>24</x:v>
      </x:c>
      <x:c r="D25" s="21" t="str">
        <x:v>Purito</x:v>
      </x:c>
      <x:c r="E25" s="21" t="str">
        <x:v>https://purito.com</x:v>
      </x:c>
      <x:c r="F25" s="21" t="str">
        <x:v>Skincare</x:v>
      </x:c>
      <x:c r="G25" s="21" t="str">
        <x:v>Centella products and a clean-beauty message have built a core international following.</x:v>
      </x:c>
      <x:c r="H25" s="21" t="str">
        <x:v>Stable U.S. demand in vegan and clean-beauty skincare.</x:v>
      </x:c>
      <x:c r="I25" s="21" t="str"/>
      <x:c r="J25" s="21" t="str"/>
      <x:c r="K25" s="21" t="str"/>
      <x:c r="L25" s="21" t="str"/>
      <x:c r="M25" s="21" t="str">
        <x:v>Not Verified</x:v>
      </x:c>
      <x:c r="N25" s="21" t="str">
        <x:v>Not Started</x:v>
      </x:c>
      <x:c r="O25" s="21" t="str"/>
      <x:c r="P25" s="25"/>
      <x:c r="Q25" s="27"/>
      <x:c r="R25" s="27"/>
      <x:c r="S25" s="27"/>
      <x:c r="T25" s="27"/>
      <x:c r="U25" s="21" t="str"/>
      <x:c r="V25" s="21" t="str"/>
      <x:c r="W25" s="21" t="str"/>
      <x:c r="X25" s="21" t="str"/>
      <x:c r="Y25" s="21" t="str"/>
      <x:c r="Z25" s="29"/>
      <x:c r="AA25" s="29"/>
      <x:c r="AB25" s="21" t="str"/>
      <x:c r="AC25" s="21" t="str"/>
      <x:c r="AD25" s="21" t="str">
        <x:v>Source fields are preserved from the ranking file. Write research results only in the Verified fields.</x:v>
      </x:c>
    </x:row>
    <x:row r="26">
      <x:c r="A26" s="21" t="str">
        <x:v>KB025</x:v>
      </x:c>
      <x:c r="B26" s="21" t="n">
        <x:v>25</x:v>
      </x:c>
      <x:c r="C26" s="21" t="n">
        <x:v>25</x:v>
      </x:c>
      <x:c r="D26" s="21" t="str">
        <x:v>Banila Co</x:v>
      </x:c>
      <x:c r="E26" s="21" t="str">
        <x:v>https://banilaco.com</x:v>
      </x:c>
      <x:c r="F26" s="21" t="str">
        <x:v>Skincare / Cleansing</x:v>
      </x:c>
      <x:c r="G26" s="21" t="str">
        <x:v>Clean It Zero cleansing balm is widely reviewed for cleansing performance and sorbet texture.</x:v>
      </x:c>
      <x:c r="H26" s="21" t="str">
        <x:v>Long-standing top-tier visibility in makeup-remover and cleansing-balm categories.</x:v>
      </x:c>
      <x:c r="I26" s="21" t="str"/>
      <x:c r="J26" s="21" t="str"/>
      <x:c r="K26" s="21" t="str"/>
      <x:c r="L26" s="21" t="str"/>
      <x:c r="M26" s="21" t="str">
        <x:v>Not Verified</x:v>
      </x:c>
      <x:c r="N26" s="21" t="str">
        <x:v>Not Started</x:v>
      </x:c>
      <x:c r="O26" s="21" t="str"/>
      <x:c r="P26" s="25"/>
      <x:c r="Q26" s="27"/>
      <x:c r="R26" s="27"/>
      <x:c r="S26" s="27"/>
      <x:c r="T26" s="27"/>
      <x:c r="U26" s="21" t="str"/>
      <x:c r="V26" s="21" t="str"/>
      <x:c r="W26" s="21" t="str"/>
      <x:c r="X26" s="21" t="str"/>
      <x:c r="Y26" s="21" t="str"/>
      <x:c r="Z26" s="29"/>
      <x:c r="AA26" s="29"/>
      <x:c r="AB26" s="21" t="str"/>
      <x:c r="AC26" s="21" t="str"/>
      <x:c r="AD26" s="21" t="str">
        <x:v>Source fields are preserved from the ranking file. Write research results only in the Verified fields.</x:v>
      </x:c>
    </x:row>
    <x:row r="27">
      <x:c r="A27" s="21" t="str">
        <x:v>KB026</x:v>
      </x:c>
      <x:c r="B27" s="21" t="n">
        <x:v>26</x:v>
      </x:c>
      <x:c r="C27" s="21" t="n">
        <x:v>26</x:v>
      </x:c>
      <x:c r="D27" s="21" t="str">
        <x:v>Heimish</x:v>
      </x:c>
      <x:c r="E27" s="21" t="str">
        <x:v>https://heimish.co.kr</x:v>
      </x:c>
      <x:c r="F27" s="21" t="str">
        <x:v>Skincare / Cleansing</x:v>
      </x:c>
      <x:c r="G27" s="21" t="str">
        <x:v>All Clean Balm is frequently compared with Banila Co as a leading K-beauty cleansing balm.</x:v>
      </x:c>
      <x:c r="H27" s="21" t="str">
        <x:v>Consistent top-ranking visibility in cleansing balms.</x:v>
      </x:c>
      <x:c r="I27" s="21" t="str"/>
      <x:c r="J27" s="21" t="str"/>
      <x:c r="K27" s="21" t="str"/>
      <x:c r="L27" s="21" t="str"/>
      <x:c r="M27" s="21" t="str">
        <x:v>Not Verified</x:v>
      </x:c>
      <x:c r="N27" s="21" t="str">
        <x:v>Not Started</x:v>
      </x:c>
      <x:c r="O27" s="21" t="str"/>
      <x:c r="P27" s="25"/>
      <x:c r="Q27" s="27"/>
      <x:c r="R27" s="27"/>
      <x:c r="S27" s="27"/>
      <x:c r="T27" s="27"/>
      <x:c r="U27" s="21" t="str"/>
      <x:c r="V27" s="21" t="str"/>
      <x:c r="W27" s="21" t="str"/>
      <x:c r="X27" s="21" t="str"/>
      <x:c r="Y27" s="21" t="str"/>
      <x:c r="Z27" s="29"/>
      <x:c r="AA27" s="29"/>
      <x:c r="AB27" s="21" t="str"/>
      <x:c r="AC27" s="21" t="str"/>
      <x:c r="AD27" s="21" t="str">
        <x:v>Source fields are preserved from the ranking file. Write research results only in the Verified fields.</x:v>
      </x:c>
    </x:row>
    <x:row r="28">
      <x:c r="A28" s="21" t="str">
        <x:v>KB027</x:v>
      </x:c>
      <x:c r="B28" s="21" t="n">
        <x:v>27</x:v>
      </x:c>
      <x:c r="C28" s="21" t="n">
        <x:v>27</x:v>
      </x:c>
      <x:c r="D28" s="21" t="str">
        <x:v>Ma:nyo (Manyo Factory)</x:v>
      </x:c>
      <x:c r="E28" s="21" t="str">
        <x:v>https://manyo.co.kr</x:v>
      </x:c>
      <x:c r="F28" s="21" t="str">
        <x:v>Skincare</x:v>
      </x:c>
      <x:c r="G28" s="21" t="str">
        <x:v>Pure Cleansing Oil gained traction through pore-cleansing and sebum-removal tutorials.</x:v>
      </x:c>
      <x:c r="H28" s="21" t="str">
        <x:v>Strong cleansing-oil visibility with expansion into broader skincare.</x:v>
      </x:c>
      <x:c r="I28" s="21" t="str"/>
      <x:c r="J28" s="21" t="str"/>
      <x:c r="K28" s="21" t="str"/>
      <x:c r="L28" s="21" t="str"/>
      <x:c r="M28" s="21" t="str">
        <x:v>Not Verified</x:v>
      </x:c>
      <x:c r="N28" s="21" t="str">
        <x:v>Not Started</x:v>
      </x:c>
      <x:c r="O28" s="21" t="str"/>
      <x:c r="P28" s="25"/>
      <x:c r="Q28" s="27"/>
      <x:c r="R28" s="27"/>
      <x:c r="S28" s="27"/>
      <x:c r="T28" s="27"/>
      <x:c r="U28" s="21" t="str"/>
      <x:c r="V28" s="21" t="str"/>
      <x:c r="W28" s="21" t="str"/>
      <x:c r="X28" s="21" t="str"/>
      <x:c r="Y28" s="21" t="str"/>
      <x:c r="Z28" s="29"/>
      <x:c r="AA28" s="29"/>
      <x:c r="AB28" s="21" t="str"/>
      <x:c r="AC28" s="21" t="str"/>
      <x:c r="AD28" s="21" t="str">
        <x:v>Source fields are preserved from the ranking file. Write research results only in the Verified fields.</x:v>
      </x:c>
    </x:row>
    <x:row r="29">
      <x:c r="A29" s="21" t="str">
        <x:v>KB028</x:v>
      </x:c>
      <x:c r="B29" s="21" t="n">
        <x:v>28</x:v>
      </x:c>
      <x:c r="C29" s="21" t="n">
        <x:v>28</x:v>
      </x:c>
      <x:c r="D29" s="21" t="str">
        <x:v>Etude</x:v>
      </x:c>
      <x:c r="E29" s="21" t="str">
        <x:v>https://www.etude.com</x:v>
      </x:c>
      <x:c r="F29" s="21" t="str">
        <x:v>Makeup / Skincare</x:v>
      </x:c>
      <x:c r="G29" s="21" t="str">
        <x:v>SoonJung products and Fixing Tint are discussed for gentle formulas and transfer resistance.</x:v>
      </x:c>
      <x:c r="H29" s="21" t="str">
        <x:v>SoonJung toner/cleanser visibility combined with makeup demand.</x:v>
      </x:c>
      <x:c r="I29" s="21" t="str"/>
      <x:c r="J29" s="21" t="str"/>
      <x:c r="K29" s="21" t="str"/>
      <x:c r="L29" s="21" t="str"/>
      <x:c r="M29" s="21" t="str">
        <x:v>Not Verified</x:v>
      </x:c>
      <x:c r="N29" s="21" t="str">
        <x:v>Not Started</x:v>
      </x:c>
      <x:c r="O29" s="21" t="str"/>
      <x:c r="P29" s="25"/>
      <x:c r="Q29" s="27"/>
      <x:c r="R29" s="27"/>
      <x:c r="S29" s="27"/>
      <x:c r="T29" s="27"/>
      <x:c r="U29" s="21" t="str"/>
      <x:c r="V29" s="21" t="str"/>
      <x:c r="W29" s="21" t="str"/>
      <x:c r="X29" s="21" t="str"/>
      <x:c r="Y29" s="21" t="str"/>
      <x:c r="Z29" s="29"/>
      <x:c r="AA29" s="29"/>
      <x:c r="AB29" s="21" t="str"/>
      <x:c r="AC29" s="21" t="str"/>
      <x:c r="AD29" s="21" t="str">
        <x:v>Source fields are preserved from the ranking file. Write research results only in the Verified fields.</x:v>
      </x:c>
    </x:row>
    <x:row r="30">
      <x:c r="A30" s="21" t="str">
        <x:v>KB029</x:v>
      </x:c>
      <x:c r="B30" s="21" t="n">
        <x:v>29</x:v>
      </x:c>
      <x:c r="C30" s="21" t="n">
        <x:v>29</x:v>
      </x:c>
      <x:c r="D30" s="21" t="str">
        <x:v>Sulwhasoo</x:v>
      </x:c>
      <x:c r="E30" s="21" t="str">
        <x:v>https://www.sulwhasoo.com</x:v>
      </x:c>
      <x:c r="F30" s="21" t="str">
        <x:v>Skincare</x:v>
      </x:c>
      <x:c r="G30" s="21" t="str">
        <x:v>Premium packaging and traditional Korean herbal positioning support anti-aging content.</x:v>
      </x:c>
      <x:c r="H30" s="21" t="str">
        <x:v>Distinct premium K-beauty position in luxury skincare.</x:v>
      </x:c>
      <x:c r="I30" s="21" t="str"/>
      <x:c r="J30" s="21" t="str"/>
      <x:c r="K30" s="21" t="str"/>
      <x:c r="L30" s="21" t="str"/>
      <x:c r="M30" s="21" t="str">
        <x:v>Not Verified</x:v>
      </x:c>
      <x:c r="N30" s="21" t="str">
        <x:v>Not Started</x:v>
      </x:c>
      <x:c r="O30" s="21" t="str"/>
      <x:c r="P30" s="25"/>
      <x:c r="Q30" s="27"/>
      <x:c r="R30" s="27"/>
      <x:c r="S30" s="27"/>
      <x:c r="T30" s="27"/>
      <x:c r="U30" s="21" t="str"/>
      <x:c r="V30" s="21" t="str"/>
      <x:c r="W30" s="21" t="str"/>
      <x:c r="X30" s="21" t="str"/>
      <x:c r="Y30" s="21" t="str"/>
      <x:c r="Z30" s="29"/>
      <x:c r="AA30" s="29"/>
      <x:c r="AB30" s="21" t="str"/>
      <x:c r="AC30" s="21" t="str"/>
      <x:c r="AD30" s="21" t="str">
        <x:v>Source fields are preserved from the ranking file. Write research results only in the Verified fields.</x:v>
      </x:c>
    </x:row>
    <x:row r="31">
      <x:c r="A31" s="21" t="str">
        <x:v>KB030</x:v>
      </x:c>
      <x:c r="B31" s="21" t="n">
        <x:v>30</x:v>
      </x:c>
      <x:c r="C31" s="21" t="n">
        <x:v>30</x:v>
      </x:c>
      <x:c r="D31" s="21" t="str">
        <x:v>Clio</x:v>
      </x:c>
      <x:c r="E31" s="21" t="str">
        <x:v>https://www.clubclio.com</x:v>
      </x:c>
      <x:c r="F31" s="21" t="str">
        <x:v>Makeup</x:v>
      </x:c>
      <x:c r="G31" s="21" t="str">
        <x:v>Kill Cover cushion and waterproof liners appear in professional-style makeup tutorials.</x:v>
      </x:c>
      <x:c r="H31" s="21" t="str">
        <x:v>Sustained strength in eyeliner and cushion foundation.</x:v>
      </x:c>
      <x:c r="I31" s="21" t="str"/>
      <x:c r="J31" s="21" t="str"/>
      <x:c r="K31" s="21" t="str"/>
      <x:c r="L31" s="21" t="str"/>
      <x:c r="M31" s="21" t="str">
        <x:v>Not Verified</x:v>
      </x:c>
      <x:c r="N31" s="21" t="str">
        <x:v>Not Started</x:v>
      </x:c>
      <x:c r="O31" s="21" t="str"/>
      <x:c r="P31" s="25"/>
      <x:c r="Q31" s="27"/>
      <x:c r="R31" s="27"/>
      <x:c r="S31" s="27"/>
      <x:c r="T31" s="27"/>
      <x:c r="U31" s="21" t="str"/>
      <x:c r="V31" s="21" t="str"/>
      <x:c r="W31" s="21" t="str"/>
      <x:c r="X31" s="21" t="str"/>
      <x:c r="Y31" s="21" t="str"/>
      <x:c r="Z31" s="29"/>
      <x:c r="AA31" s="29"/>
      <x:c r="AB31" s="21" t="str"/>
      <x:c r="AC31" s="21" t="str"/>
      <x:c r="AD31" s="21" t="str">
        <x:v>Source fields are preserved from the ranking file. Write research results only in the Verified fields.</x:v>
      </x:c>
    </x:row>
    <x:row r="32">
      <x:c r="A32" s="21" t="str">
        <x:v>KB031</x:v>
      </x:c>
      <x:c r="B32" s="21" t="n">
        <x:v>31</x:v>
      </x:c>
      <x:c r="C32" s="21" t="n">
        <x:v>31</x:v>
      </x:c>
      <x:c r="D32" s="21" t="str">
        <x:v>Abib</x:v>
      </x:c>
      <x:c r="E32" s="21" t="str">
        <x:v>https://abib.co.kr</x:v>
      </x:c>
      <x:c r="F32" s="21" t="str">
        <x:v>Skincare</x:v>
      </x:c>
      <x:c r="G32" s="21" t="str">
        <x:v>Heartleaf Spot Pad and sheet masks benefit from strong product design and calming-care content.</x:v>
      </x:c>
      <x:c r="H32" s="21" t="str">
        <x:v>Rising visibility in toner pads and sheet masks.</x:v>
      </x:c>
      <x:c r="I32" s="21" t="str"/>
      <x:c r="J32" s="21" t="str"/>
      <x:c r="K32" s="21" t="str"/>
      <x:c r="L32" s="21" t="str"/>
      <x:c r="M32" s="21" t="str">
        <x:v>Not Verified</x:v>
      </x:c>
      <x:c r="N32" s="21" t="str">
        <x:v>Not Started</x:v>
      </x:c>
      <x:c r="O32" s="21" t="str"/>
      <x:c r="P32" s="25"/>
      <x:c r="Q32" s="27"/>
      <x:c r="R32" s="27"/>
      <x:c r="S32" s="27"/>
      <x:c r="T32" s="27"/>
      <x:c r="U32" s="21" t="str"/>
      <x:c r="V32" s="21" t="str"/>
      <x:c r="W32" s="21" t="str"/>
      <x:c r="X32" s="21" t="str"/>
      <x:c r="Y32" s="21" t="str"/>
      <x:c r="Z32" s="29"/>
      <x:c r="AA32" s="29"/>
      <x:c r="AB32" s="21" t="str"/>
      <x:c r="AC32" s="21" t="str"/>
      <x:c r="AD32" s="21" t="str">
        <x:v>Source fields are preserved from the ranking file. Write research results only in the Verified fields.</x:v>
      </x:c>
    </x:row>
    <x:row r="33">
      <x:c r="A33" s="21" t="str">
        <x:v>KB032</x:v>
      </x:c>
      <x:c r="B33" s="21" t="n">
        <x:v>32</x:v>
      </x:c>
      <x:c r="C33" s="21" t="n">
        <x:v>32</x:v>
      </x:c>
      <x:c r="D33" s="21" t="str">
        <x:v>Innisfree</x:v>
      </x:c>
      <x:c r="E33" s="21" t="str">
        <x:v>https://www.innisfree.com</x:v>
      </x:c>
      <x:c r="F33" s="21" t="str">
        <x:v>Skincare</x:v>
      </x:c>
      <x:c r="G33" s="21" t="str">
        <x:v>Green Tea Seed Serum and volcanic clay mask remain globally recognizable K-Beauty staples.</x:v>
      </x:c>
      <x:c r="H33" s="21" t="str">
        <x:v>Broad Amazon visibility supported by long-standing brand recognition.</x:v>
      </x:c>
      <x:c r="I33" s="21" t="str"/>
      <x:c r="J33" s="21" t="str"/>
      <x:c r="K33" s="21" t="str"/>
      <x:c r="L33" s="21" t="str"/>
      <x:c r="M33" s="21" t="str">
        <x:v>Not Verified</x:v>
      </x:c>
      <x:c r="N33" s="21" t="str">
        <x:v>Not Started</x:v>
      </x:c>
      <x:c r="O33" s="21" t="str"/>
      <x:c r="P33" s="25"/>
      <x:c r="Q33" s="27"/>
      <x:c r="R33" s="27"/>
      <x:c r="S33" s="27"/>
      <x:c r="T33" s="27"/>
      <x:c r="U33" s="21" t="str"/>
      <x:c r="V33" s="21" t="str"/>
      <x:c r="W33" s="21" t="str"/>
      <x:c r="X33" s="21" t="str"/>
      <x:c r="Y33" s="21" t="str"/>
      <x:c r="Z33" s="29"/>
      <x:c r="AA33" s="29"/>
      <x:c r="AB33" s="21" t="str"/>
      <x:c r="AC33" s="21" t="str"/>
      <x:c r="AD33" s="21" t="str">
        <x:v>Source fields are preserved from the ranking file. Write research results only in the Verified fields.</x:v>
      </x:c>
    </x:row>
    <x:row r="34">
      <x:c r="A34" s="21" t="str">
        <x:v>KB033</x:v>
      </x:c>
      <x:c r="B34" s="21" t="n">
        <x:v>33</x:v>
      </x:c>
      <x:c r="C34" s="21" t="n">
        <x:v>33</x:v>
      </x:c>
      <x:c r="D34" s="21" t="str">
        <x:v>Tocobo</x:v>
      </x:c>
      <x:c r="E34" s="21" t="str">
        <x:v>https://tocobo.com</x:v>
      </x:c>
      <x:c r="F34" s="21" t="str">
        <x:v>Sun Care / Skincare</x:v>
      </x:c>
      <x:c r="G34" s="21" t="str">
        <x:v>Cotton Soft Sun Stick gained attention for a matte finish and distinctive packaging.</x:v>
      </x:c>
      <x:c r="H34" s="21" t="str">
        <x:v>Fast growth in sun-stick search and category visibility.</x:v>
      </x:c>
      <x:c r="I34" s="21" t="str"/>
      <x:c r="J34" s="21" t="str"/>
      <x:c r="K34" s="21" t="str"/>
      <x:c r="L34" s="21" t="str"/>
      <x:c r="M34" s="21" t="str">
        <x:v>Not Verified</x:v>
      </x:c>
      <x:c r="N34" s="21" t="str">
        <x:v>Not Started</x:v>
      </x:c>
      <x:c r="O34" s="21" t="str"/>
      <x:c r="P34" s="25"/>
      <x:c r="Q34" s="27"/>
      <x:c r="R34" s="27"/>
      <x:c r="S34" s="27"/>
      <x:c r="T34" s="27"/>
      <x:c r="U34" s="21" t="str"/>
      <x:c r="V34" s="21" t="str"/>
      <x:c r="W34" s="21" t="str"/>
      <x:c r="X34" s="21" t="str"/>
      <x:c r="Y34" s="21" t="str"/>
      <x:c r="Z34" s="29"/>
      <x:c r="AA34" s="29"/>
      <x:c r="AB34" s="21" t="str"/>
      <x:c r="AC34" s="21" t="str"/>
      <x:c r="AD34" s="21" t="str">
        <x:v>Source fields are preserved from the ranking file. Write research results only in the Verified fields.</x:v>
      </x:c>
    </x:row>
    <x:row r="35">
      <x:c r="A35" s="21" t="str">
        <x:v>KB034</x:v>
      </x:c>
      <x:c r="B35" s="21" t="n">
        <x:v>34</x:v>
      </x:c>
      <x:c r="C35" s="21" t="n">
        <x:v>34</x:v>
      </x:c>
      <x:c r="D35" s="21" t="str">
        <x:v>Mary&amp;May</x:v>
      </x:c>
      <x:c r="E35" s="21" t="str">
        <x:v>https://marynmay.com</x:v>
      </x:c>
      <x:c r="F35" s="21" t="str">
        <x:v>Skincare</x:v>
      </x:c>
      <x:c r="G35" s="21" t="str">
        <x:v>Blackberry Complex products benefit from vegan and clean-beauty trends.</x:v>
      </x:c>
      <x:c r="H35" s="21" t="str">
        <x:v>Rising clean-beauty visibility in essences and eye creams.</x:v>
      </x:c>
      <x:c r="I35" s="21" t="str"/>
      <x:c r="J35" s="21" t="str"/>
      <x:c r="K35" s="21" t="str"/>
      <x:c r="L35" s="21" t="str"/>
      <x:c r="M35" s="21" t="str">
        <x:v>Not Verified</x:v>
      </x:c>
      <x:c r="N35" s="21" t="str">
        <x:v>Not Started</x:v>
      </x:c>
      <x:c r="O35" s="21" t="str"/>
      <x:c r="P35" s="25"/>
      <x:c r="Q35" s="27"/>
      <x:c r="R35" s="27"/>
      <x:c r="S35" s="27"/>
      <x:c r="T35" s="27"/>
      <x:c r="U35" s="21" t="str"/>
      <x:c r="V35" s="21" t="str"/>
      <x:c r="W35" s="21" t="str"/>
      <x:c r="X35" s="21" t="str"/>
      <x:c r="Y35" s="21" t="str"/>
      <x:c r="Z35" s="29"/>
      <x:c r="AA35" s="29"/>
      <x:c r="AB35" s="21" t="str"/>
      <x:c r="AC35" s="21" t="str"/>
      <x:c r="AD35" s="21" t="str">
        <x:v>Source fields are preserved from the ranking file. Write research results only in the Verified fields.</x:v>
      </x:c>
    </x:row>
    <x:row r="36">
      <x:c r="A36" s="21" t="str">
        <x:v>KB035</x:v>
      </x:c>
      <x:c r="B36" s="21" t="n">
        <x:v>35</x:v>
      </x:c>
      <x:c r="C36" s="21" t="n">
        <x:v>35</x:v>
      </x:c>
      <x:c r="D36" s="21" t="str">
        <x:v>Jumiso</x:v>
      </x:c>
      <x:c r="E36" s="21" t="str">
        <x:v>https://jumiso.us</x:v>
      </x:c>
      <x:c r="F36" s="21" t="str">
        <x:v>Skincare</x:v>
      </x:c>
      <x:c r="G36" s="21" t="str">
        <x:v>All Day Vitamin serum has received repeated praise from international beauty creators.</x:v>
      </x:c>
      <x:c r="H36" s="21" t="str">
        <x:v>Strong competition in vitamin C serum searches.</x:v>
      </x:c>
      <x:c r="I36" s="21" t="str"/>
      <x:c r="J36" s="21" t="str"/>
      <x:c r="K36" s="21" t="str"/>
      <x:c r="L36" s="21" t="str"/>
      <x:c r="M36" s="21" t="str">
        <x:v>Not Verified</x:v>
      </x:c>
      <x:c r="N36" s="21" t="str">
        <x:v>Not Started</x:v>
      </x:c>
      <x:c r="O36" s="21" t="str"/>
      <x:c r="P36" s="25"/>
      <x:c r="Q36" s="27"/>
      <x:c r="R36" s="27"/>
      <x:c r="S36" s="27"/>
      <x:c r="T36" s="27"/>
      <x:c r="U36" s="21" t="str"/>
      <x:c r="V36" s="21" t="str"/>
      <x:c r="W36" s="21" t="str"/>
      <x:c r="X36" s="21" t="str"/>
      <x:c r="Y36" s="21" t="str"/>
      <x:c r="Z36" s="29"/>
      <x:c r="AA36" s="29"/>
      <x:c r="AB36" s="21" t="str"/>
      <x:c r="AC36" s="21" t="str"/>
      <x:c r="AD36" s="21" t="str">
        <x:v>Source fields are preserved from the ranking file. Write research results only in the Verified fields.</x:v>
      </x:c>
    </x:row>
    <x:row r="37">
      <x:c r="A37" s="21" t="str">
        <x:v>KB036</x:v>
      </x:c>
      <x:c r="B37" s="21" t="n">
        <x:v>36</x:v>
      </x:c>
      <x:c r="C37" s="21" t="n">
        <x:v>36</x:v>
      </x:c>
      <x:c r="D37" s="21" t="str">
        <x:v>Kaja</x:v>
      </x:c>
      <x:c r="E37" s="21" t="str">
        <x:v>https://kajabeauty.com</x:v>
      </x:c>
      <x:c r="F37" s="21" t="str">
        <x:v>Makeup</x:v>
      </x:c>
      <x:c r="G37" s="21" t="str">
        <x:v>Beauty Bento and Cheeky Stamp generate highly visual, playful TikTok demonstrations.</x:v>
      </x:c>
      <x:c r="H37" s="21" t="str">
        <x:v>High visibility among novelty and visual makeup products for younger consumers.</x:v>
      </x:c>
      <x:c r="I37" s="21" t="str"/>
      <x:c r="J37" s="21" t="str"/>
      <x:c r="K37" s="21" t="str"/>
      <x:c r="L37" s="21" t="str"/>
      <x:c r="M37" s="21" t="str">
        <x:v>Not Verified</x:v>
      </x:c>
      <x:c r="N37" s="21" t="str">
        <x:v>Not Started</x:v>
      </x:c>
      <x:c r="O37" s="21" t="str"/>
      <x:c r="P37" s="25"/>
      <x:c r="Q37" s="27"/>
      <x:c r="R37" s="27"/>
      <x:c r="S37" s="27"/>
      <x:c r="T37" s="27"/>
      <x:c r="U37" s="21" t="str"/>
      <x:c r="V37" s="21" t="str"/>
      <x:c r="W37" s="21" t="str"/>
      <x:c r="X37" s="21" t="str"/>
      <x:c r="Y37" s="21" t="str"/>
      <x:c r="Z37" s="29"/>
      <x:c r="AA37" s="29"/>
      <x:c r="AB37" s="21" t="str"/>
      <x:c r="AC37" s="21" t="str"/>
      <x:c r="AD37" s="21" t="str">
        <x:v>Source fields are preserved from the ranking file. Write research results only in the Verified fields.</x:v>
      </x:c>
    </x:row>
    <x:row r="38">
      <x:c r="A38" s="21" t="str">
        <x:v>KB037</x:v>
      </x:c>
      <x:c r="B38" s="21" t="n">
        <x:v>37</x:v>
      </x:c>
      <x:c r="C38" s="21" t="n">
        <x:v>37</x:v>
      </x:c>
      <x:c r="D38" s="21" t="str">
        <x:v>Rovectin</x:v>
      </x:c>
      <x:c r="E38" s="21" t="str">
        <x:v>https://rovectin.com</x:v>
      </x:c>
      <x:c r="F38" s="21" t="str">
        <x:v>Skincare</x:v>
      </x:c>
      <x:c r="G38" s="21" t="str">
        <x:v>Essential Treatment Lotion is frequently recommended for highly sensitive skin.</x:v>
      </x:c>
      <x:c r="H38" s="21" t="str">
        <x:v>Steady demand in skin-barrier and clean-beauty categories.</x:v>
      </x:c>
      <x:c r="I38" s="21" t="str"/>
      <x:c r="J38" s="21" t="str"/>
      <x:c r="K38" s="21" t="str"/>
      <x:c r="L38" s="21" t="str"/>
      <x:c r="M38" s="21" t="str">
        <x:v>Not Verified</x:v>
      </x:c>
      <x:c r="N38" s="21" t="str">
        <x:v>Not Started</x:v>
      </x:c>
      <x:c r="O38" s="21" t="str"/>
      <x:c r="P38" s="25"/>
      <x:c r="Q38" s="27"/>
      <x:c r="R38" s="27"/>
      <x:c r="S38" s="27"/>
      <x:c r="T38" s="27"/>
      <x:c r="U38" s="21" t="str"/>
      <x:c r="V38" s="21" t="str"/>
      <x:c r="W38" s="21" t="str"/>
      <x:c r="X38" s="21" t="str"/>
      <x:c r="Y38" s="21" t="str"/>
      <x:c r="Z38" s="29"/>
      <x:c r="AA38" s="29"/>
      <x:c r="AB38" s="21" t="str"/>
      <x:c r="AC38" s="21" t="str"/>
      <x:c r="AD38" s="21" t="str">
        <x:v>Source fields are preserved from the ranking file. Write research results only in the Verified fields.</x:v>
      </x:c>
    </x:row>
    <x:row r="39">
      <x:c r="A39" s="21" t="str">
        <x:v>KB038</x:v>
      </x:c>
      <x:c r="B39" s="21" t="n">
        <x:v>38</x:v>
      </x:c>
      <x:c r="C39" s="21" t="n">
        <x:v>38</x:v>
      </x:c>
      <x:c r="D39" s="21" t="str">
        <x:v>Lilybyred</x:v>
      </x:c>
      <x:c r="E39" s="21" t="str">
        <x:v>https://www.lilybyred.com</x:v>
      </x:c>
      <x:c r="F39" s="21" t="str">
        <x:v>Makeup</x:v>
      </x:c>
      <x:c r="G39" s="21" t="str">
        <x:v>Glassy Layer Fixing Tint and gel eyeliner appear in color-focused makeup tutorials.</x:v>
      </x:c>
      <x:c r="H39" s="21" t="str">
        <x:v>Rising K-color-makeup visibility in point makeup.</x:v>
      </x:c>
      <x:c r="I39" s="21" t="str"/>
      <x:c r="J39" s="21" t="str"/>
      <x:c r="K39" s="21" t="str"/>
      <x:c r="L39" s="21" t="str"/>
      <x:c r="M39" s="21" t="str">
        <x:v>Not Verified</x:v>
      </x:c>
      <x:c r="N39" s="21" t="str">
        <x:v>Not Started</x:v>
      </x:c>
      <x:c r="O39" s="21" t="str"/>
      <x:c r="P39" s="25"/>
      <x:c r="Q39" s="27"/>
      <x:c r="R39" s="27"/>
      <x:c r="S39" s="27"/>
      <x:c r="T39" s="27"/>
      <x:c r="U39" s="21" t="str"/>
      <x:c r="V39" s="21" t="str"/>
      <x:c r="W39" s="21" t="str"/>
      <x:c r="X39" s="21" t="str"/>
      <x:c r="Y39" s="21" t="str"/>
      <x:c r="Z39" s="29"/>
      <x:c r="AA39" s="29"/>
      <x:c r="AB39" s="21" t="str"/>
      <x:c r="AC39" s="21" t="str"/>
      <x:c r="AD39" s="21" t="str">
        <x:v>Source fields are preserved from the ranking file. Write research results only in the Verified fields.</x:v>
      </x:c>
    </x:row>
    <x:row r="40">
      <x:c r="A40" s="21" t="str">
        <x:v>KB039</x:v>
      </x:c>
      <x:c r="B40" s="21" t="n">
        <x:v>39</x:v>
      </x:c>
      <x:c r="C40" s="21" t="n">
        <x:v>39</x:v>
      </x:c>
      <x:c r="D40" s="21" t="str">
        <x:v>MISSHA</x:v>
      </x:c>
      <x:c r="E40" s="21" t="str">
        <x:v>https://www.misha.us</x:v>
      </x:c>
      <x:c r="F40" s="21" t="str">
        <x:v>Skincare / Makeup</x:v>
      </x:c>
      <x:c r="G40" s="21" t="str">
        <x:v>Time Revolution Night Repair Ampoule is discussed as an affordable alternative to prestige products.</x:v>
      </x:c>
      <x:c r="H40" s="21" t="str">
        <x:v>Stable demand from long-term customers in BB cream and essence categories.</x:v>
      </x:c>
      <x:c r="I40" s="21" t="str"/>
      <x:c r="J40" s="21" t="str"/>
      <x:c r="K40" s="21" t="str"/>
      <x:c r="L40" s="21" t="str"/>
      <x:c r="M40" s="21" t="str">
        <x:v>Not Verified</x:v>
      </x:c>
      <x:c r="N40" s="21" t="str">
        <x:v>Not Started</x:v>
      </x:c>
      <x:c r="O40" s="21" t="str"/>
      <x:c r="P40" s="25"/>
      <x:c r="Q40" s="27"/>
      <x:c r="R40" s="27"/>
      <x:c r="S40" s="27"/>
      <x:c r="T40" s="27"/>
      <x:c r="U40" s="21" t="str"/>
      <x:c r="V40" s="21" t="str"/>
      <x:c r="W40" s="21" t="str"/>
      <x:c r="X40" s="21" t="str"/>
      <x:c r="Y40" s="21" t="str"/>
      <x:c r="Z40" s="29"/>
      <x:c r="AA40" s="29"/>
      <x:c r="AB40" s="21" t="str"/>
      <x:c r="AC40" s="21" t="str"/>
      <x:c r="AD40" s="21" t="str">
        <x:v>Source fields are preserved from the ranking file. Write research results only in the Verified fields.</x:v>
      </x:c>
    </x:row>
    <x:row r="41">
      <x:c r="A41" s="21" t="str">
        <x:v>KB040</x:v>
      </x:c>
      <x:c r="B41" s="21" t="n">
        <x:v>40</x:v>
      </x:c>
      <x:c r="C41" s="21" t="n">
        <x:v>40</x:v>
      </x:c>
      <x:c r="D41" s="21" t="str">
        <x:v>The Face Shop</x:v>
      </x:c>
      <x:c r="E41" s="21" t="str">
        <x:v>https://thefaceshop.com</x:v>
      </x:c>
      <x:c r="F41" s="21" t="str">
        <x:v>Cleansing / Skincare</x:v>
      </x:c>
      <x:c r="G41" s="21" t="str">
        <x:v>Rice Water Bright Cleansing Oil appears frequently in basic cleansing-routine content.</x:v>
      </x:c>
      <x:c r="H41" s="21" t="str">
        <x:v>Long-running visibility in cleansing oil and foam products.</x:v>
      </x:c>
      <x:c r="I41" s="21" t="str"/>
      <x:c r="J41" s="21" t="str"/>
      <x:c r="K41" s="21" t="str"/>
      <x:c r="L41" s="21" t="str"/>
      <x:c r="M41" s="21" t="str">
        <x:v>Not Verified</x:v>
      </x:c>
      <x:c r="N41" s="21" t="str">
        <x:v>Not Started</x:v>
      </x:c>
      <x:c r="O41" s="21" t="str"/>
      <x:c r="P41" s="25"/>
      <x:c r="Q41" s="27"/>
      <x:c r="R41" s="27"/>
      <x:c r="S41" s="27"/>
      <x:c r="T41" s="27"/>
      <x:c r="U41" s="21" t="str"/>
      <x:c r="V41" s="21" t="str"/>
      <x:c r="W41" s="21" t="str"/>
      <x:c r="X41" s="21" t="str"/>
      <x:c r="Y41" s="21" t="str"/>
      <x:c r="Z41" s="29"/>
      <x:c r="AA41" s="29"/>
      <x:c r="AB41" s="21" t="str"/>
      <x:c r="AC41" s="21" t="str"/>
      <x:c r="AD41" s="21" t="str">
        <x:v>Source fields are preserved from the ranking file. Write research results only in the Verified fields.</x:v>
      </x:c>
    </x:row>
    <x:row r="42">
      <x:c r="A42" s="21" t="str">
        <x:v>KB041</x:v>
      </x:c>
      <x:c r="B42" s="21" t="n">
        <x:v>41</x:v>
      </x:c>
      <x:c r="C42" s="21"/>
      <x:c r="D42" s="21" t="str">
        <x:v>fwee</x:v>
      </x:c>
      <x:c r="E42" s="21" t="str"/>
      <x:c r="F42" s="21" t="str"/>
      <x:c r="G42" s="21" t="str"/>
      <x:c r="H42" s="21" t="str"/>
      <x:c r="I42" s="21" t="str"/>
      <x:c r="J42" s="21" t="str"/>
      <x:c r="K42" s="21" t="str"/>
      <x:c r="L42" s="21" t="str"/>
      <x:c r="M42" s="21" t="str">
        <x:v>Not Verified</x:v>
      </x:c>
      <x:c r="N42" s="21" t="str">
        <x:v>Not Started</x:v>
      </x:c>
      <x:c r="O42" s="21" t="str"/>
      <x:c r="P42" s="25"/>
      <x:c r="Q42" s="27"/>
      <x:c r="R42" s="27"/>
      <x:c r="S42" s="27"/>
      <x:c r="T42" s="27"/>
      <x:c r="U42" s="21" t="str"/>
      <x:c r="V42" s="21" t="str"/>
      <x:c r="W42" s="21" t="str"/>
      <x:c r="X42" s="21" t="str"/>
      <x:c r="Y42" s="21" t="str"/>
      <x:c r="Z42" s="29"/>
      <x:c r="AA42" s="29"/>
      <x:c r="AB42" s="21" t="str"/>
      <x:c r="AC42" s="21" t="str"/>
      <x:c r="AD42" s="21" t="str">
        <x:v>Unranked candidate. Do not research until the Top 40 are complete and the user gives separate approval.</x:v>
      </x:c>
    </x:row>
    <x:row r="43">
      <x:c r="A43" s="21" t="str">
        <x:v>KB042</x:v>
      </x:c>
      <x:c r="B43" s="21" t="n">
        <x:v>42</x:v>
      </x:c>
      <x:c r="C43" s="21"/>
      <x:c r="D43" s="21" t="str">
        <x:v>Jung Saem mool</x:v>
      </x:c>
      <x:c r="E43" s="21" t="str"/>
      <x:c r="F43" s="21" t="str"/>
      <x:c r="G43" s="21" t="str"/>
      <x:c r="H43" s="21" t="str"/>
      <x:c r="I43" s="21" t="str"/>
      <x:c r="J43" s="21" t="str"/>
      <x:c r="K43" s="21" t="str"/>
      <x:c r="L43" s="21" t="str"/>
      <x:c r="M43" s="21" t="str">
        <x:v>Not Verified</x:v>
      </x:c>
      <x:c r="N43" s="21" t="str">
        <x:v>Not Started</x:v>
      </x:c>
      <x:c r="O43" s="21" t="str"/>
      <x:c r="P43" s="25"/>
      <x:c r="Q43" s="27"/>
      <x:c r="R43" s="27"/>
      <x:c r="S43" s="27"/>
      <x:c r="T43" s="27"/>
      <x:c r="U43" s="21" t="str"/>
      <x:c r="V43" s="21" t="str"/>
      <x:c r="W43" s="21" t="str"/>
      <x:c r="X43" s="21" t="str"/>
      <x:c r="Y43" s="21" t="str"/>
      <x:c r="Z43" s="29"/>
      <x:c r="AA43" s="29"/>
      <x:c r="AB43" s="21" t="str"/>
      <x:c r="AC43" s="21" t="str"/>
      <x:c r="AD43" s="21" t="str">
        <x:v>Unranked candidate. Do not research until the Top 40 are complete and the user gives separate approval.</x:v>
      </x:c>
    </x:row>
    <x:row r="44">
      <x:c r="A44" s="21" t="str">
        <x:v>KB043</x:v>
      </x:c>
      <x:c r="B44" s="21" t="n">
        <x:v>43</x:v>
      </x:c>
      <x:c r="C44" s="21"/>
      <x:c r="D44" s="21" t="str">
        <x:v>Medicube</x:v>
      </x:c>
      <x:c r="E44" s="21" t="str"/>
      <x:c r="F44" s="21" t="str"/>
      <x:c r="G44" s="21" t="str"/>
      <x:c r="H44" s="21" t="str"/>
      <x:c r="I44" s="21" t="str"/>
      <x:c r="J44" s="21" t="str"/>
      <x:c r="K44" s="21" t="str"/>
      <x:c r="L44" s="21" t="str"/>
      <x:c r="M44" s="21" t="str">
        <x:v>Not Verified</x:v>
      </x:c>
      <x:c r="N44" s="21" t="str">
        <x:v>Not Started</x:v>
      </x:c>
      <x:c r="O44" s="21" t="str"/>
      <x:c r="P44" s="25"/>
      <x:c r="Q44" s="27"/>
      <x:c r="R44" s="27"/>
      <x:c r="S44" s="27"/>
      <x:c r="T44" s="27"/>
      <x:c r="U44" s="21" t="str"/>
      <x:c r="V44" s="21" t="str"/>
      <x:c r="W44" s="21" t="str"/>
      <x:c r="X44" s="21" t="str"/>
      <x:c r="Y44" s="21" t="str"/>
      <x:c r="Z44" s="29"/>
      <x:c r="AA44" s="29"/>
      <x:c r="AB44" s="21" t="str"/>
      <x:c r="AC44" s="21" t="str"/>
      <x:c r="AD44" s="21" t="str">
        <x:v>Unranked candidate. Do not research until the Top 40 are complete and the user gives separate approval.</x:v>
      </x:c>
    </x:row>
    <x:row r="45">
      <x:c r="A45" s="21" t="str">
        <x:v>KB044</x:v>
      </x:c>
      <x:c r="B45" s="21" t="n">
        <x:v>44</x:v>
      </x:c>
      <x:c r="C45" s="21"/>
      <x:c r="D45" s="21" t="str">
        <x:v>Biodance</x:v>
      </x:c>
      <x:c r="E45" s="21" t="str"/>
      <x:c r="F45" s="21" t="str"/>
      <x:c r="G45" s="21" t="str"/>
      <x:c r="H45" s="21" t="str"/>
      <x:c r="I45" s="21" t="str"/>
      <x:c r="J45" s="21" t="str"/>
      <x:c r="K45" s="21" t="str"/>
      <x:c r="L45" s="21" t="str"/>
      <x:c r="M45" s="21" t="str">
        <x:v>Not Verified</x:v>
      </x:c>
      <x:c r="N45" s="21" t="str">
        <x:v>Not Started</x:v>
      </x:c>
      <x:c r="O45" s="21" t="str"/>
      <x:c r="P45" s="25"/>
      <x:c r="Q45" s="27"/>
      <x:c r="R45" s="27"/>
      <x:c r="S45" s="27"/>
      <x:c r="T45" s="27"/>
      <x:c r="U45" s="21" t="str"/>
      <x:c r="V45" s="21" t="str"/>
      <x:c r="W45" s="21" t="str"/>
      <x:c r="X45" s="21" t="str"/>
      <x:c r="Y45" s="21" t="str"/>
      <x:c r="Z45" s="29"/>
      <x:c r="AA45" s="29"/>
      <x:c r="AB45" s="21" t="str"/>
      <x:c r="AC45" s="21" t="str"/>
      <x:c r="AD45" s="21" t="str">
        <x:v>Unranked candidate. Do not research until the Top 40 are complete and the user gives separate approval.</x:v>
      </x:c>
    </x:row>
    <x:row r="46">
      <x:c r="A46" s="21" t="str">
        <x:v>KB045</x:v>
      </x:c>
      <x:c r="B46" s="21" t="n">
        <x:v>45</x:v>
      </x:c>
      <x:c r="C46" s="21"/>
      <x:c r="D46" s="21" t="str">
        <x:v>FULLY</x:v>
      </x:c>
      <x:c r="E46" s="21" t="str"/>
      <x:c r="F46" s="21" t="str"/>
      <x:c r="G46" s="21" t="str"/>
      <x:c r="H46" s="21" t="str"/>
      <x:c r="I46" s="21" t="str"/>
      <x:c r="J46" s="21" t="str"/>
      <x:c r="K46" s="21" t="str"/>
      <x:c r="L46" s="21" t="str"/>
      <x:c r="M46" s="21" t="str">
        <x:v>Not Verified</x:v>
      </x:c>
      <x:c r="N46" s="21" t="str">
        <x:v>Not Started</x:v>
      </x:c>
      <x:c r="O46" s="21" t="str"/>
      <x:c r="P46" s="25"/>
      <x:c r="Q46" s="27"/>
      <x:c r="R46" s="27"/>
      <x:c r="S46" s="27"/>
      <x:c r="T46" s="27"/>
      <x:c r="U46" s="21" t="str"/>
      <x:c r="V46" s="21" t="str"/>
      <x:c r="W46" s="21" t="str"/>
      <x:c r="X46" s="21" t="str"/>
      <x:c r="Y46" s="21" t="str"/>
      <x:c r="Z46" s="29"/>
      <x:c r="AA46" s="29"/>
      <x:c r="AB46" s="21" t="str"/>
      <x:c r="AC46" s="21" t="str"/>
      <x:c r="AD46" s="21" t="str">
        <x:v>Unranked candidate. Do not research until the Top 40 are complete and the user gives separate approval.</x:v>
      </x:c>
    </x:row>
    <x:row r="47">
      <x:c r="A47" s="21" t="str">
        <x:v>KB046</x:v>
      </x:c>
      <x:c r="B47" s="21" t="n">
        <x:v>46</x:v>
      </x:c>
      <x:c r="C47" s="21"/>
      <x:c r="D47" s="21" t="str">
        <x:v>Laka</x:v>
      </x:c>
      <x:c r="E47" s="21" t="str"/>
      <x:c r="F47" s="21" t="str"/>
      <x:c r="G47" s="21" t="str"/>
      <x:c r="H47" s="21" t="str"/>
      <x:c r="I47" s="21" t="str"/>
      <x:c r="J47" s="21" t="str"/>
      <x:c r="K47" s="21" t="str"/>
      <x:c r="L47" s="21" t="str"/>
      <x:c r="M47" s="21" t="str">
        <x:v>Not Verified</x:v>
      </x:c>
      <x:c r="N47" s="21" t="str">
        <x:v>Not Started</x:v>
      </x:c>
      <x:c r="O47" s="21" t="str"/>
      <x:c r="P47" s="25"/>
      <x:c r="Q47" s="27"/>
      <x:c r="R47" s="27"/>
      <x:c r="S47" s="27"/>
      <x:c r="T47" s="27"/>
      <x:c r="U47" s="21" t="str"/>
      <x:c r="V47" s="21" t="str"/>
      <x:c r="W47" s="21" t="str"/>
      <x:c r="X47" s="21" t="str"/>
      <x:c r="Y47" s="21" t="str"/>
      <x:c r="Z47" s="29"/>
      <x:c r="AA47" s="29"/>
      <x:c r="AB47" s="21" t="str"/>
      <x:c r="AC47" s="21" t="str"/>
      <x:c r="AD47" s="21" t="str">
        <x:v>Unranked candidate. Do not research until the Top 40 are complete and the user gives separate approval.</x:v>
      </x:c>
    </x:row>
    <x:row r="48">
      <x:c r="A48" s="21" t="str">
        <x:v>KB047</x:v>
      </x:c>
      <x:c r="B48" s="21" t="n">
        <x:v>47</x:v>
      </x:c>
      <x:c r="C48" s="21"/>
      <x:c r="D48" s="21" t="str">
        <x:v>Arencia</x:v>
      </x:c>
      <x:c r="E48" s="21" t="str"/>
      <x:c r="F48" s="21" t="str"/>
      <x:c r="G48" s="21" t="str"/>
      <x:c r="H48" s="21" t="str"/>
      <x:c r="I48" s="21" t="str"/>
      <x:c r="J48" s="21" t="str"/>
      <x:c r="K48" s="21" t="str"/>
      <x:c r="L48" s="21" t="str"/>
      <x:c r="M48" s="21" t="str">
        <x:v>Not Verified</x:v>
      </x:c>
      <x:c r="N48" s="21" t="str">
        <x:v>Not Started</x:v>
      </x:c>
      <x:c r="O48" s="21" t="str"/>
      <x:c r="P48" s="25"/>
      <x:c r="Q48" s="27"/>
      <x:c r="R48" s="27"/>
      <x:c r="S48" s="27"/>
      <x:c r="T48" s="27"/>
      <x:c r="U48" s="21" t="str"/>
      <x:c r="V48" s="21" t="str"/>
      <x:c r="W48" s="21" t="str"/>
      <x:c r="X48" s="21" t="str"/>
      <x:c r="Y48" s="21" t="str"/>
      <x:c r="Z48" s="29"/>
      <x:c r="AA48" s="29"/>
      <x:c r="AB48" s="21" t="str"/>
      <x:c r="AC48" s="21" t="str"/>
      <x:c r="AD48" s="21" t="str">
        <x:v>Unranked candidate. Do not research until the Top 40 are complete and the user gives separate approval.</x:v>
      </x:c>
    </x:row>
    <x:row r="49">
      <x:c r="A49" s="21" t="str">
        <x:v>KB048</x:v>
      </x:c>
      <x:c r="B49" s="21" t="n">
        <x:v>48</x:v>
      </x:c>
      <x:c r="C49" s="21"/>
      <x:c r="D49" s="21" t="str">
        <x:v>Asteura</x:v>
      </x:c>
      <x:c r="E49" s="21" t="str"/>
      <x:c r="F49" s="21" t="str"/>
      <x:c r="G49" s="21" t="str"/>
      <x:c r="H49" s="21" t="str"/>
      <x:c r="I49" s="21" t="str"/>
      <x:c r="J49" s="21" t="str"/>
      <x:c r="K49" s="21" t="str"/>
      <x:c r="L49" s="21" t="str"/>
      <x:c r="M49" s="21" t="str">
        <x:v>Not Verified</x:v>
      </x:c>
      <x:c r="N49" s="21" t="str">
        <x:v>Not Started</x:v>
      </x:c>
      <x:c r="O49" s="21" t="str"/>
      <x:c r="P49" s="25"/>
      <x:c r="Q49" s="27"/>
      <x:c r="R49" s="27"/>
      <x:c r="S49" s="27"/>
      <x:c r="T49" s="27"/>
      <x:c r="U49" s="21" t="str"/>
      <x:c r="V49" s="21" t="str"/>
      <x:c r="W49" s="21" t="str"/>
      <x:c r="X49" s="21" t="str"/>
      <x:c r="Y49" s="21" t="str"/>
      <x:c r="Z49" s="29"/>
      <x:c r="AA49" s="29"/>
      <x:c r="AB49" s="21" t="str"/>
      <x:c r="AC49" s="21" t="str"/>
      <x:c r="AD49" s="21" t="str">
        <x:v>Unranked candidate. Do not research until the Top 40 are complete and the user gives separate approval.</x:v>
      </x:c>
    </x:row>
  </x:sheetData>
  <x:conditionalFormatting sqref="N2:N49">
    <x:cfRule type="containsText" dxfId="0" priority="1" operator="containsText" text="Approved"/>
    <x:cfRule type="containsText" dxfId="1" priority="2" operator="containsText" text="Revision"/>
    <x:cfRule type="containsText" dxfId="2" priority="3" operator="containsText" text="Excluded"/>
  </x:conditionalFormatting>
  <x:dataValidations count="4">
    <x:dataValidation type="list" sqref="M2:M49">
      <x:formula1>"Not Verified,Partially Verified,Verified,Conflicting Evidence"</x:formula1>
    </x:dataValidation>
    <x:dataValidation type="list" sqref="N2:N49">
      <x:formula1>"Not Started,Research in Progress,Research Complete - Awaiting Approval,Approved,Revision Requested,On Hold,Excluded"</x:formula1>
    </x:dataValidation>
    <x:dataValidation type="list" sqref="O2:O49">
      <x:formula1>",Approved,Revision Requested,On Hold,Excluded"</x:formula1>
    </x:dataValidation>
    <x:dataValidation type="list" sqref="U2:U49">
      <x:formula1>",A,B,C,D,E"</x:formula1>
    </x:dataValidation>
  </x:dataValidations>
  <x:pageMargins left="0.7" right="0.7" top="0.75" bottom="0.75" header="0.3" footer="0.3"/>
  <x:legacyDrawing xmlns:r="http://schemas.openxmlformats.org/officeDocument/2006/relationships" r:id="Rb7b5546f2c8c46dc"/>
  <x:tableParts count="1">
    <x:tablePart xmlns:r="http://schemas.openxmlformats.org/officeDocument/2006/relationships" r:id="R3c98a067c188436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4" hidden="0" customWidth="1"/>
    <x:col min="3" max="3" width="24" hidden="0" customWidth="1"/>
    <x:col min="4" max="4" width="10" hidden="0" customWidth="1"/>
    <x:col min="5" max="5" width="28" hidden="0" customWidth="1"/>
    <x:col min="6" max="6" width="28" hidden="0" customWidth="1"/>
    <x:col min="7" max="7" width="18" hidden="0" customWidth="1"/>
    <x:col min="8" max="8" width="28" hidden="0" customWidth="1"/>
    <x:col min="9" max="9" width="28" hidden="0" customWidth="1"/>
    <x:col min="10" max="10" width="16" hidden="0" customWidth="1"/>
    <x:col min="11" max="11" width="36" hidden="0" customWidth="1"/>
    <x:col min="12" max="12" width="36" hidden="0" customWidth="1"/>
    <x:col min="13" max="13" width="36" hidden="0" customWidth="1"/>
    <x:col min="14" max="14" width="36" hidden="0" customWidth="1"/>
    <x:col min="15" max="15" width="14" hidden="0" customWidth="1"/>
    <x:col min="16" max="16" width="36" hidden="0" customWidth="1"/>
    <x:col min="17" max="17" width="36" hidden="0" customWidth="1"/>
    <x:col min="18" max="18" width="36" hidden="0" customWidth="1"/>
    <x:col min="19" max="19" width="36" hidden="0" customWidth="1"/>
    <x:col min="20" max="20" width="36" hidden="0" customWidth="1"/>
    <x:col min="21" max="21" width="36" hidden="0" customWidth="1"/>
    <x:col min="22" max="22" width="36" hidden="0" customWidth="1"/>
    <x:col min="23" max="23" width="36" hidden="0" customWidth="1"/>
    <x:col min="24" max="24" width="16" hidden="0" customWidth="1"/>
    <x:col min="25" max="25" width="36" hidden="0" customWidth="1"/>
    <x:col min="26" max="26" width="36" hidden="0" customWidth="1"/>
    <x:col min="27" max="27" width="36" hidden="0" customWidth="1"/>
    <x:col min="28" max="28" width="36" hidden="0" customWidth="1"/>
    <x:col min="29" max="29" width="16" hidden="0" customWidth="1"/>
    <x:col min="30" max="30" width="16" hidden="0" customWidth="1"/>
  </x:cols>
  <x:sheetData>
    <x:row r="1">
      <x:c r="A1" s="14" t="str">
        <x:v>Brand_ID</x:v>
      </x:c>
      <x:c r="B1" s="14" t="str">
        <x:v>Brand Name</x:v>
      </x:c>
      <x:c r="C1" s="14" t="str">
        <x:v>Company</x:v>
      </x:c>
      <x:c r="D1" s="14" t="str">
        <x:v>Founded</x:v>
      </x:c>
      <x:c r="E1" s="14" t="str">
        <x:v>Brand Positioning</x:v>
      </x:c>
      <x:c r="F1" s="14" t="str">
        <x:v>Core Consumer</x:v>
      </x:c>
      <x:c r="G1" s="14" t="str">
        <x:v>U.S. Awareness Stage</x:v>
      </x:c>
      <x:c r="H1" s="14" t="str">
        <x:v>Official U.S. Distributor</x:v>
      </x:c>
      <x:c r="I1" s="14" t="str">
        <x:v>Key U.S. Sales Channels</x:v>
      </x:c>
      <x:c r="J1" s="14" t="str">
        <x:v>U.S. Price Tier</x:v>
      </x:c>
      <x:c r="K1" s="14" t="str">
        <x:v>Brand USP</x:v>
      </x:c>
      <x:c r="L1" s="14" t="str">
        <x:v>Verified U.S. Sales Facts</x:v>
      </x:c>
      <x:c r="M1" s="14" t="str">
        <x:v>Estimated Sales Scale</x:v>
      </x:c>
      <x:c r="N1" s="14" t="str">
        <x:v>Estimation Basis</x:v>
      </x:c>
      <x:c r="O1" s="14" t="str">
        <x:v>Estimate Confidence</x:v>
      </x:c>
      <x:c r="P1" s="14" t="str">
        <x:v>Positive Consumer Summary</x:v>
      </x:c>
      <x:c r="Q1" s="14" t="str">
        <x:v>Negative Consumer Summary</x:v>
      </x:c>
      <x:c r="R1" s="14" t="str">
        <x:v>TikTok / Instagram Summary</x:v>
      </x:c>
      <x:c r="S1" s="14" t="str">
        <x:v>Reddit Summary</x:v>
      </x:c>
      <x:c r="T1" s="14" t="str">
        <x:v>Competing Brands</x:v>
      </x:c>
      <x:c r="U1" s="14" t="str">
        <x:v>U.S. Market Opportunity</x:v>
      </x:c>
      <x:c r="V1" s="14" t="str">
        <x:v>Key Risks</x:v>
      </x:c>
      <x:c r="W1" s="14" t="str">
        <x:v>Regulatory Pre-Screen</x:v>
      </x:c>
      <x:c r="X1" s="14" t="str">
        <x:v>Recommended MSRP</x:v>
      </x:c>
      <x:c r="Y1" s="14" t="str">
        <x:v>Recommended Channels</x:v>
      </x:c>
      <x:c r="Z1" s="14" t="str">
        <x:v>U.S. Marketing Message</x:v>
      </x:c>
      <x:c r="AA1" s="14" t="str">
        <x:v>Final Conclusion</x:v>
      </x:c>
      <x:c r="AB1" s="14" t="str">
        <x:v>Detailed Report Link</x:v>
      </x:c>
      <x:c r="AC1" s="14" t="str">
        <x:v>Research As-of Date</x:v>
      </x:c>
      <x:c r="AD1" s="14" t="str">
        <x:v>Author</x:v>
      </x:c>
    </x:row>
    <x:row r="2" ht="132" customHeight="1">
      <x:c r="A2" s="20" t="str">
        <x:v>KB001</x:v>
      </x:c>
      <x:c r="B2" s="20" t="str">
        <x:v>COSRX</x:v>
      </x:c>
      <x:c r="C2" s="20" t="str">
        <x:v>COSRX Inc. — controlled subsidiary within Amorepacific Group; the 2023 acquisition disclosure scheduled Amorepacific ownership to reach 93.2% by 2025.</x:v>
      </x:c>
      <x:c r="D2" s="28" t="n">
        <x:v>2013</x:v>
      </x:c>
      <x:c r="E2" s="20" t="str">
        <x:v>South Korea-based, dermatology-inspired, ingredient-led K-Beauty positioned from value to accessible mid-market. The brand name combines “Cosmetics” and “RX.” Public materials support global scale, but a current U.S. legal entity/importer and headquarters address were not independently confirmed in this pass.</x:v>
      </x:c>
      <x:c r="F2" s="20" t="str">
        <x:v>Gen Z and millennial skincare shoppers; hydration/glow seekers; acne-prone and sensitive-skin consumers; ingredient-aware, price-conscious routines.</x:v>
      </x:c>
      <x:c r="G2" s="20" t="str">
        <x:v>Large Brand</x:v>
      </x:c>
      <x:c r="H2" s="20" t="str">
        <x:v>No separate exclusive U.S. distributor was identified publicly. COSRX lists official U.S. malls and authorized U.S. retailers; the contracting/importing entity, territory rights and any existing distributor obligations require confirmation.</x:v>
      </x:c>
      <x:c r="I2" s="20" t="str">
        <x:v>Official DTC; Amazon U.S.; TikTok Shop; Ulta; Ulta at Target; Walmart; JCPenney; Urban Outfitters; plus authorized global sellers including iHerb, YesStyle, StyleKorean, Stylevana, Jolse and Olive Young Global.</x:v>
      </x:c>
      <x:c r="J2" s="20" t="str">
        <x:v>Value to accessible mid-market; official hero-SKU list prices observed at $6–$26, with frequent Amazon and retailer discounting.</x:v>
      </x:c>
      <x:c r="K2" s="20" t="str">
        <x:v>Recognizable hero ingredients and simple problem/benefit architecture; 96% and 92% snail mucin flagships, low-pH cleanser, hydrocolloid patches and multi-peptide booster. Strong social proof and affordable price points reduce adoption friction.</x:v>
      </x:c>
      <x:c r="L2" s="20" t="str">
        <x:v>Amazon on 2026-07-29: Snail Essence 105,965 reviews, 4.6 rating, 40K+ bought/month, #191 Beauty &amp; Personal Care and #9 Facial Serums; Low pH Cleanser 21,110 reviews and 10K+ bought/month; 6 Peptide 12,363 reviews and 10K+ bought/month; Snail Cream 61,571 reviews and 10K+ bought/month; 48-count patch listing 63,102 reviews and 4K+ bought/month. Official TikTok Shop displayed 1.3M sold storewide.</x:v>
      </x:c>
      <x:c r="M2" s="20" t="str">
        <x:v>Large / mature U.S. digital brand; exact U.S. revenue and unit sell-through are not publicly disclosed.</x:v>
      </x:c>
      <x:c r="N2" s="20" t="str">
        <x:v>Based on direct Amazon purchase badges, ranks and review volumes; TikTok Shop sold displays; Ulta assortment/reviews; official authorized-channel list; and Amorepacific disclosures. No unit or revenue estimate was invented.</x:v>
      </x:c>
      <x:c r="O2" s="20" t="str">
        <x:v>High for current platform facts; Medium for aggregate market-scale inference.</x:v>
      </x:c>
      <x:c r="P2" s="20" t="str">
        <x:v>Repeated themes: hydration, glow, lightweight layering, approachable pricing, effective hydrocolloid patches and routine compatibility. Retailer ratings were generally 4.2–4.7 for sampled heroes.</x:v>
      </x:c>
      <x:c r="Q2" s="20" t="str">
        <x:v>Repeated themes: snail textures can feel sticky/slimy; some consumers report breakouts, dryness, scent concerns or limited visible effect; patches are more effective on surface/whitehead lesions than deep blemishes. Outcomes are individual and anecdotal.</x:v>
      </x:c>
      <x:c r="R2" s="20" t="str">
        <x:v>Official U.S. TikTok Shop displayed 123.6K+ followers, 1.3M sold and 2,327 videos. Product-level displays included 389.4K sold for peptide eye patches, 52.0K for 6 Peptide, 43.9K for Snail Essence, 24.6K for Snail Cream and 23.2K for Low pH Cleanser. TikTok’s campaign case study reports strong #PatThePeptide performance. Instagram @cosrx displayed about 780K followers.</x:v>
      </x:c>
      <x:c r="S2" s="20" t="str">
        <x:v>Reddit sampling was mixed but broadly consistent with retailer themes: many users call the Snail Essence hydrating, plumping or a repeat purchase; others describe stickiness, no noticeable effect or breakouts. Counterfeit concern is recurrent. Reddit evidence is anecdotal, non-audited and sometimes not U.S.-specific.</x:v>
      </x:c>
      <x:c r="T2" s="20" t="str">
        <x:v>Peach Slices (snail toner/cream), Hero Cosmetics (patches), CeraVe (cleanser), The Ordinary (peptide serum), plus Beauty of Joseon, Anua, Medicube, SKIN1004 and other high-awareness K-Beauty routines.</x:v>
      </x:c>
      <x:c r="U2" s="20" t="str">
        <x:v>High end-consumer demand and retail validation, but low opportunity for undifferentiated marketplace resale. Best fit is an authorized, protected regional/offline, specialty, multicultural or institutional account opportunity with clear territory, MAP and channel boundaries.</x:v>
      </x:c>
      <x:c r="V2" s="20" t="str">
        <x:v>Mature direct/retail coverage; price compression and promotion inconsistency; counterfeit/gray-market exposure outside authorized sellers; channel conflict; restricted access to wholesale margins; reliance on hero products; review volatility; and claims/regulatory risk for acne, healing, repair and anti-aging language.</x:v>
      </x:c>
      <x:c r="W2" s="20" t="str">
        <x:v>Pre-screen only. Confirm MoCRA facility registration/product listing and responsible-person obligations, English labeling/INCI/net contents, safety substantiation, serious-adverse-event process, importer of record, GMP evidence and claim substantiation. Pimple-patch acne/healing claims and other structure/function-like claims require U.S. regulatory counsel. No COSRX-specific FDA warning/recall result was found in scoped public searches; this is not a legal clearance.</x:v>
      </x:c>
      <x:c r="X2" s="30" t="str">
        <x:v>Maintain official U.S. portfolio MSRP bands ($6–$26 for sampled heroes) and negotiate channel-specific MAP/promotion rules. Do not base a distributor plan on prevailing marketplace discount prices.</x:v>
      </x:c>
      <x:c r="Y2" s="20" t="str">
        <x:v>Only authorized regional/offline or specialty channels with written territory and marketplace restrictions. Avoid unauthorized Amazon/Walmart resale; use retailer education, sampling and hero-SKU bundles where channel rights permit.</x:v>
      </x:c>
      <x:c r="Z2" s="20" t="str">
        <x:v>“Proven K-Beauty essentials for hydration, texture and everyday problem care at approachable prices.” Avoid disease-treatment, healing or guaranteed clinical-outcome wording unless the U.S. regulatory and substantiation file supports it.</x:v>
      </x:c>
      <x:c r="AA2" s="20" t="str">
        <x:v>Recommendation Grade B: strong consumer demand and proven omnichannel presence, but only a conditional distributor opportunity. Proceed to vendor diligence only if COSRX/Amorepacific offers authorized supply, defensible margins and protected channel rights with a complete U.S. regulatory file.</x:v>
      </x:c>
      <x:c r="AB2" s="20" t="str">
        <x:v>See sheets 03_Scoring through 10_Vendor_Terms in this workbook.</x:v>
      </x:c>
      <x:c r="AC2" s="24" t="str">
        <x:v>2026-07-29</x:v>
      </x:c>
      <x:c r="AD2" s="20" t="str">
        <x:v>Codex Deep Research</x:v>
      </x:c>
    </x:row>
    <x:row r="3" ht="240" customHeight="1">
      <x:c r="A3" s="21" t="str">
        <x:v>KB002</x:v>
      </x:c>
      <x:c r="B3" s="21" t="str">
        <x:v>Beauty of Joseon</x:v>
      </x:c>
      <x:c r="C3" s="21" t="str">
        <x:v>GOODAI GLOBAL INC. — entered an exclusive distribution agreement in 2017 and completed acquisition of Beauty of Joseon in 2019. Goodai's official milestones show GOODAI GLOBAL USA established in April 2026 and Hansung USA acquired in February 2026.</x:v>
      </x:c>
      <x:c r="D3" s="29" t="str">
        <x:v>2013 (commonly reported brand launch; exact founding documentation should be confirmed with the vendor)</x:v>
      </x:c>
      <x:c r="E3" s="21" t="str">
        <x:v>Hanbang-inspired K-Beauty translated into contemporary, fragrance-free and routine-friendly formulas. U.S. positioning is value to accessible mid-market, with strong sunscreen, retinal eye-care and glow/hydration credibility.</x:v>
      </x:c>
      <x:c r="F3" s="21" t="str">
        <x:v>Gen Z and millennial skincare shoppers; sunscreen-first K-Beauty adopters; ingredient-aware consumers seeking glow, hydration and gentle routines; price-sensitive Sephora/Amazon/TikTok shoppers.</x:v>
      </x:c>
      <x:c r="G3" s="21" t="str">
        <x:v>Large Brand / Category Leader</x:v>
      </x:c>
      <x:c r="H3" s="21" t="str">
        <x:v>Goodai Global is the parent/operator. Public corporate milestones show a newly established U.S. entity and Hansung USA acquisition, but no public evidence established open territory, exclusive wholesale rights or the exact contracting/importing entity available to a new distributor.</x:v>
      </x:c>
      <x:c r="I3" s="21" t="str">
        <x:v>Official DTC; Amazon U.S.; TikTok Shop U.S.; Sephora online/offline; Costco; TJ Maxx; Marshalls; Senti Senti; authorized specialty retailers and cross-border sellers. Walmart U.S. marketplace offers were observed but were not on the official U.S. authorized-retailer list.</x:v>
      </x:c>
      <x:c r="J3" s="21" t="str">
        <x:v>Affordable to accessible mid-market. Sampled U.S. list prices were $13–$24: Green Plum Cleanser $13, Revive Eye Serum $17, Glow Serum $17, Daily Relief Sunscreen $18 and Dynasty Cream 50 mL $24. Promotions frequently lowered effective prices.</x:v>
      </x:c>
      <x:c r="K3" s="21" t="str">
        <x:v>Distinctive Hanbang story plus modern actives, approachable price points and highly shareable textures. Relief Sun created the awareness halo; current Amazon demand is diversified across eye serum, cleanser, moisturizer and serum categories.</x:v>
      </x:c>
      <x:c r="L3" s="21" t="str">
        <x:v>Amazon on 2026-07-29: Revive Eye Serum — $17, 20,037 reviews, 4.3 rating, 50K+ bought/month, #235 Beauty &amp; Personal Care and #2 Eye Treatment Serums; Green Plum Cleanser — $13, 6,406 reviews, 4.6 rating, 10K+ bought/month, #837 Beauty &amp; Personal Care and #21 Facial Cleansing Washes; Dynasty Cream — $24, 7,719 reviews, 4.5 rating and 6K+ bought/month; Glow Serum — $14.50, 1,571 reviews, 4.6 rating and 6K+ bought/month. All four were sold by BEAUTY OF JOSEON OFFICIAL when checked.</x:v>
      </x:c>
      <x:c r="M3" s="21" t="str">
        <x:v>Very large digital brand with multiple high-velocity U.S. heroes; exact U.S. revenue and audited unit sell-through are not publicly disclosed.</x:v>
      </x:c>
      <x:c r="N3" s="21" t="str">
        <x:v>Direct Amazon purchase badges, ranks, review volumes and official-seller checks; official TikTok Shop public totals; Sephora assortment/reviews; official authorized-retailer list; and Goodai corporate milestones. No monthly revenue was inferred.</x:v>
      </x:c>
      <x:c r="O3" s="21" t="str">
        <x:v>High for current platform facts; Medium for aggregate market-scale and distributor-access conclusions.</x:v>
      </x:c>
      <x:c r="P3" s="21" t="str">
        <x:v>Common positives: elegant lightweight textures, no/low white cast for many sunscreen users, strong value, hydration and glow, gentle cleanser feel, and visible smoothing or improved texture from the eye serum for some users.</x:v>
      </x:c>
      <x:c r="Q3" s="21" t="str">
        <x:v>Common negatives: sunscreen can pill, feel greasy or sting on some skin; retinal eye serum can cause dryness, peeling, stinging or swelling; Glow Serum can feel sticky or insufficiently hydrating; results vary and sensitivity requires gradual use/patch testing.</x:v>
      </x:c>
      <x:c r="R3" s="21" t="str">
        <x:v>Official About page reports 700K Instagram and 220K TikTok followers. The official Beauty of Joseon US TikTok Shop displayed 84.6K+ followers and 657.2K sold; public product displays included 8.2K sold for Revive Under Eye Patches, 8.0K for Green Plum Cleanser, 24.8K for Glow Deep Serum and large sunscreen interest. Store/product totals are cumulative platform displays and promotion-sensitive.</x:v>
      </x:c>
      <x:c r="S3" s="21" t="str">
        <x:v>Reddit sampling is polarized but coherent: Relief Sun is frequently praised for light texture and little/no white cast, while other users report pilling, oiliness, white cast or irritation. Revive Eye Serum has strong smoothing/value advocates but repeated retinal-related irritation reports. Consumers also discuss confusion between Korean/global and U.S.-specific sunscreen formulas and marketplace authenticity.</x:v>
      </x:c>
      <x:c r="T3" s="21" t="str">
        <x:v>e.l.f. (Suntouchable SPF), RoC (retinol eye cream), Anua (Niacinamide 10 + TXA 4), COSRX (Snail 92 Cream and Low pH Cleanser), plus SKIN1004, Round Lab, Haruharu Wonder, Medicube and other viral K-Beauty brands.</x:v>
      </x:c>
      <x:c r="U3" s="21" t="str">
        <x:v>Demand is exceptional and U.S. retail validation is deep. The best opportunity is not undifferentiated Amazon resale; it is an authorized, protected regional/offline, multicultural, specialty or institutional program using non-sunscreen heroes first and adding U.S.-compliant SPF only with a complete drug file.</x:v>
      </x:c>
      <x:c r="V3" s="21" t="str">
        <x:v>Mature direct/Sephora/Amazon/TikTok coverage; promotion and price compression; likely channel conflict with Goodai's U.S. infrastructure; ambiguous third-party Walmart/Amazon offers; counterfeit/gray-market risk; Korea-versus-U.S. sunscreen formula confusion; OTC-drug requirements for SPF; and irritation/claims risk for retinal, acids and anti-aging language.</x:v>
      </x:c>
      <x:c r="W3" s="21" t="str">
        <x:v>Pre-screen only. Cosmetics require MoCRA facility/product-listing diligence, responsible-person confirmation, English label/INCI/net-contents review, safety substantiation, serious-adverse-event procedures and importer-of-record confirmation. U.S. sunscreen is an OTC drug: Daily Relief's avobenzone 2.7%, homosalate 9%, octisalate 4.5% and octocrylene 5% fall within M020 concentration ceilings, but that does not replace confirmation of establishment/drug listing, NDC/labeler responsibilities, Drug Facts, SPF/broad-spectrum testing, manufacturing controls and exact sellable label. Korean/global SPF50+ products should not be treated as interchangeable with U.S. OTC SKUs.</x:v>
      </x:c>
      <x:c r="X3" s="31" t="str">
        <x:v>Protect sampled list prices of $13–$24 and negotiate enforceable MAP/promotion rules. Suggested channel MSRPs: cleanser $13, eye serum $17, serums $17, U.S. sunscreen $18 and Dynasty Cream 50 mL $24. Do not build margins from temporary DTC/TikTok/Amazon discounts.</x:v>
      </x:c>
      <x:c r="Y3" s="21" t="str">
        <x:v>Prioritize authorized offline specialty, multicultural, dermatology-adjacent and curated regional retail where Goodai grants written territory/account rights. Use Revive Eye Serum, Green Plum Cleanser, Glow Serum and Dynasty Cream as the first four; add Daily Relief only after OTC-drug diligence. Avoid unauthorized marketplace resale.</x:v>
      </x:c>
      <x:c r="Z3" s="21" t="str">
        <x:v>“Hanbang-inspired, modern K-Beauty essentials with proven digital demand and approachable prices.” Keep sunscreen, retinal and efficacy wording tied to approved U.S. labels and substantiation; avoid guaranteed, disease-treatment or exaggerated anti-aging claims.</x:v>
      </x:c>
      <x:c r="AA3" s="21" t="str">
        <x:v>Recommendation Grade B (79.25/100): an outstanding consumer brand but only a conditional distributor opportunity. Proceed to vendor diligence if Goodai Global USA/Hansung USA offers defensible wholesale margins, protected channels and a complete U.S. compliance file; otherwise the mature omnichannel footprint leaves little whitespace.</x:v>
      </x:c>
      <x:c r="AB3" s="21" t="str">
        <x:v>See sheets 03_Scoring through 10_Vendor_Terms in this workbook.</x:v>
      </x:c>
      <x:c r="AC3" s="25" t="str">
        <x:v>2026-07-29</x:v>
      </x:c>
      <x:c r="AD3" s="21" t="str">
        <x:v>Codex Deep Research</x:v>
      </x:c>
    </x:row>
    <x:row r="4" ht="246" customHeight="1">
      <x:c r="A4" s="21" t="str">
        <x:v>KB003</x:v>
      </x:c>
      <x:c r="B4" s="21" t="str">
        <x:v>Anua</x:v>
      </x:c>
      <x:c r="C4" s="21" t="str">
        <x:v>The Founders Inc. — Korean operator founded in 2017; Anua launched in 2019. Anua Inc. is reported as the U.S. subsidiary, but the exact seller, importer, responsible person and contracting entity for a distributor require documentary confirmation.</x:v>
      </x:c>
      <x:c r="D4" s="29" t="str">
        <x:v>2019 brand launch (The Founders established in 2017)</x:v>
      </x:c>
      <x:c r="E4" s="21" t="str">
        <x:v>Ingredient-led, gentle-but-effective K-Beauty spanning heartleaf soothing, double cleansing, pores, discoloration and newer PDRN/barrier routines. U.S. position is affordable to accessible mid-market.</x:v>
      </x:c>
      <x:c r="F4" s="21" t="str">
        <x:v>Gen Z and millennial K-Beauty shoppers; TikTok/Amazon routine adopters; acne-prone, oily, redness-conscious and discoloration-focused consumers; value-oriented Ulta shoppers.</x:v>
      </x:c>
      <x:c r="G4" s="21" t="str">
        <x:v>Large Brand / Category Leader</x:v>
      </x:c>
      <x:c r="H4" s="21" t="str">
        <x:v>No open exclusive U.S. distributor was identified. The Founders has Anua Inc. in the U.S. and operates direct brand channels; confirm the legal entity that imports, holds MoCRA/OTC responsibilities, invoices wholesale accounts and controls territory/account rights.</x:v>
      </x:c>
      <x:c r="I4" s="21" t="str">
        <x:v>Official DTC; Amazon U.S.; TikTok Shop U.S.; approximately 1,500 Ulta stores; Olive Young USA/Global; selected Target listings; Instagram discovery and cross-border K-Beauty retailers. Walmart listings sampled were third-party marketplace offers; U.S. Sephora was not verified.</x:v>
      </x:c>
      <x:c r="J4" s="21" t="str">
        <x:v>Affordable to accessible mid-market. Sampled official U.S. list prices were $20–$30; current Amazon hero prices were $13–$27.37. Heavy Amazon/TikTok/DTC promotions materially compress effective price.</x:v>
      </x:c>
      <x:c r="K4" s="21" t="str">
        <x:v>Heartleaf authority, recognizable color-coded actives, routine-based double cleansing and rapid trend expansion from toner to azelaic acid, TXA/niacinamide and PDRN. Strong packaging recognition, very high marketplace velocity and mainstream Ulta access lower adoption friction.</x:v>
      </x:c>
      <x:c r="L4" s="21" t="str">
        <x:v>Amazon on 2026-07-29, all sold by Anua and in stock: Azelaic Acid 10 Serum — $22, 5,623 reviews, 4.6 rating, 70K+ bought/month, #85 Beauty &amp; Personal Care and #6 Facial Serums; Quercetinol Cleansing Foam — $13, 20,358 reviews, 4.6, 60K+, #126 Beauty &amp; Personal Care and #7 Facial Cleansing Washes; Cleansing Oil — $17, 28,272 reviews, 4.4, 50K+, #251 Beauty &amp; Personal Care and #1 Makeup Cleansing Oils; Niacinamide 10 + TXA 4 — $21.85, 16,354 reviews, 4.5 and 30K+; Heartleaf 77 Toner — $19.69, 14,779 reviews, 4.5 and 10K+; PDRN Serum — $27.37, 1,383 reviews, 4.6 and 8K+.</x:v>
      </x:c>
      <x:c r="M4" s="21" t="str">
        <x:v>Very large, fast-moving U.S. digital and omnichannel brand; exact U.S. revenue and audited units are not public.</x:v>
      </x:c>
      <x:c r="N4" s="21" t="str">
        <x:v>Direct Amazon seller, purchase-badge, rank, price and review checks; official TikTok Shop public totals; Ulta assortment/store footprint; official DTC facts; corporate and press sources. No revenue estimate was invented.</x:v>
      </x:c>
      <x:c r="O4" s="21" t="str">
        <x:v>High for current platform and official-retail facts; Medium for total market scale, account availability and distributor-fit inference.</x:v>
      </x:c>
      <x:c r="P4" s="21" t="str">
        <x:v>Common positives: gentle/refreshing toner feel, hydration and reduced-looking redness for some users; effective makeup/sebum removal from the oil; soft clean feel from the foam; brightening or more even-looking tone from TXA/niacinamide and azelaic routines; approachable price and easy routine building.</x:v>
      </x:c>
      <x:c r="Q4" s="21" t="str">
        <x:v>Common negatives: toner can feel ineffective or cause breakouts for some; cleansing oil can be incompatible with acne-prone users; Niacinamide 10% + TXA 4% can feel sticky or irritate sensitive skin; azelaic/PDRN results vary; authenticity/packaging confusion and heavily sponsored social content reduce trust.</x:v>
      </x:c>
      <x:c r="R4" s="21" t="str">
        <x:v>Official Anua Store US on TikTok Shop displayed 1.3M sold and 171.1K+ followers; sampled product displays included 96.4K sold for Niacinamide 10 + TXA 4, 39.9K for a Double Cleansing Duo, 76.3K for an Ultimate Routine, 21K for sunscreen and 24.8K for PDRN cream. Instagram @anua_global had roughly 0.64M followers in public tracking. These are dynamic cumulative platform displays, not audited U.S. period sell-through.</x:v>
      </x:c>
      <x:c r="S4" s="21" t="str">
        <x:v>Reddit is polarized: heartleaf toner users report soothing, hydration and less-looking redness/oil, while others report no effect, closed comedones or breakouts. Niacinamide/TXA users report brightening but also stickiness and sensitivity. Cleansing-oil discussions are mixed and include community concerns about gifting, paid promotion and review independence. Counterfeit/packaging questions recur.</x:v>
      </x:c>
      <x:c r="T4" s="21" t="str">
        <x:v>COSRX (low-pH cleanser), The Ordinary and Naturium (azelaic acid), SKIN1004 and ma:nyo (cleansing oil), Good Molecules and Medicube (discoloration/TXA), I'm From and Haruharu Wonder (toners), plus Beauty of Joseon and Round Lab.</x:v>
      </x:c>
      <x:c r="U4" s="21" t="str">
        <x:v>End-consumer demand is exceptional, but general-distributor whitespace is low. The viable angle is a written, protected specialty/offline, multicultural, regional or institutional account program that The Founders/Anua Inc. does not already serve, with a curated non-SPF hero assortment.</x:v>
      </x:c>
      <x:c r="V4" s="21" t="str">
        <x:v>Direct U.S. subsidiary and broad retail reach; likely account/channel conflict; Amazon price compression of roughly 8–35% versus official list; TikTok promotion volatility; third-party Walmart/Target authorization uncertainty; counterfeit/gray-market and packaging confusion; influencer-sponsorship skepticism; strong-actives irritation and cosmetic/drug claim risk; U.S. sunscreen OTC requirements.</x:v>
      </x:c>
      <x:c r="W4" s="21" t="str">
        <x:v>Pre-screen only. Cosmetics require MoCRA facility/product-listing diligence, U.S. responsible-person confirmation, English label/INCI/net-content review, safety substantiation, adverse-event procedures, importer-of-record and claims files. Acne-treatment, oil-control, redness, blemish and structural/firming wording needs intended-use review. Zero-Cast sunscreen is a U.S. OTC drug label with avobenzone 3%, homosalate 7%, octisalate 5% and octocrylene 5%; obtain the exact sellable NDC/labeler, establishment/listing, Drug Facts, SPF/broad-spectrum tests, manufacturing and stability file. A DailyMed listing is evidence of a label record, not full supply-chain clearance.</x:v>
      </x:c>
      <x:c r="X4" s="31" t="str">
        <x:v>Protect official hero MSRP bands of $20–$30 and require a written MAP/promotion calendar and price-protection terms. Suggested consumer MSRPs: foam $20, azelaic serum $24, cleansing oil $22, niacinamide/TXA serum $24 and toner $23. Do not model margin from temporary Amazon prices.</x:v>
      </x:c>
      <x:c r="Y4" s="21" t="str">
        <x:v>Pursue only protected specialty, multicultural, regional/offline, dermatology-adjacent or institutional accounts with written authorization. Lead with foam, azelaic serum, cleansing oil and niacinamide/TXA; use toner as the awareness anchor and PDRN as a controlled innovation SKU. Avoid unauthorized marketplace resale and defer SPF until the OTC file is complete.</x:v>
      </x:c>
      <x:c r="Z4" s="21" t="str">
        <x:v>“Gentle, high-performance K-Beauty routines—from heartleaf double cleansing to targeted tone care—at approachable prices.” Keep acne, redness, pore, oil-control, firming and sunscreen language within substantiated U.S. labels.</x:v>
      </x:c>
      <x:c r="AA4" s="21" t="str">
        <x:v>Recommendation Grade B (78.0/100): exceptional U.S. consumer demand and diversified sales momentum, but a weak general-distributor fit. Proceed only if The Founders/Anua Inc. offers protected accounts, enforceable pricing and a complete U.S. compliance/supply file; otherwise mature direct, Amazon, TikTok and Ulta coverage leaves little economic whitespace.</x:v>
      </x:c>
      <x:c r="AB4" s="21" t="str">
        <x:v>See sheets 03_Scoring through 10_Vendor_Terms in this workbook.</x:v>
      </x:c>
      <x:c r="AC4" s="25" t="str">
        <x:v>2026-07-29</x:v>
      </x:c>
      <x:c r="AD4" s="21" t="str">
        <x:v>Codex Deep Research</x:v>
      </x:c>
    </x:row>
    <x:row r="5" ht="360" customHeight="1">
      <x:c r="A5" s="21" t="str">
        <x:v>KB004</x:v>
      </x:c>
      <x:c r="B5" s="21" t="str">
        <x:v>SKIN1004</x:v>
      </x:c>
      <x:c r="C5" s="21" t="str">
        <x:v>CRAVER Corporation is the current brand operator/owner and the labeler of the U.S. sunscreen. Official and government-linked records place CRAVER in Seoul. Confirm the exact U.S. wholesale seller, importer, MoCRA responsible person and contracting entity by SKU.</x:v>
      </x:c>
      <x:c r="D5" s="29" t="str">
        <x:v>Brand chronology is inconsistent: the current SKIN1004 LinkedIn page states 2016, while older market references often state 2012; CRAVER reports acquiring the natural-skincare brand. Treat the precise founding/launch year as vendor-confirmation required.</x:v>
      </x:c>
      <x:c r="E5" s="21" t="str">
        <x:v>Affordable-to-mid-priced, nature-led Korean facial skincare built around Madagascar Centella Asiatica, lightweight textures and problem/benefit collections such as Hyalu-Cica, Poremizing, Tone Brightening, Tea-Trica and Probio-Cica.</x:v>
      </x:c>
      <x:c r="F5" s="21" t="str">
        <x:v>Gen Z and millennial K-Beauty buyers; sensitive, redness-prone or barrier-focused users; oily/combination consumers seeking double cleansing or pore care; TikTok Shop shoppers; value-conscious Ulta/Target/Amazon customers; daily-SPF users seeking a hydrating no-white-cast format.</x:v>
      </x:c>
      <x:c r="G5" s="21" t="str">
        <x:v>Large Global Growth Brand / U.S. Omnichannel Scale</x:v>
      </x:c>
      <x:c r="H5" s="21" t="str">
        <x:v>Official wholesale contact exists, but no open protected U.S. distributor appointment was identified. CRAVER already operates DTC fulfillment, Amazon and TikTok Shop, a New York flagship, Ulta and a specialty-seller network; any opportunity must be protected by account, territory, channel and SKU.</x:v>
      </x:c>
      <x:c r="I5" s="21" t="str">
        <x:v>Official DTC with a U.S. warehouse; Amazon U.S.; TikTok Shop U.S.; Instagram; Ulta; New York flagship; Live K-Beauty, oo35mm, Song of Skin, Cupidrop, TokTok Beauty, Kira Kira Beauty and Olive Kollection; Target and Walmart visibility; authorized international/cross-border sellers including iHerb, YesStyle, StyleKorean, Stylevana, Olive Young Global, Jolse and UMMA.</x:v>
      </x:c>
      <x:c r="J5" s="21" t="str">
        <x:v>Strong value positioning. Selected U.S. hero MSRPs are $18–$26 at Ulta, while sampled official-store-context Amazon prices were $9.54–$18.46. The deep discounting supports conversion but creates MAP, margin and channel-conflict pressure for a new distributor.</x:v>
      </x:c>
      <x:c r="K5" s="21" t="str">
        <x:v>Memorable Madagascar Centella identity; lightweight sensorial textures; broad solution-based collections; high Amazon review depth; 1.0M TikTok Shop followers and 1.0M sold; 797K Instagram followers; high-velocity U.S. sunscreen; NYC flagship; extensive social-creator content.</x:v>
      </x:c>
      <x:c r="L5" s="21" t="str">
        <x:v>Direct Amazon checks on 2026-07-30: Centella Ampoule — $14.85, 4.7/9,278, 10K+, #11 Facial Serums; Light Cleansing Oil — $13.17, 4.6/13,226, 10K+, #2 Makeup Cleansing Oils; Poremizing Clay Stick — $13.88, 4.6/7,956, 10K+, #9 Facial Masks; Ampoule Foam — $9.54, 4.7/10,260, 9K+; U.S. Sun Serum UV SPF 50 — $18.46, 4.5/1,321, 30K+. All were in stock. Four cosmetic offers were sold by SKIN1004 US and shipped by Amazon; the sunscreen offer was sold by CRC COMPANY and shipped by Amazon.</x:v>
      </x:c>
      <x:c r="M5" s="21" t="str">
        <x:v>SKIN1004 is already a major U.S. K-Beauty demand brand rather than an emerging whitespace play. Korean trade reporting cited KRW 280 billion of 2024 revenue and entry into roughly 1,300 Ulta stores, but those figures are company-reported/historical and were not treated as audited current U.S. sales.</x:v>
      </x:c>
      <x:c r="N5" s="21" t="str">
        <x:v>Amazon purchase badges, category ranks, reviews and seller displays; official TikTok Shop and Instagram public displays; official DTC, store list and flagship; Ulta/Target/Walmart pages; DailyMed U.S. drug label; consumer forums. No audited channel revenue was invented.</x:v>
      </x:c>
      <x:c r="O5" s="21" t="str">
        <x:v>High for current official, regulator, Amazon, Ulta and social-platform facts; Medium for aggregate company scale, founding chronology, full Target authorization, distributor economics and U.S. sell-through outside public platform signals.</x:v>
      </x:c>
      <x:c r="P5" s="21" t="str">
        <x:v>Common positives: watery or lightweight absorption; calming/soothing feel; reduced visible redness for some users; easy layering; effective makeup/sunscreen removal; convenient clay-stick application; soft clean skin; hydrating sunscreen with no white cast; attractive value and packaging.</x:v>
      </x:c>
      <x:c r="Q5" s="21" t="str">
        <x:v>Common negatives: no visible benefit for some ampoule users; insufficient hydration alone; bumps, oiliness or breakouts for a minority; cleansing-oil clogging concerns; foam-cleanser dryness/breakouts; temporary pore effects; chemical-sunscreen smell, eye sensitivity or greasiness; confusion between the U.S. and Korean sunscreen formulas.</x:v>
      </x:c>
      <x:c r="R5" s="21" t="str">
        <x:v>Official U.S. TikTok Shop displays showed 1.0M followers, 1.0M sold and a 4.7 shop rating. @skin1004official showed 797K Instagram followers. TikTok for Business documents a U.S. creator campaign using 53 American creator videos in two months. These are dynamic/cumulative visibility signals, not audited period revenue.</x:v>
      </x:c>
      <x:c r="S5" s="21" t="str">
        <x:v>Reddit feedback on the Centella Ampoule is highly polarized: many users describe soothing, fast absorption and redness comfort, while others see no change or report bumps/oiliness. A June 2026 cleansing-oil review describes breakout/clogging despite careful emulsification. Current sunscreen discussions focus heavily on the different U.S. active filters and experience versus the Korean/global product.</x:v>
      </x:c>
      <x:c r="T5" s="21" t="str">
        <x:v>PURITO Wonder Releaf Centella Serum Unscented; Anua Heartleaf Pore Control Cleansing Oil; medicube Zero Pore Blackhead Mud Mask; Anua Niacinamide 10% + TXA 4% Serum; Beauty of Joseon Daily Relief Sunscreen SPF 40. COSRX, Round Lab, mixsoon and Dr. Althea also compete for centella, sensitive-skin and K-Beauty shelf space.</x:v>
      </x:c>
      <x:c r="U5" s="21" t="str">
        <x:v>Consumer demand and value are exceptional, and the wholesale email plus authorized specialty network indicate some partner capability. However, general-distributor whitespace is low because CRAVER already covers direct e-commerce, social commerce, Amazon, Ulta, flagship retail and multiple specialty sellers. A protected non-conflicting account program is the credible route.</x:v>
      </x:c>
      <x:c r="V5" s="21" t="str">
        <x:v>Direct/key-account conflict; deep Amazon and social-commerce discounting; Target/Walmart seller ambiguity; gray-market and counterfeit risk; different U.S. versus Korean sunscreen formulas; OTC-drug compliance for SPF; MoCRA and responsible-person evidence not public at SKU level; potentially aggressive soothing, pore, acne or structural claims; reactions to centella, oil cleansers and sunscreen filters; uncertain wholesale margin/MAP.</x:v>
      </x:c>
      <x:c r="W5" s="21" t="str">
        <x:v>Cosmetic SKUs: confirm U.S. responsible person, MoCRA facility registrations/product listings, safety substantiation, English label/INCI/net contents, GMP/manufacturing controls, adverse-event and recall SOPs, COA/spec/SDS, stability, claim support and batch traceability. SPF: require the full U.S. OTC file tied to NDC 85796-2805 and the current DailyMed label; do not substitute the global formula.</x:v>
      </x:c>
      <x:c r="X5" s="31" t="str">
        <x:v>Recommended U.S. shelf bands for the selected heroes are $18–$26, aligned to Ulta. Require written MAP, promotion funding, price protection and unauthorized-reseller enforcement. Amazon prices were approximately 26%–47% below the selected Ulta MSRPs, so distributor margin cannot be modeled from public retail prices.</x:v>
      </x:c>
      <x:c r="Y5" s="21" t="str">
        <x:v>Conditional/no-go for broad general distribution despite Grade A consumer-market attractiveness. Proceed only if CRAVER grants protected specialty, regional, multicultural, institutional or other non-conflicting accounts with workable landed margin, written authorization, traceability, channel enforcement and clear sunscreen/formula controls.</x:v>
      </x:c>
      <x:c r="Z5" s="21" t="str">
        <x:v>“Madagascar Centella care with viral textures and proven U.S. value demand.” Use only current U.S.-approved claims and licensed assets. Distinguish the U.S. OTC sunscreen from the Korean/global version in every catalog and product feed.</x:v>
      </x:c>
      <x:c r="AA5" s="21" t="str">
        <x:v>Recommendation Grade A (81.0/100): outstanding price-value, social reach, Amazon velocity and future demand. New-distributor fit is only 2.5/10 because the brand is already heavily distributed and directly operated; approval should authorize vendor outreach, not automatic sourcing.</x:v>
      </x:c>
      <x:c r="AB5" s="21" t="str">
        <x:v>See sheets 03_Scoring through 10_Vendor_Terms in this workbook.</x:v>
      </x:c>
      <x:c r="AC5" s="25" t="str">
        <x:v>2026-07-30</x:v>
      </x:c>
      <x:c r="AD5" s="21" t="str">
        <x:v>Codex Deep Research</x:v>
      </x:c>
    </x:row>
    <x:row r="6" ht="248" customHeight="1">
      <x:c r="A6" s="21" t="str">
        <x:v>KB005</x:v>
      </x:c>
      <x:c r="B6" s="21" t="str">
        <x:v>Laneige</x:v>
      </x:c>
      <x:c r="C6" s="21" t="str">
        <x:v>AMOREPACIFIC Corporation / AMOREPACIFIC US, Inc. The U.S. privacy notice identifies AMOREPACIFIC US, Inc. at 1407 Broadway, New York; confirm the exact wholesale contracting, importer and MoCRA responsible-person entities by SKU.</x:v>
      </x:c>
      <x:c r="D6" s="29" t="str">
        <x:v>1994</x:v>
      </x:c>
      <x:c r="E6" s="21" t="str">
        <x:v>Accessible-prestige Korean beauty centered on clinically framed hydration technology and sensorial lip care. The brand spans viral lip products and a mature Water Bank/Cream Skin facial-care franchise.</x:v>
      </x:c>
      <x:c r="F6" s="21" t="str">
        <x:v>Gen Z and millennial prestige-beauty shoppers; Sephora/Kohl's customers; TikTok-driven lip-care buyers; hydration, barrier-comfort and overnight-mask users; gifting and flavor/collectible shoppers.</x:v>
      </x:c>
      <x:c r="G6" s="21" t="str">
        <x:v>Large Brand / Category Leader</x:v>
      </x:c>
      <x:c r="H6" s="21" t="str">
        <x:v>No open general U.S. distributor appointment was identified. AMOREPACIFIC US operates direct U.S. infrastructure and major retail/digital channels; any opportunity requires written account, territory, channel and SKU protection.</x:v>
      </x:c>
      <x:c r="I6" s="21" t="str">
        <x:v>Official U.S. DTC; Amazon U.S.; TikTok Shop U.S.; Sephora; Sephora at Kohl's/Kohl's; Aritaum locations; Instagram. Target has a brand page but also marketplace sellers; sampled Walmart offers were third-party. Olive Young Global is cross-border and should not be treated as U.S. wholesale authorization.</x:v>
      </x:c>
      <x:c r="J6" s="21" t="str">
        <x:v>Accessible prestige rather than affordable K-Beauty. Official hero MSRPs are $19–$38. Current Amazon lip heroes were approximately 20% below MSRP, and a sampled Walmart marketplace Lip Sleeping Mask offer was about 37% below MSRP.</x:v>
      </x:c>
      <x:c r="K6" s="21" t="str">
        <x:v>Iconic Lip Sleeping Mask, strong flavors and gifting cadence, recognizable blue/pink packaging, Blue Hyaluronic Acid hydration science, large Sephora review bases, major social-commerce scale and sustained innovation across lip and facial skincare.</x:v>
      </x:c>
      <x:c r="L6" s="21" t="str">
        <x:v>Amazon direct check on 2026-07-30: Lip Sleeping Mask — $19.20, 4.6/37,110, 10K+ bought/month, #7 Lip Balms &amp; Moisturizers; Lip Glowy Balm — $15.20, 4.7/37,449, 9K+, #10; Cream Skin — $36, 4.6/1,849, 2K+, #22 Facial Toners; Water Bank Cream — $38, 3K+ and #165 Face Moisturizers; Bouncy &amp; Firm Sleeping Mask — $36, 4.6/1,559, 1K+ and #88 Facial Masks. All sampled offers were in stock and tied to the official LANEIGE store/Amazon.com offer context.</x:v>
      </x:c>
      <x:c r="M6" s="21" t="str">
        <x:v>Very large, established U.S. prestige K-Beauty franchise. Exact U.S. revenue and audited unit sales are not public; AMOREPACIFIC quarterly reports show continued Americas growth and Laneige lip/skincare portfolio expansion.</x:v>
      </x:c>
      <x:c r="N6" s="21" t="str">
        <x:v>Direct Amazon prices, ranks, review counts and purchase badges; official TikTok/Instagram public displays; official DTC claims; Sephora/Kohl's product and review pages; AMOREPACIFIC quarterly disclosures. No audited sales figure was invented.</x:v>
      </x:c>
      <x:c r="O6" s="21" t="str">
        <x:v>High for current official, retailer and marketplace facts; Medium for total-market scale, cross-channel sell-through and distributor-opportunity inference.</x:v>
      </x:c>
      <x:c r="P6" s="21" t="str">
        <x:v>Common positives: overnight lip softness and nourishment, glossy finish, pleasant flavors/scents, long-lasting jar, strong hydration and soft skin feel from Water Bank/Cream Skin, and plumper or more radiant morning appearance from Bouncy &amp; Firm.</x:v>
      </x:c>
      <x:c r="Q6" s="21" t="str">
        <x:v>Common negatives: fragrance/flavor sensitivity, perceived dryness or no better performance than ordinary balm, sticky/thick texture, jar hygiene, value objections, strong floral scent in Bouncy &amp; Firm/Water Bank, and concern about incentivized reviews.</x:v>
      </x:c>
      <x:c r="R6" s="21" t="str">
        <x:v>Official U.S. TikTok Shop displayed 1.2M followers, 650.5K sold and 575 videos. Product displays included Glaze Craze 56.4K sold, JuicePop Box 20.9K, Neo Blurring Powder 13K, Minty Lip Duo 11.9K, Cream Skin 7.2K, Lip Glowy Balm 5.9K and Lip Sleeping Mask 4.4K. @laneige_us displayed 1.6M Instagram followers. These are dynamic cumulative platform displays, not audited period sales.</x:v>
      </x:c>
      <x:c r="S6" s="21" t="str">
        <x:v>Reddit and other consumer sources are polarized on Lip Sleeping Mask: many call it a nourishing holy grail, while others find it perfumed, drying, sticky or overpriced. Cream Skin receives strong softness/hydration praise but may not replace moisturizer. Water Bank and Bouncy &amp; Firm receive hydration/plumping praise alongside fragrance and texture complaints.</x:v>
      </x:c>
      <x:c r="T6" s="21" t="str">
        <x:v>Tatcha The Kissu Lip Mask; Summer Fridays Lip Butter Balm; Rhode Glazing Milk; belif The True Cream Aqua Bomb; Glow Recipe Watermelon Glow AHA Night Treatment. Additional lip competitors frequently mentioned by consumers include Fresh, Ole Henriksen and traditional occlusive balms.</x:v>
      </x:c>
      <x:c r="U6" s="21" t="str">
        <x:v>Consumer demand is exceptional, but general-distributor whitespace is very low because AMOREPACIFIC US already serves DTC, Amazon, TikTok Shop, Sephora/Kohl's and its own specialty-store network. A protected non-conflicting account program is the only credible route.</x:v>
      </x:c>
      <x:c r="V6" s="21" t="str">
        <x:v>Direct-channel and key-account conflict; Amazon/DTC promotion pressure; Target/Walmart marketplace seller ambiguity; cross-border formula/packaging and gray-market risk; counterfeit reports; fragrance/flavor sensitivity; cosmetic-versus-drug claim boundaries; dependence on viral lip franchises; and uncertain wholesale/MAP economics.</x:v>
      </x:c>
      <x:c r="W6" s="21" t="str">
        <x:v>Pre-screen only. Confirm U.S. responsible person, MoCRA product listings/facility registrations, safety substantiation, English label/INCI/net contents, GMP/manufacturing controls, serious-adverse-event process, COA/spec/SDS, stability and claim support. Review firming, plumping, barrier and irritation claims. No selected hero is an OTC sunscreen; any future SPF SKU requires separate U.S. drug-file diligence.</x:v>
      </x:c>
      <x:c r="X6" s="31" t="str">
        <x:v>Maintain official hero MSRP bands of $19–$38 and require written MAP, promotion calendar, price protection and unauthorized-reseller enforcement. Model margin only from a wholesale quote; do not use discounted Amazon or marketplace consumer prices as cost proxies.</x:v>
      </x:c>
      <x:c r="Y6" s="21" t="str">
        <x:v>Conditional/no-go for a broad affordable-to-mid-priced distributor. Proceed only if AMOREPACIFIC US grants protected specialty, multicultural, regional, institutional or off-price accounts with workable landed margin, account exclusivity, traceability and channel enforcement. Otherwise prioritize other brands with real wholesale whitespace.</x:v>
      </x:c>
      <x:c r="Z6" s="21" t="str">
        <x:v>“Iconic Korean hydration and lip care with proven prestige demand.” Use only current U.S.-approved cosmetic claims and brand-authorized assets; avoid disease, healing or structural claims.</x:v>
      </x:c>
      <x:c r="AA6" s="21" t="str">
        <x:v>Recommendation Grade B (74.5/100): exceptional U.S. awareness and multi-channel demand, but a very weak fit for a new general distributor. The brand is attractive to consumers, not necessarily available or profitable to an affordable-to-mid-priced distributor.</x:v>
      </x:c>
      <x:c r="AB6" s="21" t="str">
        <x:v>See sheets 03_Scoring through 10_Vendor_Terms in this workbook.</x:v>
      </x:c>
      <x:c r="AC6" s="25" t="str">
        <x:v>2026-07-30</x:v>
      </x:c>
      <x:c r="AD6" s="21" t="str">
        <x:v>Codex Deep Research</x:v>
      </x:c>
    </x:row>
    <x:row r="7" ht="360" customHeight="1">
      <x:c r="A7" s="21" t="str">
        <x:v>KB006</x:v>
      </x:c>
      <x:c r="B7" s="21" t="str">
        <x:v>TIRTIR</x:v>
      </x:c>
      <x:c r="C7" s="21" t="str">
        <x:v>GOODAI GLOBAL INC. acquired TIRTIR in August 2024. The brand is operated through TIRTIR Co., Ltd. in Korea and TIRTIR USA Inc. for the U.S.-serving site; GOODAI acquired Hansung USA in February 2026 and established GOODAI GLOBAL USA in April 2026. Confirm the exact wholesale seller, importer, MoCRA responsible person and contracting entity by SKU.</x:v>
      </x:c>
      <x:c r="D7" s="29" t="str">
        <x:v>2017 according to a June 2026 founder interview. Some legacy market references cite 2015; vendor confirmation is required before using a founding-year claim.</x:v>
      </x:c>
      <x:c r="E7" s="21" t="str">
        <x:v>Affordable-to-mid-priced, makeup-led Korean beauty brand centered on inclusive cushion complexion, filter-like finishes, long wear and fast social-commerce innovation, with supporting hydration-focused skincare.</x:v>
      </x:c>
      <x:c r="F7" s="21" t="str">
        <x:v>Gen Z and millennial makeup users; TikTok Shop buyers; complexion shoppers seeking inclusive shades, high coverage, portable cushion formats or matte/blurring wear; value-conscious Ulta/Amazon consumers; hydration and glass-skin skincare users.</x:v>
      </x:c>
      <x:c r="G7" s="21" t="str">
        <x:v>Large Global Growth Brand / U.S. Omnichannel Scale</x:v>
      </x:c>
      <x:c r="H7" s="21" t="str">
        <x:v>No independent open U.S. distributor was identified. TIRTIR USA Inc. operates the DTC site, TIRTIR. INC sells key Amazon offers, Ulta carries a broad assortment, and GOODAI now owns Hansung USA and GOODAI GLOBAL USA. Any opportunity must be protected by account, territory, customer segment, channel and SKU.</x:v>
      </x:c>
      <x:c r="I7" s="21" t="str">
        <x:v>Official DTC; Amazon U.S.; TikTok Shop U.S.; Instagram; Ulta online/offline; Costco; iHerb; cross-border YesStyle and other K-Beauty retailers; Walmart third-party marketplace. No direct Target assortment was verified.</x:v>
      </x:c>
      <x:c r="J7" s="21" t="str">
        <x:v>Affordable to accessible mid-market. Core U.S. makeup MSRPs are generally $15–$27, with cushions at $25, setting sprays at $15, concealer at $16 and Milk Skin Toner at $25. Current official/Amazon promotions commonly reduce selected heroes to $12.75–$20.</x:v>
      </x:c>
      <x:c r="K7" s="21" t="str">
        <x:v>First Korean cushion to reach a 40-shade range; instantly recognizable red compact; strong high-coverage and long-wear proposition; rapid shade and format innovation; official social-commerce scale; powerful U.S. editorial awards; low entry prices; makeup-plus-skincare cross-sell.</x:v>
      </x:c>
      <x:c r="L7" s="21" t="str">
        <x:v>Amazon direct checks on 2026-07-30: Waterproof Setting Spray — $12.75, 4.4/1,416, 20K+, #313 Beauty and #3 Foundation Primers; Makeup Fixer — $12.75, 4.4/5,431 and 10K+; Milk Skin Toner — $20, 4.6/8,107, 9K+, #14 Facial Toners; Red Cushion #21N — $18.75, 4.3/7,927, 1K+, #10 Foundation Makeup; Ceramic Milk Ampoule — $20, 4.6/2,184, 3K+. All were sold by TIRTIR. INC and shipped by Amazon.</x:v>
      </x:c>
      <x:c r="M7" s="21" t="str">
        <x:v>Large/mature U.S. demand brand with exceptional social-commerce momentum. Exact U.S. revenue and sell-through by retailer are not public. Four non-overlapping Amazon listing/variant signals imply at least $513,750 per month at observed prices; this is a deliberately conservative proxy, not audited revenue.</x:v>
      </x:c>
      <x:c r="N7" s="21" t="str">
        <x:v>Direct Amazon purchase badges, ranks, prices, reviews, seller and fulfillment; official TikTok Shop and Instagram displays; official DTC product/review pages; Ulta, Costco, iHerb, Walmart and YesStyle pages; Allure awards; DailyMed; consumer forums. No audited sales or invented units were used.</x:v>
      </x:c>
      <x:c r="O7" s="21" t="str">
        <x:v>High for current official, Amazon, DailyMed, Ulta and social-platform facts; Medium for aggregate U.S. scale, founding chronology, Costco program duration, full seller authorization outside named channels and wholesale economics.</x:v>
      </x:c>
      <x:c r="P7" s="21" t="str">
        <x:v>Common positives: exceptional coverage with very little product; portable cushion format; wide shade range; good wear for oily/combination users; smooth or satin finish when applied thinly; effective setting-spray longevity; convenient two-in-one concealer; Milk Skin Toner hydration, softness and glow.</x:v>
      </x:c>
      <x:c r="Q7" s="21" t="str">
        <x:v>Common negatives: Red Cushion oxidation/orange shift and difficult online shade matching; cakiness, pilling or texture emphasis when over-applied or used on dry skin; smaller cushion volume; AI Cushion can feel dry; toner can feel sticky or trigger bumps/irritation for some niacinamide, witch-hazel or botanical-sensitive users.</x:v>
      </x:c>
      <x:c r="R7" s="21" t="str">
        <x:v>Official U.S. TikTok Shop displayed 868.9K+ followers, 990.1K sold and 1,065 videos. Product displays included 169.5K sold for AI Filter Cushion, 128.3K for Glide &amp; Hide, 91.0K for Waterproof Setting Spray, 64.2K for Red Cushion and 31.3K for Milk Skin Toner. @tirtir_global displayed 791,387 Instagram followers. These are dynamic cumulative visibility signals, not period revenue.</x:v>
      </x:c>
      <x:c r="S7" s="21" t="str">
        <x:v>Reddit feedback is polarized but coherent: strong coverage and long wear win praise, while oxidation, orange shifts, dry-skin texture and application learning curve recur. Toner discussions range from holy-grail hydration/glow to stickiness, rough texture, burning or breakouts. Anecdotal posts are self-selected and do not establish causation.</x:v>
      </x:c>
      <x:c r="T7" s="21" t="str">
        <x:v>CLIO Kill Cover Mesh Glow Cushion; CLIO Kill Cover Mesh Blur Cushion; Urban Decay All Nighter Waterproof Setting Spray; NYX Bare With Me Concealer Serum; LANEIGE Cream Skin Milky Toner. Fenty, MISSHA, Jung Saem Mool, e.l.f., Rare Beauty, Anua and I'm From also compete across shade, value and hydration.</x:v>
      </x:c>
      <x:c r="U7" s="21" t="str">
        <x:v>Consumer demand, price and creator readiness are exceptional. A credible distributor opportunity exists only if GOODAI/TIRTIR grants protected regional, multicultural, institutional, specialty or other non-conflicting accounts. A shade-trial/education program and makeup-skincare bundles could convert well, but broad online resale is not differentiated.</x:v>
      </x:c>
      <x:c r="V7" s="21" t="str">
        <x:v>Direct DTC/Amazon/TikTok/Ulta conflict; newly integrated GOODAI/Hansung U.S. infrastructure; frequent promotions; Walmart/marketplace seller ambiguity; counterfeits and packaging/formula variation; cushion shade oxidation and returns; imported SPF 40/PA++ cushion versions versus U.S. cosmetic pages; OTC controls for sunscreen; MoCRA and claim substantiation; limited public wholesale economics.</x:v>
      </x:c>
      <x:c r="W7" s="21" t="str">
        <x:v>Cosmetics: confirm U.S. responsible person, MoCRA facility registrations/product listings, safety substantiation, English label/INCI/net contents, GMP controls, adverse-event/recall SOPs, COA/spec/SDS, stability, claim support and batch traceability. Sunscreen: DailyMed verifies Hydro UV Shield SPF 50 under TIRTIR USA Inc., NDC 87496-201/M020; require the complete U.S. OTC file and exact artwork. Do not resell cross-border Red Cushion packaging bearing SPF 40/PA++ as a U.S. cosmetic SKU.</x:v>
      </x:c>
      <x:c r="X7" s="31" t="str">
        <x:v>Recommended core shelf bands: cushions $25, setting spray $15, concealer $16 and Milk Skin Toner $25. Require written MSRP/MAP, promotion funding, price protection and unauthorized-reseller enforcement. Current 15%–25% official/Amazon discounts materially affect margin planning.</x:v>
      </x:c>
      <x:c r="Y7" s="21" t="str">
        <x:v>Conditional/no-go for broad general distribution despite Grade A consumer-market attractiveness. Proceed only with written authorization, protected accounts/territory, workable landed margin, promotion/MAP rules, traceability, return/shade controls and complete regulatory files.</x:v>
      </x:c>
      <x:c r="Z7" s="21" t="str">
        <x:v>“Inclusive Korean complexion with filter-like coverage at an accessible price.” Emphasize 40 shades, thin-layer technique and U.S.-approved claims. Never present purchase badges as audited sales or imported SPF cushion claims as U.S.-compliant drug claims.</x:v>
      </x:c>
      <x:c r="AA7" s="21" t="str">
        <x:v>Recommendation Grade A (80.5/100): extraordinary U.S. demand, virality, affordability and growth. Distributor fit is only 1.5/10 because the brand already controls major direct, marketplace, specialty and social channels through its own U.S. infrastructure.</x:v>
      </x:c>
      <x:c r="AB7" s="21" t="str">
        <x:v>See sheets 03_Scoring through 10_Vendor_Terms in this workbook.</x:v>
      </x:c>
      <x:c r="AC7" s="25" t="str">
        <x:v>2026-07-30</x:v>
      </x:c>
      <x:c r="AD7" s="21" t="str">
        <x:v>Codex Deep Research</x:v>
      </x:c>
    </x:row>
    <x:row r="8" ht="380" customHeight="1">
      <x:c r="A8" s="21" t="str">
        <x:v>KB007</x:v>
      </x:c>
      <x:c r="B8" s="21" t="str">
        <x:v>VT Cosmetics</x:v>
      </x:c>
      <x:c r="C8" s="21" t="str">
        <x:v>VT CO., Ltd., the KOSDAQ-listed Korean parent. The official global storefront identifies Cheol Jeong and Seung Gon Kang as CEOs and a Seoul operating address; the exact U.S. wholesale seller, importer and MoCRA responsible person were not publicly confirmed.</x:v>
      </x:c>
      <x:c r="D8" s="29" t="str">
        <x:v>Corporate parent established in 1986. The current VT Cosmetics predecessor/brand chronology is more complex; the former VT Cosmetics entity was absorbed into the parent in 2019, so an exact consumer-brand launch year should be vendor-confirmed.</x:v>
      </x:c>
      <x:c r="E8" s="21" t="str">
        <x:v>Affordable-to-mid-priced innovation-led Korean skincare brand centered on Cica Reedle spicule boosters, at-home sensorial treatments, plant-derived PDRN, glass-skin routines, daily masks and viral lip/scalp extensions.</x:v>
      </x:c>
      <x:c r="F8" s="21" t="str">
        <x:v>Gen Z and millennial social-commerce shoppers; texture/pore and glow seekers; K-Beauty early adopters; consumers interested in clinic-inspired at-home routines; PDRN trend followers; lip-plumper enthusiasts; value-conscious Ulta, Target and Amazon buyers.</x:v>
      </x:c>
      <x:c r="G8" s="21" t="str">
        <x:v>Large Global Growth Brand / U.S. Omnichannel Scale</x:v>
      </x:c>
      <x:c r="H8" s="21" t="str">
        <x:v>No independent exclusive U.S. distributor was identified. The brand lists Amazon.US and TikTok Shop as U.S. official malls and Song of Skin/Moida as authorized U.S. sellers. VT Cosmetics US operates official marketplace/social offers. Confirm the exact U.S. contracting, importing and regulatory entity.</x:v>
      </x:c>
      <x:c r="I8" s="21" t="str">
        <x:v>Official DTC; Amazon U.S.; TikTok Shop U.S.; Instagram; Ulta; Target; Nordstrom; Costco; iHerb; Song of Skin; Moida; global authorized sellers including YesStyle, StyleKorean and Olive Young Global; Walmart third-party marketplace.</x:v>
      </x:c>
      <x:c r="J8" s="21" t="str">
        <x:v>Affordable to accessible mid-market. Core current U.S. retail anchors are approximately $14–$32: Reedle Shot 100 $26 at Ulta, PDRN Essence $28, Capsule Cream $20, Lip Plumper Expert $16 and starter kit $10. Official global and marketplace promotions often cut selected items 10%–40%.</x:v>
      </x:c>
      <x:c r="K8" s="21" t="str">
        <x:v>Distinctive Cica Reedle spicule sensory ritual; clear 50/100/300/700 intensity ladder; high-conversion demonstrations; plant-derived PDRN differentiation; affordable prestige-like treatment narrative; broad facial, lip, mask and scalp innovation; strong cross-channel social proof.</x:v>
      </x:c>
      <x:c r="L8" s="21" t="str">
        <x:v>Amazon on 2026-07-30: Reedle Shot 100 — $20.34, 4.5/12,535, 10K+, #746 Beauty and #27 Facial Serums; PDRN Essence 100 — $22.10 subscribe-and-save, 4.6/2,506, 10K+, #2,245 Beauty and #68 Facial Serums; PDRN Capsule Cream 100 — $20 one-time, 10K+, #5,231 Beauty and #145 Face Moisturizers. Sampled offers were sold by VT Cosmetics US and Amazon-fulfilled.</x:v>
      </x:c>
      <x:c r="M8" s="21" t="str">
        <x:v>Large and fast-growing U.S. digital/specialty brand. Three non-overlapping current Amazon badges imply a conservative lower bound of at least $624,400 per month at observed prices. Exact U.S. revenue, units and retailer sell-through are not public.</x:v>
      </x:c>
      <x:c r="N8" s="21" t="str">
        <x:v>Direct Amazon purchase badges, ranks, prices, seller and fulfillment; official TikTok Shop follower/sold/product displays; official storefront and authorized-retailer list; Ulta, Target, Nordstrom, Costco, iHerb and Walmart pages; KRX filing; FDA guidance; consumer forums. No audited sales were invented.</x:v>
      </x:c>
      <x:c r="O8" s="21" t="str">
        <x:v>High for current official, Amazon, TikTok Shop, Ulta, Target, Nordstrom and corporate facts; Medium for aggregate U.S. scale, exact U.S. legal-entity roles, authorization outside the brand's named seller list and wholesale economics.</x:v>
      </x:c>
      <x:c r="P8" s="21" t="str">
        <x:v>Common positives: smoother-looking texture, glow, rapid absorption, a distinctive but manageable prickly sensation at lower strengths, strong hydration from PDRN products, lightweight Capsule Cream texture, convenient daily-mask format and visible lip-plumping effect.</x:v>
      </x:c>
      <x:c r="Q8" s="21" t="str">
        <x:v>Common negatives: burning, redness, irritation, whiteheads or breakouts for some users; sensitivity can worsen with retinoids/acids or higher strengths; Lip Plumper is polarizing and painful; PDRN evidence/claims draw skepticism; packaging complaints and authenticity confusion recur.</x:v>
      </x:c>
      <x:c r="R8" s="21" t="str">
        <x:v>Official U.S. TikTok Shop displayed 164.2K+ followers, 361.9K sold and 1,594 videos. Lip Plumper displayed 187.9K sold at 3.8, while the PDRN Hair Ampoule displayed 30.3K sold at 4.2. The official Instagram handle is @vtcosmetics_global; a reliable public follower count was not independently captured in this pass.</x:v>
      </x:c>
      <x:c r="S8" s="21" t="str">
        <x:v>Reddit feedback is highly polarized but consistent with the product mechanism: many users report texture/glow benefits and acclimation to the prickly sensation; others report prolonged redness, pain, acne/whiteheads or no visible result. Counterfeit/packaging-difference posts make seller verification and lot traceability important. PDRN users report hydration/glow but question topical evidence.</x:v>
      </x:c>
      <x:c r="T8" s="21" t="str">
        <x:v>Medicube One Day Exosome Shot 2000; Medicube PDRN Pink Peptide Serum; Anua PDRN Hyaluronic Acid Capsule 100 Serum; NYX Duck Plump Plumping Lip Gloss; MEDIHEAL Madecassoside Essential Mask. COSRX, Dr. Melaxin, Beauty of Joseon and SKIN1004 also compete for affordable K-Beauty attention.</x:v>
      </x:c>
      <x:c r="U8" s="21" t="str">
        <x:v>Consumer demand is excellent, but the best opportunity is a protected, non-conflicting specialty, regional, multicultural or institutional account program rather than open online resale. Lower-sensation Reedle 50/100, PDRN hydration and daily masks could support education-led bundles and trial kits.</x:v>
      </x:c>
      <x:c r="V8" s="21" t="str">
        <x:v>Direct Amazon/TikTok/DTC/Ulta/Target/Nordstrom/Costco conflict; frequent discounts; unclear U.S. legal/importing entity; Walmart third-party authenticity complaints; rapid packaging/formula evolution; high-sensation adverse experiences; claim-substantiation risk around microneedling, penetration/absorption, acne/pustules, repair/regeneration, exosomes and PDRN; limited public wholesale economics.</x:v>
      </x:c>
      <x:c r="W8" s="21" t="str">
        <x:v>Expert review required. Confirm MoCRA facility registrations/product listings, U.S. responsible person, safety substantiation, serious-adverse-event/recall SOPs, English label/INCI/net contents, GMP, COA/spec/SDS, stability, claims support and batch traceability. Use appearance-only cosmetic language unless counsel clears otherwise. FDA says disease-treatment or structure/function claims can make a cosmetic a drug; it also distinguishes cosmetic-appearance claims from device-like microneedling penetration claims.</x:v>
      </x:c>
      <x:c r="X8" s="31" t="str">
        <x:v>Recommended shelf anchors: Reedle Shot 100 $26, PDRN Essence $28, Capsule Cream $20, Lip Plumper Expert $16 and Cica Daily Soothing Mask approximately $21/30 sheets. Require a written wholesale MSRP/MAP and promotion calendar; current Amazon/global promotions materially affect margin.</x:v>
      </x:c>
      <x:c r="Y8" s="21" t="str">
        <x:v>Conditional/no-go for broad general distribution despite Grade B consumer-market attractiveness. Proceed only with written authorization, protected accounts/territory, workable landed margin, claims-approved U.S. marketing, traceability, adverse-event controls, returns policy and gray-market enforcement.</x:v>
      </x:c>
      <x:c r="Z8" s="21" t="str">
        <x:v>“Viral K-Beauty texture innovation with an affordable, stepwise at-home ritual.” Lead with trial, patch-test and routine education; separate gentle hydration/PDRN stories from high-sensation Reedle and Lip Plumper. Do not imply medical microneedling, skin penetration, treatment of acne/pustules or regeneration without counsel-approved substantiation.</x:v>
      </x:c>
      <x:c r="AA8" s="21" t="str">
        <x:v>Recommendation Grade B (77.25/100): exceptional demand, virality, Amazon velocity and accessible prices, offset by very low general-distributor whitespace, intense competition and above-average regulatory/consumer-tolerance risk.</x:v>
      </x:c>
      <x:c r="AB8" s="21" t="str">
        <x:v>See sheets 03_Scoring through 10_Vendor_Terms in this workbook.</x:v>
      </x:c>
      <x:c r="AC8" s="25" t="str">
        <x:v>2026-07-30</x:v>
      </x:c>
      <x:c r="AD8" s="21" t="str">
        <x:v>Codex Deep Research</x:v>
      </x:c>
    </x:row>
    <x:row r="9" ht="380" customHeight="1">
      <x:c r="A9" s="21" t="str">
        <x:v>KB008</x:v>
      </x:c>
      <x:c r="B9" s="21" t="str">
        <x:v>Round Lab</x:v>
      </x:c>
      <x:c r="C9" s="21" t="str">
        <x:v>SEORIN COMPANY Co., Ltd. is identified in the official Korean footer. UB Round Lab LLC operates the official U.S. storefront from La Mirada, California. Confirm which entity owns U.S. inventory, invoices wholesale accounts and serves as MoCRA responsible person or OTC-drug commercial partner for each SKU.</x:v>
      </x:c>
      <x:c r="D9" s="29" t="str">
        <x:v>2017 brand launch is supported by public trade/retail profiles; documentary confirmation should be requested from the vendor.</x:v>
      </x:c>
      <x:c r="E9" s="21" t="str">
        <x:v>Affordable-to-mid-priced, ingredient-and-region-led Korean skincare built around Ulleungdo deep sea water, Inje birch sap and gentle daily routines. In the U.S., the brand combines established Dokdo hydration/cleansing with a prominent U.S.-specific OTC sunscreen franchise.</x:v>
      </x:c>
      <x:c r="F9" s="21" t="str">
        <x:v>Gen Z and millennial K-Beauty shoppers; sunscreen-first consumers; sensitive, dry or dehydrated skin routines; ingredient-aware mass/specialty buyers; consumers seeking fragrance-free, light-texture, barrier-friendly and value-oriented products.</x:v>
      </x:c>
      <x:c r="G9" s="21" t="str">
        <x:v>Large U.S. Omnichannel Growth Brand / Sun-Care and Gentle-Skincare Leader</x:v>
      </x:c>
      <x:c r="H9" s="21" t="str">
        <x:v>No open independent exclusive U.S. distributor was identified. UB Round Lab LLC operates the official U.S. DTC site, while the brand also has dense Amazon, TikTok Shop, Ulta, Target, Costco and iHerb coverage. Any new distributor must confirm the exact U.S. contracting/importing entity and available account, territory and SKU rights.</x:v>
      </x:c>
      <x:c r="I9" s="21" t="str">
        <x:v>Official U.S. DTC; Amazon U.S.; TikTok Shop U.S.; Instagram @roundlab_us; Ulta; Target; Costco/Costco Next; iHerb; Olive Young U.S./Global; YesStyle and other authorized cross-border K-Beauty retailers; Walmart third-party marketplace.</x:v>
      </x:c>
      <x:c r="J9" s="21" t="str">
        <x:v>Affordable to accessible mid-market. Current hero anchors are roughly $11–$36: toner about $11.69–$16.99, cleanser $11.39–$17, UVLock sunscreens $24.99–$28 and Birch Moisturizing Cream $25.99–$36. DTC, Amazon, Target, Costco, TikTok and cross-border promotions create substantial effective-price variation.</x:v>
      </x:c>
      <x:c r="K9" s="21" t="str">
        <x:v>Strong Korean natural-region storytelling; moisturizer-like U.S. OTC sunscreen textures; clear Dokdo and Birch ingredient franchises; gentle/sensitive-skin appeal; low-friction prices; broad mass and specialty access; deep current social proof; and an official U.S. entity/warehouse presence.</x:v>
      </x:c>
      <x:c r="L9" s="21" t="str">
        <x:v>Amazon on 2026-07-30: Birch UVLock SPF45 — buying options from $22.22, 4.4/2,100, 10K+ bought/month, #1,255 Beauty and #23 Facial Sunscreens; 1025 Dokdo Toner — buying options from $11.69, 4.7/1,842, 7K+, #5,132 Beauty and #44 Toners; Mild-Up UVLock SPF50 — 3K+ bought/month and #89 Facial Sunscreens. Sampled offers identified ROUNDLAB OFFICIAL and Amazon fulfillment, but the first two pages had no featured offer when checked.</x:v>
      </x:c>
      <x:c r="M9" s="21" t="str">
        <x:v>Large, fast-moving U.S. brand with multiple high-velocity heroes. Two non-overlapping Amazon badges imply a conservative lower bound of at least $304,030 per month at observed buying-option prices; this excludes Mild-Up and all other SKUs. Exact U.S. revenue and retailer sell-through are not public.</x:v>
      </x:c>
      <x:c r="N9" s="21" t="str">
        <x:v>Direct Amazon purchase badges, ranks, review counts, seller/fulfillment and prices; official TikTok Shop totals; official U.S./Korean sites; Ulta, Target, Costco, iHerb and Walmart pages; DailyMed labels; NBC testing coverage; FDA guidance; and consumer forums. No audited revenue was invented.</x:v>
      </x:c>
      <x:c r="O9" s="21" t="str">
        <x:v>High for current official, Amazon, TikTok Shop, Ulta, Target, legal-entity and DailyMed facts; Medium for aggregate U.S. scale, exact wholesale/entity roles, marketplace authorization outside the brand-linked retailers and future distributor economics.</x:v>
      </x:c>
      <x:c r="P9" s="21" t="str">
        <x:v>Common positives: elegant moisturizer-like sunscreen feel, little/no white cast for many UVLock users, gentle watery toner, good hydration, low residue, soft creamy cleanser, strong value and broad availability. Retailer aggregates for toner, cleanser and cream are generally strong.</x:v>
      </x:c>
      <x:c r="Q9" s="21" t="str">
        <x:v>Common negatives: U.S. and Korean sunscreen formulas differ in scent, feel, filters, SPF/PA labeling and price, causing confusion; UVLock can feel greasy or cause irritation for some; Dokdo Toner can feel too basic or insufficiently hydrating; cleanser can feel stripping; cream can look shiny; seller switching, packaging differences and alleged fakes recur.</x:v>
      </x:c>
      <x:c r="R9" s="21" t="str">
        <x:v>The official U.S. TikTok Shop displayed about 74.1K followers, 145.1K sold and 880 videos. Camellia Deep Collagen Chin Lifting Gel Mask displayed about 43.3K sold and the Birch Sun Serum listing about 15.5K. The official U.S. Instagram destination is @roundlab_us; a reliable public follower count was not independently captured.</x:v>
      </x:c>
      <x:c r="S9" s="21" t="str">
        <x:v>Reddit sampling is mixed but coherent: many users praise the sunscreen's cosmetic elegance, the toner's calm/no-residue hydration and the cleanser's gentle foam; others report greasiness, stinging, dryness, tightness, breakouts or little visible effect. Recurrent formula and authenticity discussions make exact U.S. SKU identification, authorized-seller checks and lot traceability critical. Reddit evidence is anecdotal and self-selected.</x:v>
      </x:c>
      <x:c r="T9" s="21" t="str">
        <x:v>Beauty of Joseon Daily Relief Sunscreen; SKIN1004 Hyalu-Cica Water-Fit Sun Serum UV; Anua Rice 70 Glow Milky Toner; COSRX Low pH Good Morning Gel Cleanser; Dr.G R.E.D Blemish Clear Soothing Cream. Isntree, Haruharu Wonder, Torriden and Abib also compete for gentle hydration and sunscreen attention.</x:v>
      </x:c>
      <x:c r="U9" s="21" t="str">
        <x:v>End-consumer demand is excellent, but open marketplace or broad general distribution is unattractive. The best fit is a written, protected regional, multicultural, specialty, club, institutional or account-specific program, preferably starting with non-SPF Dokdo/Birch skincare unless the complete U.S. OTC sunscreen file and channel rights are supplied.</x:v>
      </x:c>
      <x:c r="V9" s="21" t="str">
        <x:v>Dense official DTC/Amazon/TikTok/Ulta/Target/Costco/iHerb coverage; price compression and promotions; limited public wholesale whitespace; third-party Walmart and cross-border channel conflict; seller-switching/counterfeit allegations; dual U.S.-OTC versus Korean/global sunscreen formula confusion; OTC drug obligations; and aggressive cosmetic claims on official pages.</x:v>
      </x:c>
      <x:c r="W9" s="21" t="str">
        <x:v>Expert review required. Cosmetics need MoCRA facility registration/product listing, responsible-person confirmation, safety substantiation, English label/INCI/net contents, adverse-event/recall SOPs, GMP, COA/spec/SDS, stability and traceability. Each U.S. sunscreen must match its current DailyMed/NDC/Drug Facts, establishment/product listing, final artwork and SPF/broad-spectrum/water-resistance files. Do not import or market Korean/global SPF50+ PA++++ units as U.S. cosmetics. Review eczema, circulation, immunity, cell rejuvenation, detoxification, pigmentation, collagen, hair-loss, acne and cell-turnover claims.</x:v>
      </x:c>
      <x:c r="X9" s="31" t="str">
        <x:v>Protect shelf anchors of about $16.99 for 200 mL Dokdo Toner, $17 for Dokdo Cleanser, $36 for Birch Cream and $24.99 for both UVLock sunscreens. Negotiate enforceable MAP, promotions, club/off-price rules and price protection; do not model margin from temporary Amazon, Target, TikTok, Costco or DTC discounts.</x:v>
      </x:c>
      <x:c r="Y9" s="21" t="str">
        <x:v>Protected offline specialty, multicultural, regional, institutional or customer-segment accounts; curated non-SPF Dokdo/Birch routines; educational sunscreen programs only when exact U.S. OTC authorization and documents are complete. Avoid undifferentiated Amazon, Walmart marketplace or open online resale.</x:v>
      </x:c>
      <x:c r="Z9" s="21" t="str">
        <x:v>“Korea's gentle daily hydration icons, built for easy U.S. routines.” Lead with Dokdo cleanse-and-tone and Birch barrier hydration; explain the U.S.-specific UVLock formulas clearly. Use appearance and sensory language only, with patch-test and authorized-seller education.</x:v>
      </x:c>
      <x:c r="AA9" s="21" t="str">
        <x:v>Recommendation Grade B (76.15/100): exceptional U.S. demand, social proof, retail breadth and affordable pricing, offset by very low general-distributor whitespace, intense price/channel conflict and meaningful dual-formula sunscreen/regulatory risk.</x:v>
      </x:c>
      <x:c r="AB9" s="21" t="str">
        <x:v>See sheets 03_Scoring through 10_Vendor_Terms in this workbook.</x:v>
      </x:c>
      <x:c r="AC9" s="25" t="str">
        <x:v>2026-07-30</x:v>
      </x:c>
      <x:c r="AD9" s="21" t="str">
        <x:v>Codex Deep Research</x:v>
      </x:c>
    </x:row>
    <x:row r="10" ht="405" customHeight="1">
      <x:c r="A10" s="21" t="str">
        <x:v>KB009</x:v>
      </x:c>
      <x:c r="B10" s="21" t="str">
        <x:v>Mediheal</x:v>
      </x:c>
      <x:c r="C10" s="21" t="str">
        <x:v>L&amp;P Cosmetic Co., Ltd. / LNP COSMETICS is identified on official pages; the official site lists CEO Kwon Ohseop and Seoul company details. Confirm the exact U.S. contracting seller, inventory owner, importer of record, MoCRA responsible person and OTC-drug labeler/registrant by SKU.</x:v>
      </x:c>
      <x:c r="D10" s="29" t="str">
        <x:v>2009, supported by Mediheal's official history.</x:v>
      </x:c>
      <x:c r="E10" s="21" t="str">
        <x:v>Affordable-to-mid-priced Korean dermocosmetic skincare built on targeted, easy-to-use treatment formats. U.S. equity is concentrated in large square toner pads, legacy sheet masks and newer PDRN/derma extensions.</x:v>
      </x:c>
      <x:c r="F10" s="21" t="str">
        <x:v>Gen Z and millennial K-Beauty shoppers; acne-prone, sensitive, dehydrated and texture-focused consumers; value-oriented mask users; toner-pad trend adopters; Ulta, Target, Amazon and social-commerce shoppers.</x:v>
      </x:c>
      <x:c r="G10" s="21" t="str">
        <x:v>Large U.S. Omnichannel K-Beauty Brand / Toner-Pad and Sheet-Mask Leader</x:v>
      </x:c>
      <x:c r="H10" s="21" t="str">
        <x:v>No open independent exclusive U.S. distributor was identified. Mediheal sells directly through its own site and Amazon seller Mediheal Cos, while Ulta, Target, Costco, iHerb and Olive Young provide dense coverage. Any new distributor must obtain written account, territory, SKU and channel rights.</x:v>
      </x:c>
      <x:c r="I10" s="21" t="str">
        <x:v>Official U.S. DTC; Amazon U.S.; TikTok Shop U.S.; Instagram @mediheal_usa; Ulta; Target; Costco; iHerb; Olive Young U.S./Global; Soko Glam; brand-listed Walgreens; Walmart third-party marketplace.</x:v>
      </x:c>
      <x:c r="J10" s="21" t="str">
        <x:v>Accessible mid-market. Toner pads list at $26.40/100 on DTC and Ulta, but sampled Amazon deal prices were $16.80. Essential masks are about $1.79-$2.20 per sheet in mainstream packs, while serums/cleansers/creams generally sit around $12-$23. TikTok Shop displayed newer pad pricing near $39.60, creating a wide promotional spread.</x:v>
      </x:c>
      <x:c r="K10" s="21" t="str">
        <x:v>Exceptional format recognition; multi-concern toner-pad architecture; strong official Amazon review depth; mainstream Target/Ulta access; refill options; heritage sheet-mask credibility; accessible per-use economics; current PDRN growth; high social awareness; and a U.S.-listed OTC sunscreen.</x:v>
      </x:c>
      <x:c r="L10" s="21" t="str">
        <x:v>Amazon on 2026-07-30: Madecassoside Pad — $16.80, 4.6/10,184, 4K+ bought/month; Teatree Pad — $16.80, 4.6/10,184, 1K+; PDRN Pad — $16.80, 4.6/10,184, 1K+; Vitamide Pad — $16.80, 600+; Hyaluronate Pad — $16.80, 500+; Madecassoside Essential Mask 10-pack — $22, 4.6/593, 2K+. Direct product pages showed seller Mediheal Cos.</x:v>
      </x:c>
      <x:c r="M10" s="21" t="str">
        <x:v>Six distinct sampled ASINs imply at least 9,100 monthly units and a conservative observed-price floor of $163,280 per month. Target separately displayed 30K+ monthly purchases for a Watermide sheet mask, 26K+ for Collagen Essential Mask and 5K+ for Madecassoside Essential Mask. Exact U.S. revenue and share are not public.</x:v>
      </x:c>
      <x:c r="N10" s="21" t="str">
        <x:v>Direct Amazon product pages and rounded purchase badges; official TikTok Shop and Instagram; official DTC/company pages; Ulta, Target, Costco and iHerb; DailyMed/FDA; editorial coverage; and consumer forums. No audited revenue or market-share percentage was invented.</x:v>
      </x:c>
      <x:c r="O10" s="21" t="str">
        <x:v>High for official, Amazon, social, retailer and DailyMed facts; Medium for total U.S. revenue, exact wholesale/entity roles, authorization outside brand-linked retailers and future distributor economics.</x:v>
      </x:c>
      <x:c r="P10" s="21" t="str">
        <x:v>Common positives: saturated large pads that double as mini masks, cooling hydration, convenience, visible calming for many users, gentle routine integration, value per pad, strong sheet-mask moisture and easy access. Retailer and official-site aggregates are generally strong.</x:v>
      </x:c>
      <x:c r="Q10" s="21" t="str">
        <x:v>Common negatives: some users report stinging, irritation, breakouts, dryness or no visible effect; jars are bulky and can dry out; pad texture and formula-renewal differences polarize; essential oils/fragrance may not suit reactive skin; price varies sharply by channel; single-use formats create waste concerns.</x:v>
      </x:c>
      <x:c r="R10" s="21" t="str">
        <x:v>Official Instagram displayed 110K followers, 32 following and 951 posts. Official TikTok Shop displayed 97.6K+ followers, 8,776 sold and 741 videos; its top captured product showed only 262 sold, making TikTok Shop direct velocity modest relative to Amazon and Target despite strong awareness.</x:v>
      </x:c>
      <x:c r="S10" s="21" t="str">
        <x:v>Reddit sampling is mixed but coherent: many users praise quick calming, cooling, hydration and the mini-mask format; others call Watermide underwhelming, report temporary stinging, question formula/pad changes or regard toner pads as convenience-led rather than essential. These discussions are anecdotal and self-selected.</x:v>
      </x:c>
      <x:c r="T10" s="21" t="str">
        <x:v>Medicube Zero Pore Pad 2.0; Anua Heartleaf 77 Clear Pad; COSRX One Step Original Blemish Pore Clear Pad; Biodance Bio-Collagen Real Deep Mask / Collagen Gel Toner Pads; Beauty of Joseon Daily Relief Sunscreen. Abib, SKIN1004, Some By Mi and Dr.Jart+ also compete for soothing pads and masks.</x:v>
      </x:c>
      <x:c r="U10" s="21" t="str">
        <x:v>Consumer-market demand is excellent, but broad open e-commerce distribution is unattractive. Best fit is a protected regional, multicultural, specialty, institutional, travel-size/refill or account-specific program with written authorization and clear differentiation from Amazon, Target, Ulta, Costco and iHerb.</x:v>
      </x:c>
      <x:c r="V10" s="21" t="str">
        <x:v>Dense direct and national retail; Amazon price compression; Costco club packs; official TikTok list-price divergence; cross-border and Walmart marketplace conflict; limited public wholesale whitespace; alleged marketplace authenticity concerns; formulation/renewal confusion; claim substantiation; and separate OTC-drug duties for sunscreen.</x:v>
      </x:c>
      <x:c r="W10" s="21" t="str">
        <x:v>Expert review required. Cosmetics need MoCRA facility registration/product listing, responsible-person confirmation, safety substantiation, English label/INCI/net contents, adverse-event/recall SOPs, GMP, COA/spec/SDS, stability and lot traceability. Cosmetic acne-treatment, repair, lifting, pore-tightening, wrinkle and penetration claims require substantiation and classification review. The sun serum must match current NDC 74005-002, Drug Facts, establishment/product listing, SPF/broad-spectrum testing and final U.S. artwork.</x:v>
      </x:c>
      <x:c r="X10" s="31" t="str">
        <x:v>Protect MSRP anchors of $26.40 for 100-pad jars, $22 for mask 10-packs, $18.70 for treatment serums and $22 for the U.S. sunscreen. Negotiate enforceable MAP, promotion calendars, club/off-price policy, marketplace controls and price protection; do not model margin from temporary Amazon $16.80 deals.</x:v>
      </x:c>
      <x:c r="Y10" s="21" t="str">
        <x:v>Protected offline specialty, multicultural, regional, institutional or travel/refill programs. Lead with Madecassoside and Teatree pads plus essential masks; add PDRN selectively. Avoid undifferentiated Amazon/Walmart resale and defer sunscreen until exact U.S. OTC documents and channel rights are complete.</x:v>
      </x:c>
      <x:c r="Z10" s="21" t="str">
        <x:v>“Korea's treatment-mask authority, simplified into daily pads and accessible routines.” Lead with multi-use mini-mask convenience and honest hydration/calming language; support patch testing, authorized-seller education and concern-based merchandising.</x:v>
      </x:c>
      <x:c r="AA10" s="21" t="str">
        <x:v>Recommendation Grade B (79.65/100): exceptional U.S. demand, format leadership, review depth, retail breadth and accessible pricing, offset by low general-distributor whitespace, severe price/channel conflict and product/claim-control obligations.</x:v>
      </x:c>
      <x:c r="AB10" s="21" t="str">
        <x:v>See sheets 03_Scoring through 10_Vendor_Terms in this workbook.</x:v>
      </x:c>
      <x:c r="AC10" s="25" t="str">
        <x:v>2026-07-30</x:v>
      </x:c>
      <x:c r="AD10" s="21" t="str">
        <x:v>Codex Deep Research</x:v>
      </x:c>
    </x:row>
    <x:row r="11" ht="420" customHeight="1">
      <x:c r="A11" s="21" t="str">
        <x:v>KB010</x:v>
      </x:c>
      <x:c r="B11" s="21" t="str">
        <x:v>Dr.Jart+</x:v>
      </x:c>
      <x:c r="C11" s="21" t="str">
        <x:v>Have &amp; Be Co., Ltd. / Have &amp; Be USA, Inc., wholly owned within The Estée Lauder Companies since December 2019. Confirm the exact U.S. contracting seller, importer of record, MoCRA responsible person and OTC-drug labeler/registrant by SKU and shade.</x:v>
      </x:c>
      <x:c r="D11" s="29" t="str">
        <x:v>2005 per the current Dr.Jart+ About page and the 2019 acquisition release; an Estée Lauder brand page states 2004, so vendor documentation should reconcile the chronology.</x:v>
      </x:c>
      <x:c r="E11" s="21" t="str">
        <x:v>Prestige Korean dermocosmetic skincare that pairs clinical-looking concern/solution architecture with playful design. U.S. equity is concentrated in Cicapair redness correction, Ceramidin barrier care, high-impact masks and hybrid skincare/makeup SPF products.</x:v>
      </x:c>
      <x:c r="F11" s="21" t="str">
        <x:v>Gen Z through mature prestige-beauty shoppers; redness-prone and sensitive-skin consumers; dry/barrier-compromised users; no-makeup makeup and SPF complexion shoppers; Sephora, Amazon and social-commerce customers.</x:v>
      </x:c>
      <x:c r="G11" s="21" t="str">
        <x:v>Established Premium Omnichannel K-Beauty Leader</x:v>
      </x:c>
      <x:c r="H11" s="21" t="str">
        <x:v>No separate open U.S. distributor was identified. Have &amp; Be USA and Estée Lauder operate the official DTC and brand infrastructure, while Sephora, Kohl's, Amazon Premium Beauty and TikTok Shop provide dense national coverage. Any distributor must receive written account-, territory-, channel- and SKU-specific authorization.</x:v>
      </x:c>
      <x:c r="I11" s="21" t="str">
        <x:v>Official U.S. DTC; Amazon Premium Beauty; TikTok Shop U.S.; Instagram @drjart; Sephora; Sephora at Kohl's; official store-locator network; Target Plus and Walmart third-party marketplaces.</x:v>
      </x:c>
      <x:c r="J11" s="21" t="str">
        <x:v>Premium. Sampled U.S. hero prices were $25 for the 15 mL Cicapair mini, $54 for the 55 mL Cicapair value size, $52 for 50 mL Ceramidin or Cicapair moisturizer, $16.50 for one Cryo Rubber mask, and $49 for the 40 mL Premium BB.</x:v>
      </x:c>
      <x:c r="K11" s="21" t="str">
        <x:v>Iconic green-to-beige redness-correction visual; recognizable Cicapair and Ceramidin franchises; prestige-retail credibility; strong Amazon review depth; distinctive Cryo Rubber ritual; skincare/makeup/SPF hybridity; and sophisticated Estée Lauder operating infrastructure.</x:v>
      </x:c>
      <x:c r="L11" s="21" t="str">
        <x:v>Amazon on 2026-07-31: Cicapair mini — $25, 4.2/395, 2K+ bought/month; Ceramidin Cream — $52, 4.7/2,242, 600+; Cicapair Moisturizer — $52, 4.5/644, 800+; Cryo Rubber Moisturizing Mask — $16.50, 4.6/124, 1K+; Premium BB SPF 40 — $49, 4.5/371, 1K+. Each sampled offer was sold and shipped by Amazon.com.</x:v>
      </x:c>
      <x:c r="M11" s="21" t="str">
        <x:v>Five distinct sampled hero ASINs imply at least 5,400 monthly units and a conservative observed-price floor of $188,300 per month. This excludes all other Dr.Jart+ SKUs and any badge volume above the rounded public minimums. Historical global scale was much larger: Estée Lauder expected the brand to exceed $500 million in calendar-2019 global net sales.</x:v>
      </x:c>
      <x:c r="N11" s="21" t="str">
        <x:v>Direct Amazon product pages and rounded purchase badges; official brand/Estée Lauder/SEC materials; current TikTok Shop and Instagram displays; Sephora, Kohl's, Target and Walmart; DailyMed/FDA; editorial coverage; and consumer forums. No current U.S. revenue, market-share percentage or wholesale margin was invented.</x:v>
      </x:c>
      <x:c r="O11" s="21" t="str">
        <x:v>High for current official, Amazon, retailer, ownership and DailyMed facts; Medium for total U.S. revenue, exact channel rights, off-platform seller authorization, formula-version mapping and future distributor economics.</x:v>
      </x:c>
      <x:c r="P11" s="21" t="str">
        <x:v>Repeated positives include immediate visible redness neutralization, an easy no-foundation option, rich and long-lasting barrier comfort, strong winter/retinoid-routine support, cooling and glow from Cryo Rubber, and natural-looking BB coverage. Review aggregates are generally strong.</x:v>
      </x:c>
      <x:c r="Q11" s="21" t="str">
        <x:v>Repeated negatives include Cicapair appearing orange, gray, dry or cakey on some tones; limited suitability outside lighter tones; Ceramidin feeling too rich, sticky or prone to pilling/breakouts for some users; fragrance/essential-oil sensitivity; high price versus Korean alternatives; single-use mask cost/waste; and confusion around formula or packaging changes.</x:v>
      </x:c>
      <x:c r="R11" s="21" t="str">
        <x:v>Official Instagram displayed 513K followers, 772 following and 4,432 posts and identified Sephora, Sephora Canada, Kohl's, Amazon and drjart.com. The verified U.S. TikTok Shop displayed 4.6 rating, 17.1K sold and 94.0K+ followers after the brand's October 2025 U.S. TikTok Shop debut.</x:v>
      </x:c>
      <x:c r="S11" s="21" t="str">
        <x:v>Reddit sampling is polarized but coherent: Cicapair has striking before/after appeal yet can look orange or cakey; Ceramidin is a holy-grail barrier cream for many but too rich, irritating or expensive for others; Cryo Rubber is liked as a treat but criticized for single-use price; and counterfeit, formula-change and cross-border price concerns recur. These discussions are anecdotal and self-selected.</x:v>
      </x:c>
      <x:c r="T11" s="21" t="str">
        <x:v>Erborian CC Red Correct; Hero Cosmetics Rescue Balm +Red Correct; AESTURA ATOBARRIER365 Cream; Biodance Bio-Collagen Real Deep Mask; IT Cosmetics CC+ Cream SPF 50+. COSRX, Laneige, Beauty of Joseon, CeraVe and other barrier/redness K-Beauty brands also compete for routine share.</x:v>
      </x:c>
      <x:c r="U11" s="21" t="str">
        <x:v>Consumer demand is excellent, but broad independent distribution is unattractive. A viable opportunity would need a protected offline, specialty, professional, institutional, travel, or account-specific program that does not duplicate Sephora, Kohl's, Amazon, TikTok Shop or the official DTC.</x:v>
      </x:c>
      <x:c r="V11" s="21" t="str">
        <x:v>Estée Lauder/Have &amp; Be direct control; Sephora/Kohl's density; Amazon and TikTok Shop direct operation; Target/Walmart marketplace provenance risk; cross-border/off-price discounting; counterfeit allegations; formula and package-version confusion; shade/return risk; limited Cicapair tone inclusivity; SPF OTC obligations; cosmetic drug-claim boundaries; and high prestige MSRP versus lower-cost K-Beauty alternatives.</x:v>
      </x:c>
      <x:c r="W11" s="21" t="str">
        <x:v>Expert review required. Cosmetics need MoCRA facility registration/product listing, responsible-person confirmation, safety substantiation, English label/INCI/net contents, serious-adverse-event/recall SOPs, GMP evidence, COA/spec/SDS, stability and lot traceability. Cicapair SPF 30 is listed in DailyMed as OTC NDC 49404-156 with titanium dioxide 3.1% and zinc oxide 14.6%; Premium BB Fair-Light SPF 40 is NDC 49404-148 with four sunscreen actives. Confirm every current shade/size NDC, Drug Facts, formula, manufacturer, testing and final artwork. Review redness, rosacea, barrier-repair, post-procedure and structure/function claims.</x:v>
      </x:c>
      <x:c r="X11" s="31" t="str">
        <x:v>Protect the observed official price architecture: Cicapair $25 mini / $54 value, core 50 mL creams $52, Cryo Rubber $16.50 and Premium BB $49. Require a written MSRP/MAP schedule, promotion calendar, cross-border/off-price policy and price protection; do not model wholesale margin from consumer listings.</x:v>
      </x:c>
      <x:c r="Y11" s="21" t="str">
        <x:v>Only protected specialty, professional, institutional, travel or account-specific channels with written authorization. Do not pursue undifferentiated Amazon, TikTok Shop, Walmart or Target marketplace resale. Begin with non-SPF Ceramidin/Cicapair skincare or masks only if rights and economics are defensible; add SPF products only after exact OTC files are complete.</x:v>
      </x:c>
      <x:c r="Z11" s="21" t="str">
        <x:v>“Korean skin-science icons for visible redness correction and resilient hydration.” Lead with demonstrable cosmetic appearance and texture benefits, shade guidance and patch testing; avoid disease-treatment, medical or guaranteed repair claims unless the U.S. file and counsel approve them.</x:v>
      </x:c>
      <x:c r="AA11" s="21" t="str">
        <x:v>Recommendation Grade B (70.65/100): exceptionally strong U.S. awareness, demand, reviews and operating readiness, offset by premium pricing and almost no open general-distributor whitespace. Do not pursue ordinary resale; advance only if Have &amp; Be/Estée Lauder offers a written protected program with defensible economics.</x:v>
      </x:c>
      <x:c r="AB11" s="21" t="str">
        <x:v>See sheets 03_Scoring through 10_Vendor_Terms in this workbook.</x:v>
      </x:c>
      <x:c r="AC11" s="25" t="str">
        <x:v>2026-07-31</x:v>
      </x:c>
      <x:c r="AD11" s="21" t="str">
        <x:v>Codex Deep Research</x:v>
      </x:c>
    </x:row>
    <x:row r="12" ht="430" customHeight="1">
      <x:c r="A12" s="21" t="str">
        <x:v>KB011</x:v>
      </x:c>
      <x:c r="B12" s="21" t="str">
        <x:v>Torriden</x:v>
      </x:c>
      <x:c r="C12" s="21" t="str">
        <x:v>Torriden Co., Ltd.; official Korean and U.S. pages identify In-Goo Kwon and Yoon-Hee Lee and business registration 760-86-00222. The exact U.S. seller, importer of record, MoCRA responsible person, warehouse operator and contracting entity were not publicly confirmed.</x:v>
      </x:c>
      <x:c r="D12" s="29" t="str">
        <x:v>2015; public company records and brand profiles place formation in late 2015, while the DIVE IN line launched later. Vendor records should confirm the corporate chronology.</x:v>
      </x:c>
      <x:c r="E12" s="21" t="str">
        <x:v>Ingredient-led, sensitive-skin-friendly Korean skincare positioned from value to accessible mid-market. Torriden organizes the portfolio around 5D delivery systems and concern-led franchises: DIVE IN hyaluronic acid, BALANCEFUL cica, SOLID IN ceramide and CELLMAZING collagen/vitamin C/pore care.</x:v>
      </x:c>
      <x:c r="F12" s="21" t="str">
        <x:v>Gen Z and millennial K-Beauty shoppers; dehydrated, tight, sensitive or combination-skin users; lightweight-layering consumers; social-commerce and Sephora shoppers; price-conscious users seeking Korean hydration formulas.</x:v>
      </x:c>
      <x:c r="G12" s="21" t="str">
        <x:v>Rapidly Scaling Omnichannel K-Beauty Brand</x:v>
      </x:c>
      <x:c r="H12" s="21" t="str">
        <x:v>No separate open U.S. distributor was identified. Torriden Co., Ltd. operates the official U.S. storefront and official Amazon/TikTok channels, while Sephora, Costco and Olive Young U.S. create dense national coverage. Any new distributor needs written account-, territory-, channel- and SKU-specific authorization.</x:v>
      </x:c>
      <x:c r="I12" s="21" t="str">
        <x:v>Official U.S. DTC; Amazon U.S.; TikTok Shop U.S.; Instagram @torriden; Sephora; Costco; Olive Young U.S.; Walmart Marketplace; StyleKorean and other cross-border retailers.</x:v>
      </x:c>
      <x:c r="J12" s="21" t="str">
        <x:v>Value to accessible mid-market. Current official hero anchors were $11 for lip essence, $23 toner, $24 serum, $27 soothing cream and $33 for 10 sheet masks. Amazon generally matched or modestly discounted MSRP; Costco offered a much deeper multi-pack value.</x:v>
      </x:c>
      <x:c r="K12" s="21" t="str">
        <x:v>Recognizable blue DIVE IN identity; lightweight five-size hyaluronic-acid hydration; strong hero-serum proof; large official social-commerce audience; 5D ingredient architecture; sensitive-skin-friendly textures; and unusually clear value per mL across serum, toner and cream.</x:v>
      </x:c>
      <x:c r="L12" s="21" t="str">
        <x:v>Amazon on 2026-08-01: DIVE IN Serum — $22.50, 4.5/4,207, 9K+ bought/month, #1,841 Beauty and #56 Facial Serums; Soothing Cream tube — $27, 4.5/253, 1K+; Toner — $23, 4.7/531, 900+; Mask 10-pack — $33, 4.7/486, 1K+; Lip Essence two-pack — $17.99, 4.6/480, 700+. Each sampled hero offer was sold by TORRIDEN.</x:v>
      </x:c>
      <x:c r="M12" s="21" t="str">
        <x:v>Five distinct official-seller hero ASINs imply at least 12,600 monthly units and a conservative observed-price floor of $295,793 per month. This excludes all other Torriden ASINs, unit volume above rounded minimums, taxes, coupons, returns and a third-party cream listing that could overlap by package/version.</x:v>
      </x:c>
      <x:c r="N12" s="21" t="str">
        <x:v>Direct Amazon pages and rounded purchase badges; official U.S./Korean brand pages; TikTok Shop and Instagram displays; Sephora, Costco, Olive Young, Walmart and cross-border retailers; independent editorial coverage; Reddit; and FDA sources. No audited U.S. revenue, market share, repeat rate or wholesale margin was invented.</x:v>
      </x:c>
      <x:c r="O12" s="21" t="str">
        <x:v>High for current official, Amazon, Sephora, social and retailer facts; Medium for aggregate U.S. sales, exact channel rights, third-party authorization, formula-version mapping and future distributor economics.</x:v>
      </x:c>
      <x:c r="P12" s="21" t="str">
        <x:v>Repeated positives include lightweight fast absorption, non-sticky layering, visible hydration and plumping, gentle feel, non-stripping cleanser support, cooling gel texture and strong price-to-size value. Amazon ratings for sampled heroes were 4.5–4.7.</x:v>
      </x:c>
      <x:c r="Q12" s="21" t="str">
        <x:v>Repeated negatives include the serum feeling ordinary, insufficiently hydrating or drying when not sealed with moisturizer; isolated redness, itching or breakouts; possible pilling or tack with incompatible layers; package/formula-appearance confusion; and uncertainty around authorized sellers or channel availability.</x:v>
      </x:c>
      <x:c r="R12" s="21" t="str">
        <x:v>Official Instagram displayed 172,237 followers and identified Sephora and Amazon Beauty. The official U.S. TikTok Shop displayed 90.1K+ followers, 154.2K sold and 1,541 videos; CELLMAZING Firming Duo alone displayed 26.2K sold. These are dynamic platform signals, not U.S. revenue.</x:v>
      </x:c>
      <x:c r="S12" s="21" t="str">
        <x:v>Reddit sampling is mostly favorable for lightweight hydration and sensitive-skin layering but polarized on sufficiency: some users call DIVE IN gentle and reliable, while others report dryness, no special effect, redness, itching or breakouts. Threads also show concern about cloudy serum appearance, package/formula versions, U.S. availability and marketplace authenticity. Evidence is anecdotal and self-selected.</x:v>
      </x:c>
      <x:c r="T12" s="21" t="str">
        <x:v>The Ordinary, Beauty of Joseon, ANUA, LANEIGE, COSRX, SKIN1004, Isntree, Round Lab, AESTURA and other Korean hydration/barrier brands. Direct sampled comparables were The Ordinary HA 2% + B5, Beauty of Joseon Red Bean Water Gel, ANUA Rice 70 Glow Milky Toner, Beauty of Joseon Centella Calming Mask and LANEIGE Lip Glowy Balm.</x:v>
      </x:c>
      <x:c r="U12" s="21" t="str">
        <x:v>End-consumer demand and retail validation are excellent, but broad marketplace distribution is unattractive. The credible opportunity is a protected specialty, regional offline, professional, institutional, travel or account-specific program with exclusive SKUs/bundles and no duplication of Sephora, Amazon, TikTok, Costco or Olive Young.</x:v>
      </x:c>
      <x:c r="V12" s="21" t="str">
        <x:v>Sephora/Amazon/TikTok/Costco/Olive Young channel density; Costco and cross-border price compression; Walmart third-party provenance; duplicate Amazon versions; unauthorized seller/counterfeit risk; promotion conflict; limited public U.S. entity/importer information; claims boundaries; formula/package changes; and Korean sunscreen appearing cross-border without product-specific U.S. OTC confirmation.</x:v>
      </x:c>
      <x:c r="W12" s="21" t="str">
        <x:v>Expert review required. Confirm MoCRA facility registration and product listing, U.S. responsible person, safety substantiation, English label/INCI/net contents, serious-adverse-event and recall SOPs, GMP evidence, COA/spec/SDS, microbiology, preservative efficacy, stability, packaging compatibility and batch traceability. Review 'deep layers,' pore-tightening, wrinkle, pigmentation, acne and barrier-repair claims. A targeted DailyMed search did not locate a Torriden OTC label; absence from that search is not legal clearance. Exclude Korean-market sunscreen unless the exact U.S. OTC listing, Drug Facts, actives, testing, manufacturer and artwork are supplied.</x:v>
      </x:c>
      <x:c r="X12" s="31" t="str">
        <x:v>Protect the observed official U.S. anchors: serum $24/50 mL, cream $27/100 mL, toner $23/300 mL, mask $33/10 and lip essence $11/11 mL. Use bundles or exclusive sets rather than deep single-SKU discounting. Require written MSRP/MAP, promotion funding, club/off-price rules and price protection.</x:v>
      </x:c>
      <x:c r="Y12" s="21" t="str">
        <x:v>Only protected account-, geography- or SKU-specific programs with written authorization. Do not pursue undifferentiated Amazon, TikTok, Walmart or Costco resale. Start with non-SPF DIVE IN and SOLID IN heroes only if landed cost, account protection and current U.S. compliance files are defensible.</x:v>
      </x:c>
      <x:c r="Z12" s="21" t="str">
        <x:v>“Lightweight 5D hydration for comfortable, layerable K-Beauty routines.” Lead with cosmetic hydration, texture, value and routine compatibility; encourage patch testing and moisturizer sealing. Avoid disease-treatment, guaranteed deep-penetration, pore-tightening or repair claims unless substantiated and counsel-approved.</x:v>
      </x:c>
      <x:c r="AA12" s="21" t="str">
        <x:v>Recommendation Grade B (78.85/100): exceptional demand, social momentum, Sephora validation and accessible pricing, offset by severe channel conflict and low open-distributor whitespace. Advance only for a written protected program with defensible landed margin, current U.S. regulatory files and explicit channel controls.</x:v>
      </x:c>
      <x:c r="AB12" s="21" t="str">
        <x:v>See sheets 03_Scoring through 10_Vendor_Terms in this workbook.</x:v>
      </x:c>
      <x:c r="AC12" s="25" t="str">
        <x:v>2026-08-01</x:v>
      </x:c>
      <x:c r="AD12" s="21" t="str">
        <x:v>Codex Deep Research</x:v>
      </x:c>
    </x:row>
    <x:row r="13" ht="150" customHeight="1">
      <x:c r="A13" s="21" t="str">
        <x:v>KB012</x:v>
      </x:c>
      <x:c r="B13" s="21" t="str">
        <x:v>Numbuzin</x:v>
      </x:c>
      <x:c r="C13" s="21" t="str">
        <x:v>BENOW BEAUTY Inc. operates the official U.S. mall. Official pages route wholesale inquiries to sales@benow.co.kr and U.S. customer service to cs_numbuzinus@benow.co.kr. Exact manufacturer, U.S. importer of record, MoCRA responsible person, warehouse operator and contracting entity must be confirmed by SKU.</x:v>
      </x:c>
      <x:c r="D13" s="29" t="str">
        <x:v>2019 brand founding; official brand history says the company philosophy began in 2018.</x:v>
      </x:c>
      <x:c r="E13" s="21" t="str">
        <x:v>Accessible Korean skincare organized by product numbers and specific consumer concerns, spanning texture/glow, brightening, pores, barrier support and lifting-glow. The numbered architecture makes routines easy to explain but creates formulation and claims complexity.</x:v>
      </x:c>
      <x:c r="F13" s="21" t="str">
        <x:v>Gen Z and millennial K-Beauty consumers; hyperpigmentation, uneven texture, dullness and dehydration shoppers; ingredient-aware Amazon/TikTok users; value-focused Ulta, Target and Costco shoppers.</x:v>
      </x:c>
      <x:c r="G13" s="21" t="str">
        <x:v>Established, Fast-Moving Omnichannel K-Beauty Brand</x:v>
      </x:c>
      <x:c r="H13" s="21" t="str">
        <x:v>No open U.S. master-distributor opportunity was publicly identified. BENOW BEAUTY operates official U.S. DTC and official Amazon/social channels, while Ulta, Target and Costco add national coverage. A new distributor would need written account-, geography-, channel- and SKU-specific protection.</x:v>
      </x:c>
      <x:c r="I13" s="21" t="str">
        <x:v>Official U.S. DTC; Amazon U.S.; TikTok Shop U.S.; Instagram @numbuzin_global; Ulta; Target; Costco; Walmart Marketplace; Olive Young Global; YesStyle; StyleKorean; Jolse.</x:v>
      </x:c>
      <x:c r="J13" s="21" t="str">
        <x:v>Affordable to mid-priced. Official hero list prices cluster around $19-$29, but official DTC and Amazon promotions frequently reduce key items to roughly $12.70-$23.30, creating strong consumer value and material wholesale/MAP pressure.</x:v>
      </x:c>
      <x:c r="K13" s="21" t="str">
        <x:v>Memorable numbered solutions; high ingredient density; distinct No. 3 fermented texture/glow, No. 5 glutathione/TXA brightening and No. 9 NAD+/PDRN lifting-glow franchises; large official Amazon demand; affordable entry prices; visually demonstrable routines.</x:v>
      </x:c>
      <x:c r="L13" s="21" t="str">
        <x:v>Amazon on 2026-08-01: No. 9 Essence — 20K+ bought/month, $23.30, #56 Facial Serums; No. 5 Serum — 9K+, $12.74 subscription, #86 Facial Serums; No. 3 Toner — 7K+, $12.70, #33 Toners; No. 9 Toner — 5K+, $16.99, #44 Toners; No. 3 Serum — 1K+, 4.4/4,274, #446 Facial Serums. Each sampled offer was sold by numbuzin Official.</x:v>
      </x:c>
      <x:c r="M13" s="21" t="str">
        <x:v>Five sampled hero badges imply at least 42,000 monthly units. Four heroes with visible Amazon prices imply at least $754,510/month at observed one-time or displayed current prices; the No. 3 serum was excluded from the revenue floor because no featured Amazon price was displayed.</x:v>
      </x:c>
      <x:c r="N13" s="21" t="str">
        <x:v>Direct Amazon pages and official-seller identity; official U.S. brand/product pages; Instagram and TikTok public displays; Ulta, Target, Costco and Walmart listings; official Linktree; Reddit; DailyMed and FDA. No audited revenue, market share, repeat rate or wholesale economics were invented.</x:v>
      </x:c>
      <x:c r="O13" s="21" t="str">
        <x:v>High for official site identity, current channel presence, Amazon seller/badges/ranks and the U.S. OTC sunscreen label; Medium for social third-party metrics, seller authorization outside official channels, aggregate U.S. scale and future distributor economics.</x:v>
      </x:c>
      <x:c r="P13" s="21" t="str">
        <x:v>Repeated positives: glow, softer texture, hydration/plumping, visible dark-spot improvement, value and strong routine-level ingredient appeal. Retail and Amazon ratings are generally positive where visible.</x:v>
      </x:c>
      <x:c r="Q13" s="21" t="str">
        <x:v>Repeated negatives: breakouts or small bumps, stinging, sticky/thick/oily textures, complicated ingredient lists and ferments, limited or temporary results, package/formula/discontinuation confusion and marketplace authenticity concerns.</x:v>
      </x:c>
      <x:c r="R13" s="21" t="str">
        <x:v>Third-party monitoring showed about 205.6K Instagram followers and approximately 125.2K TikTok followers. TikTok Creative Center showed 156K posts for #numbuzin at the reviewed global snapshot. Official Linktree points to Instagram, TikTok, Amazon and a U.S. TikTok Shop; these dynamic counts are awareness signals, not U.S. revenue.</x:v>
      </x:c>
      <x:c r="S13" s="21" t="str">
        <x:v>Reddit is favorable but polarized. No. 9 users often report hydration, plumping and glow, while some report breakouts, stinging, oiliness or no effect. No. 5 users report brighter, more even tone and fading spots, but some report bumps or irritation. No. 3 users praise softness/hydration but warn that fermented, high-ingredient formulas may not suit reactive skin.</x:v>
      </x:c>
      <x:c r="T13" s="21" t="str">
        <x:v>ANUA, Beauty of Joseon, ma:nyo, LANEIGE, COSRX, SKIN1004, Medicube and other ingredient-forward Korean brightening, fermented, hydration and PDRN/peptide brands. Direct sampled comparables were ANUA Niacinamide 10% + TXA 4%, Beauty of Joseon Glow Deep Serum, ma:nyo Bifida Biome Complex Ampoule, ANUA Rice 70 Glow Milky Toner and LANEIGE Bouncy &amp; Firm Serum.</x:v>
      </x:c>
      <x:c r="U13" s="21" t="str">
        <x:v>Consumer demand is excellent, but undifferentiated e-commerce distribution is unattractive. The credible opportunity is a protected regional, specialty, professional, multicultural, institutional or exclusive-bundle program that avoids Amazon, TikTok, national retail and club overlap.</x:v>
      </x:c>
      <x:c r="V13" s="21" t="str">
        <x:v>Official Amazon/DTC/TikTok control; Ulta/Target/Costco density; 42K+ sampled Amazon unit floor; recurring 40%-50% consumer discounts; Walmart/cross-border provenance; gray-market and counterfeit risk; formula/package changes; high-ingredient sensitivity; claims scrutiny; and limited public wholesale economics.</x:v>
      </x:c>
      <x:c r="W13" s="21" t="str">
        <x:v>Expert review required. Confirm MoCRA facility registration/product listing, U.S. responsible person, safety substantiation, English label/INCI/net contents, serious-adverse-event and recall SOPs, GMP evidence, COA/spec/SDS, microbiology, preservative efficacy, stability, packaging compatibility and batch traceability. Review deep-penetration, elasticity, pore, wrinkle, dark-spot, collagen, NAD+ and PDRN claims. The exact U.S. sunscreen is listed on DailyMed; do not substitute Korean or other-market SPF formulas.</x:v>
      </x:c>
      <x:c r="X13" s="31" t="str">
        <x:v>Protect official anchors near No. 9 Essence $29, No. 5 Serum $20-$26, No. 3 Toner $19-$22, No. 9 Toner $19-$22 and No. 3 Serum $28. Require written MSRP/MAP, promotion calendar, club/off-price policy, price protection and retailer margin before setting resale prices.</x:v>
      </x:c>
      <x:c r="Y13" s="21" t="str">
        <x:v>Only protected offline, regional, professional, institutional or exclusive-SKU/bundle programs. Avoid commodity Amazon, TikTok, Walmart marketplace and Costco resale. Start with non-SPF No. 5 and No. 3 heroes only if landed margin, authorized sourcing and current U.S. compliance files are defensible.</x:v>
      </x:c>
      <x:c r="Z13" s="21" t="str">
        <x:v>“Numbered Korean skincare for visible glow, texture and tone goals at an accessible price.” Lead with cosmetic appearance, routine clarity and patch testing. Avoid drug-like promises, guaranteed penetration, permanent lifting, pore elimination or unqualified pigmentation claims.</x:v>
      </x:c>
      <x:c r="AA13" s="21" t="str">
        <x:v>Recommendation Grade A (80.85/100) for market attractiveness, but low fit for an open affordable-to-mid-priced distributor. Demand, value and virality are exceptional; advance commercially only for a written protected program with defensible landed margin, current U.S. regulatory files and enforceable channel controls.</x:v>
      </x:c>
      <x:c r="AB13" s="21" t="str">
        <x:v>See sheets 03_Scoring through 10_Vendor_Terms in this workbook.</x:v>
      </x:c>
      <x:c r="AC13" s="25" t="str">
        <x:v>2026-08-01</x:v>
      </x:c>
      <x:c r="AD13" s="21" t="str">
        <x:v>Codex Deep Research</x:v>
      </x:c>
    </x:row>
    <x:row r="14" ht="160" customHeight="1">
      <x:c r="A14" s="21" t="str">
        <x:v>KB013</x:v>
      </x:c>
      <x:c r="B14" s="21" t="str">
        <x:v>Mixsoon</x:v>
      </x:c>
      <x:c r="C14" s="21" t="str">
        <x:v>PARKET INC. owns the official U.S. storefront and operates Mixsoon; the Korean corporate page identifies CEO Hwang Joo-eop and business registration 260-87-00321. Official pages route B2B inquiries to b2binquiry@pkcosm.com and consumer service to global_cs@mixsoon.us. Confirm the exact U.S. contracting entity, merchant of record, importer, inventory owner and MoCRA responsible person by SKU.</x:v>
      </x:c>
      <x:c r="D14" s="29" t="str">
        <x:v>Public official pages reviewed did not state a brand founding year; confirm directly with PARKET INC.</x:v>
      </x:c>
      <x:c r="E14" s="21" t="str">
        <x:v>Affordable-to-mid-priced Korean skincare built around minimal ingredient stories, fermentation and routine layering. Bean Essence is the iconic texture/glow hero, while bean, centella, galactomyces, bifida, hyaluronic acid and PDRN/collagen families support broad assortment expansion.</x:v>
      </x:c>
      <x:c r="F14" s="21" t="str">
        <x:v>Gen Z and millennial K-Beauty shoppers; glass-skin and texture-content audiences; dry/dehydrated skin consumers; value seekers; TikTok Shop set buyers; Ulta/Walmart shoppers; consumers interested in Korean fermented and ingredient-focused routines.</x:v>
      </x:c>
      <x:c r="G14" s="21" t="str">
        <x:v>Established, Viral, Fast-Growing Omnichannel K-Beauty Brand</x:v>
      </x:c>
      <x:c r="H14" s="21" t="str">
        <x:v>No open U.S. master-distributor opportunity was publicly identified. PARKET controls official U.S. DTC, Amazon and TikTok Shop, while Ulta, Walmart, Costco and TJX are listed as official U.S. retailers. A new distributor would need written account-, geography-, channel- and SKU-specific protection.</x:v>
      </x:c>
      <x:c r="I14" s="21" t="str">
        <x:v>Official U.S. DTC; Amazon U.S.; TikTok Shop U.S.; Instagram; Ulta; Walmart; Costco; TJX; YesStyle; Stylevana; StyleKorean; Jolse; Coreelle.</x:v>
      </x:c>
      <x:c r="J14" s="21" t="str">
        <x:v>Affordable to mid-priced. Official list prices for selected heroes are approximately $25–$35, while current official-site/Amazon/Ulta prices cluster around $18–$28. Club, marketplace, TikTok bundle and reported clearance pricing can fall far below those anchors.</x:v>
      </x:c>
      <x:c r="K14" s="21" t="str">
        <x:v>Distinctive fermented Bean Essence texture and two-mode use; high-value 300 mL hyaluronic serum; simple ingredient storytelling; excellent TikTok set architecture; broad national retail validation; official-seller Amazon momentum; accessible price points.</x:v>
      </x:c>
      <x:c r="L14" s="21" t="str">
        <x:v>Amazon on 2026-08-01: Bean Essence 50 mL — 6K+ bought/month, $22 one-time, #115 Facial Serums; Bean Essence 30 mL — 1K+, $14.79 displayed subscription price, #104 Facial Serums; Bean Cream 50 mL — 5K+, $23.60 observed, #127 Face Moisturizers, 4.7/3,378; Glacier Water Hyaluronic Acid Serum 300 mL — 1K+, $19.50 one-time, #222 Facial Serums. Sampled offers were sold by mixsoon and fulfilled by Amazon where displayed.</x:v>
      </x:c>
      <x:c r="M14" s="21" t="str">
        <x:v>Four sampled non-overlapping ASIN badges imply at least 13,000 monthly units. Observed displayed prices imply at least $284,290/month: $132,000 + $14,790 + $118,000 + $19,500. This is a conservative marketplace proxy, not audited revenue or total brand U.S. sales.</x:v>
      </x:c>
      <x:c r="N14" s="21" t="str">
        <x:v>Direct official U.S./Korean pages; direct Amazon ASINs and seller displays; official TikTok Shop; Ulta, Walmart and Costco listings; official retailer map; Reddit; FDA; and competitor retailer/product pages. No audited revenue, U.S. market share, wholesale economics or repeat rate was invented.</x:v>
      </x:c>
      <x:c r="O14" s="21" t="str">
        <x:v>High for official company/site identity, retailer authorization, current product facts and Amazon displays; Medium for TikTok/social counts, aggregate U.S. scale, retailer sell-through and future distributor economics.</x:v>
      </x:c>
      <x:c r="P14" s="21" t="str">
        <x:v>Repeated positives: hydration, dewy glow, smoother-feeling texture, soft/silky finish, large-format value, lightweight layering and strong routine-set convenience. Bean Cream and Bean Essence have substantial positive Amazon/Ulta review bases.</x:v>
      </x:c>
      <x:c r="Q14" s="21" t="str">
        <x:v>Repeated negatives: stickiness or slippery/oily feel, breakouts/itching or burning for some users, limited visible effect, value skepticism, package/formula variation concerns and questions about heavy influencer marketing. Fermented formulas and fragranced/essential-oil-containing SKUs may not suit reactive users.</x:v>
      </x:c>
      <x:c r="R14" s="21" t="str">
        <x:v>Official TikTok Shop displayed about 358.3K followers, 586.3K cumulative sold and 1,067 videos; leading sets and products displayed roughly 9K–72.9K sold. Third-party monitoring showed about 136.6K Instagram followers and 357.5K TikTok followers with 2.1M likes. Counts are global/dynamic and are not audited U.S. revenue.</x:v>
      </x:c>
      <x:c r="S14" s="21" t="str">
        <x:v>Reddit sampling is polarized. Many users praise hydration, glow, smooth texture and Glacier Serum value; others describe Bean Essence as heavy, slippery, irritating or overhyped. Threads also raise authenticity/package variation, isolated particulate/mold speculation and influencer-authenticity concerns. These are anecdotal signals, not defect or causality findings.</x:v>
      </x:c>
      <x:c r="T14" s="21" t="str">
        <x:v>COSRX, Beauty of Joseon, Torriden, ANUA, TIRTIR, SKIN1004, ma:nyo and other ingredient-led K-Beauty brands. Direct comparables were COSRX Advanced Snail 96 Essence, Beauty of Joseon Dynasty Cream, Torriden DIVE-IN Serum, ANUA Heartleaf Pore Control Cleansing Oil and TIRTIR Mask Fit Red Cushion.</x:v>
      </x:c>
      <x:c r="U14" s="21" t="str">
        <x:v>Consumer demand is excellent, but undifferentiated e-commerce distribution is unattractive. The credible opportunity is a protected regional, specialty, multicultural, professional or exclusive-SKU/bundle program that avoids official Amazon, TikTok, national retail, club and off-price overlap.</x:v>
      </x:c>
      <x:c r="V14" s="21" t="str">
        <x:v>Official DTC/Amazon/TikTok control; Ulta/Walmart/Costco/TJX density; club/off-price and reported clearance compression; cross-border price leakage; gray-market/counterfeit exposure; formula/package version risk; ingredient sensitivity and microbial/stability diligence; claims scrutiny; sunscreen OTC complexity; and limited public wholesale economics.</x:v>
      </x:c>
      <x:c r="W14" s="21" t="str">
        <x:v>Expert review required. Confirm MoCRA facility registration/product listing, U.S. responsible person, manufacturer/importer, safety substantiation, English label/INCI/net contents, adverse-event and recall SOPs, GMP, COA/spec/SDS, microbiology, preservative efficacy, stability, packaging compatibility and lot traceability. Review pore/sebum, exfoliation, barrier repair, regeneration, penetration, elasticity, wrinkle, acne, PDRN/collagen and SPF claims. Correct the official Bean Cleansing Oil page's fragrance-free statement versus its listed Fragrance (Parfum). Source only an exact U.S.-compliant sunscreen label/formula after document review.</x:v>
      </x:c>
      <x:c r="X14" s="31" t="str">
        <x:v>Protect official anchors near Bean Essence $28 current/$35 list, Bean Cream $28/$35, Glacier Serum $23.20/$29, Bean Cleansing Oil $20/$25 and PDRN Tinted Moisturizer about $22. Require written MSRP/MAP, promotion calendar, club/off-price policy, price protection and retailer margin before setting resale prices.</x:v>
      </x:c>
      <x:c r="Y14" s="21" t="str">
        <x:v>Only protected offline, regional, specialty, professional or exclusive-SKU/bundle programs. Avoid commodity Amazon, TikTok, Walmart, Costco and off-price resale. Begin with non-SPF Bean Essence/Cream/Glacier heroes only if landed margin, account protection, authorized sourcing and current U.S. files are defensible.</x:v>
      </x:c>
      <x:c r="Z14" s="21" t="str">
        <x:v>“Fermented Korean skincare for layered hydration, smooth-looking texture and accessible glass-skin routines.” Lead with cosmetic appearance, ingredient transparency and patch testing. Avoid drug-like, guaranteed pore/sebum removal, deep-penetration, regeneration, acne-treatment or permanent firming claims.</x:v>
      </x:c>
      <x:c r="AA14" s="21" t="str">
        <x:v>Recommendation Grade B (77.80/100): exceptional demand, virality and omnichannel proof, but very low fit for an open affordable-to-mid-priced distributor. Advance commercially only for a written protected program with defensible landed margin, current U.S. regulatory files, corrected labels/claims and enforceable channel controls.</x:v>
      </x:c>
      <x:c r="AB14" s="21" t="str">
        <x:v>See sheets 03_Scoring through 10_Vendor_Terms in this workbook.</x:v>
      </x:c>
      <x:c r="AC14" s="25" t="str">
        <x:v>2026-08-01</x:v>
      </x:c>
      <x:c r="AD14" s="21" t="str">
        <x:v>Codex Deep Research</x:v>
      </x:c>
    </x:row>
    <x:row r="15" ht="166" customHeight="1">
      <x:c r="A15" s="21" t="str">
        <x:v>KB014</x:v>
      </x:c>
      <x:c r="B15" s="21" t="str">
        <x:v>d'Alba</x:v>
      </x:c>
      <x:c r="C15" s="21" t="str">
        <x:v>d'Alba Global Co., Ltd. (formerly Bmonument Co., Ltd.) owns and operates the brand. The company was founded in 2016, renamed in 2024, established DALBA USA CORP. in December 2024 and listed on KOSPI in May 2025. Confirm the exact U.S. contracting entity, merchant, importer of record, inventory owner, MoCRA responsible person and each manufacturing facility before sourcing.</x:v>
      </x:c>
      <x:c r="D15" s="29" t="str">
        <x:v>2016</x:v>
      </x:c>
      <x:c r="E15" s="21" t="str">
        <x:v>Premium-but-accessible Korean vegan skincare centered on patented white-truffle-and-tocopherol 'Trufferol' storytelling, with an iconic bi-phase spray-serum format and a growing anti-aging, hydration, sunscreen, vitamin and Volufiline portfolio.</x:v>
      </x:c>
      <x:c r="F15" s="21" t="str">
        <x:v>Gen Z through mature-skin consumers seeking visible glow, hydration and makeup compatibility; K-Beauty and TikTok shoppers; dry/dehydrated skin users; professional makeup audiences; and Ulta/Costco/Amazon value shoppers.</x:v>
      </x:c>
      <x:c r="G15" s="21" t="str">
        <x:v>Established, High-Growth Omnichannel Premium K-Beauty Brand</x:v>
      </x:c>
      <x:c r="H15" s="21" t="str">
        <x:v>No open U.S. master-distributor opportunity was identified. DALBA USA CORP. and d'Alba Global control official DTC, Amazon and TikTok, while Ulta and Costco are current strategic partners. A new distributor would need written regional, account, channel and SKU protection or exclusive packs.</x:v>
      </x:c>
      <x:c r="I15" s="21" t="str">
        <x:v>Official DTC; Amazon U.S.; TikTok Shop U.S.; Instagram; Ulta; Costco; iHerb; Walmart third-party marketplace; YesStyle; Olive Young Global; Jolse.</x:v>
      </x:c>
      <x:c r="J15" s="21" t="str">
        <x:v>Accessible premium. Official DTC heroes cluster around $18-$45, Amazon around $20-$34 and Ulta around $20-$45. First Spray Serum at $21 official/$20.99 Amazon undercuts prestige mist competitors while Costco, TikTok bundles and official-site promotions can materially compress price anchors.</x:v>
      </x:c>
      <x:c r="K15" s="21" t="str">
        <x:v>Category-defining fine-mist bi-phase delivery; strong white-truffle luxury cue at an attainable ticket; very high Amazon review and velocity signals; 50-million-bottle global brand claim; makeup-prep/finishing versatility; powerful TikTok Shop; new nationwide prestige and club validation; and a public U.S. operating subsidiary.</x:v>
      </x:c>
      <x:c r="L15" s="21" t="str">
        <x:v>Amazon on 2026-08-01: First Spray Serum 100 mL — 40K+ bought/month, $20.99, 4.5/33,414; Multi Balm — 20K+, $20.99, 4.5/7,856; Intensive Volufiline Grinding Cream — 7K+, $33.99, 4.4/766; Vital Spray Serum — 1K+, $19.99, 4.5/2,427; Double Layer Revitalizing Serum — 500+, $22.99, 4.5/1,915. Sampled pages displayed d'Alba official as seller where shown.</x:v>
      </x:c>
      <x:c r="M15" s="21" t="str">
        <x:v>Five distinct sampled ASIN badges imply at least 68,500 monthly units and $1,528,815/month at observed one-time prices: $839,600 + $419,800 + $237,930 + $19,990 + $11,495. This is a conservative marketplace proxy, not audited revenue or total brand U.S. sales.</x:v>
      </x:c>
      <x:c r="N15" s="21" t="str">
        <x:v>Direct official corporate/IR and DTC pages; direct Amazon ASINs; official TikTok Shop; Ulta, Costco, iHerb, Walmart and cross-border retailer pages; DailyMed; FDA; Reddit and consumer-review pages; and current competitor retailer pages. No wholesale margin, repeat rate, retailer sell-through or audited U.S. brand revenue was invented.</x:v>
      </x:c>
      <x:c r="O15" s="21" t="str">
        <x:v>High for official identity, website, category, corporate history, current channel presence, Amazon displays and U.S. sunscreen label; Medium-High for platform scale and aggregate U.S. momentum; Medium/Low for future distributor economics and consumer-forum causality.</x:v>
      </x:c>
      <x:c r="P15" s="21" t="str">
        <x:v>Repeated positives: instant glow, fine and even mist, hydration, makeup-melting/refreshing effect, attractive packaging, luxurious sensory experience, strong dry-skin utility and repeat purchase. First Spray Serum has very large Amazon/iHerb review bases and solid Ulta/Costco ratings.</x:v>
      </x:c>
      <x:c r="Q15" s="21" t="str">
        <x:v>Repeated negatives: strong fragrance, essential-oil/allergen sensitivity, breakouts/itching/redness for some users, oiliness or stickiness when overapplied, limited treatment effect/value skepticism, possible makeup disruption, and concern that the glow is temporary. Tone-up sunscreen tint/filter/version differences require careful education.</x:v>
      </x:c>
      <x:c r="R15" s="21" t="str">
        <x:v>Official U.S. TikTok Shop displayed 129.8K+ followers, 93.8K cumulative sold and 712 videos; First Spray Serum displayed 19.5K sold and Tone-Up Sunscreen 7.4K. The company reported FY2025 North America sales +155% YoY and Amazon U.S. +116% YoY, with Costco and Ulta expansion. These are corporate/platform disclosures, not independent market-share audits.</x:v>
      </x:c>
      <x:c r="S15" s="21" t="str">
        <x:v>Reddit sampling is polarized: many dry-skin and makeup users praise dewy glow, fine mist and hydration; others call it heavily fragranced, irritating, oily, sticky, unnecessary or overhyped. Reports of breakouts or reactions are anecdotal and do not establish defect or causality, but they support fragrance disclosure and patch-test guidance.</x:v>
      </x:c>
      <x:c r="T15" s="21" t="str">
        <x:v>Peach &amp; Lily, Pixi, Tatcha, KAHI, Medicube, Beauty of Joseon, Aestura and other glow-mist, serum-balm, firming-cream and U.S.-compliant K-Beauty sunscreen products. Direct comparables were Peach &amp; Lily Glass Skin Veil Mist, Tatcha Luminous Dewy Skin Mist, KAHI Wrinkle Bounce Multi Balm, Medicube Collagen Jelly Cream and Beauty of Joseon Day Dew Sunscreen SPF 50.</x:v>
      </x:c>
      <x:c r="U15" s="21" t="str">
        <x:v>Consumer demand is exceptional, but undifferentiated e-commerce distribution is unattractive. The credible opportunity is a protected regional, multicultural, specialty, professional, travel, hospitality or exclusive-pack program that does not overlap official Amazon/TikTok, Ulta, Costco or the brand's own promotions.</x:v>
      </x:c>
      <x:c r="V15" s="21" t="str">
        <x:v>Direct U.S. subsidiary and seller control; Amazon/TikTok/Ulta/Costco density; high promotional and club price pressure; cross-border and third-party marketplace leakage; regional sunscreen and packaging versions; counterfeit/authenticity anxiety; fragrance/essential-oil reactions; aggressive firming, lifting, wrinkle, penetration and rosacea language; and limited public wholesale economics.</x:v>
      </x:c>
      <x:c r="W15" s="21" t="str">
        <x:v>Expert review required. Confirm MoCRA facility registration/product listing, U.S. responsible person, exact manufacturer/importer, safety substantiation, English label/INCI/net contents, allergen/fragrance disclosures, adverse-event/recall SOPs, GMP, COA/spec/SDS, microbiology, preservative efficacy, stability, packaging compatibility, lot traceability and insurance. Review penetration-through-makeup, elasticity, lifting, wrinkle, dark-spot, collagen and Volufiline claims. For sunscreen, source only the exact U.S. OTC label/formula/artwork matching DailyMed NDC 84662-040-03; do not substitute Korean/other-market SPF versions.</x:v>
      </x:c>
      <x:c r="X15" s="31" t="str">
        <x:v>Protect official anchors near First Spray Serum $24 list/$21 current, Multi Balm $24/$22, Vital Spray $24/$21, Grinding Cream about $54/$45 and Tone-Up Sunscreen $26/$18 official or $28 Ulta. Obtain written MSRP/MAP, promotion calendar, club pack policy, affiliate/bundle rules, price protection and retailer margin before resale planning.</x:v>
      </x:c>
      <x:c r="Y15" s="21" t="str">
        <x:v>Only a protected regional, specialty, professional, travel/hospitality or exclusive-SKU/bundle pilot. Lead with non-SPF First Spray Serum, Multi Balm and Vital Spray only if landed margin, account protection and U.S. files are defensible. Avoid commodity Amazon, TikTok, Walmart marketplace or Costco-overlap resale.</x:v>
      </x:c>
      <x:c r="Z15" s="21" t="str">
        <x:v>'A fine-mist Korean glow serum that refreshes dry-looking skin and helps makeup look smoother.' Use cosmetic appearance and hydration language, disclose fragrance, encourage patch testing and avoid drug-like, permanent lifting, rosacea-relief, deep-penetration or guaranteed wrinkle-removal claims.</x:v>
      </x:c>
      <x:c r="AA15" s="21" t="str">
        <x:v>Recommendation Grade B (78.75/100): exceptional awareness, Amazon momentum, social commerce and retail validation, but very low fit for an open affordable-to-mid-priced distributor. Advance commercially only for a written protected program with defensible margin, exact U.S. regulatory files, seller authorization and enforceable channel controls.</x:v>
      </x:c>
      <x:c r="AB15" s="21" t="str">
        <x:v>See sheets 03_Scoring through 10_Vendor_Terms in this workbook.</x:v>
      </x:c>
      <x:c r="AC15" s="25" t="str">
        <x:v>2026-08-01</x:v>
      </x:c>
      <x:c r="AD15" s="21" t="str">
        <x:v>Codex Deep Research</x:v>
      </x:c>
    </x:row>
    <x:row r="16" ht="170" customHeight="1">
      <x:c r="A16" s="21" t="str">
        <x:v>KB015</x:v>
      </x:c>
      <x:c r="B16" s="21" t="str">
        <x:v>SOME BY MI</x:v>
      </x:c>
      <x:c r="C16" s="21" t="str">
        <x:v>PERENNEBELL Co., Ltd. owns and operates SOME BY MI. Official and DailyMed records identify PERENNEBELL as brand operator/labeler; the exact U.S. wholesale contracting entity, importer of record, inventory owner, OTC drug establishment responsibilities and MoCRA responsible person must be confirmed before sourcing.</x:v>
      </x:c>
      <x:c r="D16" s="29" t="str">
        <x:v>2016</x:v>
      </x:c>
      <x:c r="E16" s="21" t="str">
        <x:v>Affordable-to-mid-priced Korean 'cleanical' skincare focused on visibly problem-solving routines: the 30 Days Miracle exfoliation/acne franchise, body acne care, beginner retinol, pore/blackhead care, brightening, barrier repair, sunscreen and scalp products.</x:v>
      </x:c>
      <x:c r="F16" s="21" t="str">
        <x:v>Gen Z and millennial K-Beauty shoppers; oily, acne-prone and textured-skin consumers; body-breakout shoppers; first-time active/retinol users; value seekers across Amazon, TikTok Shop, Ulta and global K-Beauty retail.</x:v>
      </x:c>
      <x:c r="G16" s="21" t="str">
        <x:v>Established, High-Awareness Omnichannel Problem-Solution K-Beauty Brand</x:v>
      </x:c>
      <x:c r="H16" s="21" t="str">
        <x:v>No open U.S. master-distributor opportunity was identified. PERENNEBELL controls official Amazon and TikTok channels and links Ulta as an official U.S. partner; the official stockist page also identifies Costco. A new distributor would need written territory, account, channel and SKU protection or an exclusive pack.</x:v>
      </x:c>
      <x:c r="I16" s="21" t="str">
        <x:v>Official HQ site; Amazon U.S.; TikTok Shop U.S.; Instagram U.S.; Ulta; Target Plus; Costco authorization; iHerb; Walmart; YesStyle; Olive Young Global; Jolse.</x:v>
      </x:c>
      <x:c r="J16" s="21" t="str">
        <x:v>Accessible value to mid-market. Amazon sampled heroes range from $13.30-$20.60, TikTok Shop heroes from about $21.79-$69.60 for sets, Ulta core singles from $19-$32, and Target Plus singles commonly from about $23.99-$31.99. Cross-border channels often undercut U.S. specialty retail.</x:v>
      </x:c>
      <x:c r="K16" s="21" t="str">
        <x:v>Long-standing Miracle-line awareness; official U.S. Amazon seller; very high TikTok Shop scale; current body-acne leadership; Ulta 27-product assortment; unusually large iHerb and Amazon review bases; affordable routines and sets; and U.S. OTC Drug Facts records for the body cleanser, acne clear foam and sunscreen.</x:v>
      </x:c>
      <x:c r="L16" s="21" t="str">
        <x:v>Amazon on 2026-08-01: Body Cleanser — 10K+ bought/month, $19.90, 4.5/2,738; Miracle Toner — 5K+, $16.80, 4.6/9,444; Acne Clear Foam — 3K+, $13.30, 4.6/1,983; Miracle Cream — 1K+, $15.80, 4.5/2,915; Retinol Serum — 1K+, $20.60, 4.3/3,058. All five sampled pages displayed SOME BY MI_Official as seller and Amazon as shipper.</x:v>
      </x:c>
      <x:c r="M16" s="21" t="str">
        <x:v>Five distinct sampled ASIN badges imply at least 20,000 monthly units and $359,300/month at observed one-time prices: $199,000 + $84,000 + $39,900 + $15,800 + $20,600. This is a conservative marketplace proxy, not audited revenue or total brand U.S. sales.</x:v>
      </x:c>
      <x:c r="N16" s="21" t="str">
        <x:v>Official brand, stockist, contact and social-link pages; direct Amazon ASINs; official TikTok Shop; Ulta, Target, iHerb, Walmart and YesStyle pages; DailyMed and FDA; Reddit consumer discussions; trademark and historical corporate reporting; and current competitor retailer pages. No wholesale margin, repeat rate, audited U.S. revenue or retailer sell-through was invented.</x:v>
      </x:c>
      <x:c r="O16" s="21" t="str">
        <x:v>High for official identity, website, category, current official-seller Amazon data, current channel presence and DailyMed label records; Medium-High for TikTok scale and retailer assortment; Medium for historical corporate disclosures; Low-Medium for forum causality and future distributor economics.</x:v>
      </x:c>
      <x:c r="P16" s="21" t="str">
        <x:v>Repeated positives: gentle-feeling daily exfoliation for many users, smoother texture, oil/sebum control, hydration when paired with moisturizer, improved appearance of bumps, beginner-friendly retinol, affordable pricing, and strong repeat purchase. Amazon and iHerb aggregates are large and generally positive.</x:v>
      </x:c>
      <x:c r="Q16" s="21" t="str">
        <x:v>Repeated negatives: dryness, stinging, irritation, breakouts or purging, peppermint/tea-tree/fragrance sensitivity, disagreement over whether acid/retinoid concentrations are meaningful, limited change for some users, and occasional counterfeit or seller-authenticity anxiety.</x:v>
      </x:c>
      <x:c r="R16" s="21" t="str">
        <x:v>Official U.S. TikTok Shop displayed 320.4K+ followers, 268.9K sold and 2,049 videos. Body Cleanser displayed 83.8K sold, Korean Body Care Set 43.7K, Full Body Miracle Repair Set 23.2K, while Miracle Toner displayed 795. This indicates strong current U.S. social-commerce demand and a shift from legacy facial toner toward body care; platform counts are dynamic and not audited revenue.</x:v>
      </x:c>
      <x:c r="S16" s="21" t="str">
        <x:v>Reddit sampling is polarized. Many consumers describe the toner as gentle, hydrating and helpful for oil/texture when introduced gradually; others report dryness, peppermint irritation, severe breakouts, no visible change or concern that advertised actives are too dilute. Retinol users often describe a mild beginner product, while some reject fragrance. One body-wash discussion describes a delayed allergic reaction. These are anecdotal signals, not defect or causality findings.</x:v>
      </x:c>
      <x:c r="T16" s="21" t="str">
        <x:v>COSRX AHA/BHA Clarifying Treatment Toner, ANUA Heartleaf 77 Soothing Toner, Paula's Choice 2% BHA Liquid Exfoliant, Naturium The Perfector Salicylic Acid Body Wash and PanOxyl 10% Benzoyl Peroxide Acne Foaming Wash. The set spans gentle K-Beauty toner, prestige/high-strength exfoliation, mass body care and regulated acne treatment.</x:v>
      </x:c>
      <x:c r="U16" s="21" t="str">
        <x:v>Consumer demand and price fit are excellent, but undifferentiated e-commerce distribution is unattractive. The credible opening is a protected regional/multicultural specialty program, an exclusive body-care/acne set, or an account-specific OTC-compliant assortment that does not overlap official Amazon/TikTok, Ulta, Costco or brand promotions.</x:v>
      </x:c>
      <x:c r="V16" s="21" t="str">
        <x:v>Direct official sellers and U.S. partner links; deep Amazon discounts versus Ulta; TikTok bundles and affiliate pressure; Target Plus and Walmart seller variability; cross-border price leakage; counterfeit/authenticity concern; body/face acne products regulated as OTC drugs; sunscreen version risk; fragrance/essential oils; strong treatment, hair-loss and before-and-after language; and unknown wholesale economics.</x:v>
      </x:c>
      <x:c r="W16" s="21" t="str">
        <x:v>Expert review required. Confirm exact U.S. legal roles; MoCRA registration/listing for cosmetics; OTC establishment, drug listing and labeling compliance for acne and SPF SKUs; English labels/INCI/net contents; claim substantiation; GMP; safety files; COA/spec/SDS; microbiology; preservative efficacy; stability; packaging compatibility; lot traceability; adverse-event and recall SOPs; insurance; and import documentation. For Body Cleanser use exact NDC 74472-102, for Acne Clear Foam exact NDC 74472-101, and for V10 Hyal Air Fit Sunscreen exact NDC 74472-235; never substitute Korean or other-market cosmetic versions for U.S. OTC drug products.</x:v>
      </x:c>
      <x:c r="X16" s="31" t="str">
        <x:v>Protect realistic U.S. anchors: Amazon Body Cleanser $19.90 versus Ulta $21; Toner $16.80 versus Ulta $24; Foam $13.30 versus Ulta $19; Cream $15.80 versus Ulta $27; Retinol Serum $20.60 versus Ulta $32. Obtain written MSRP/MAP, promotional calendar, TikTok affiliate and bundle rules, Target Plus/Walmart seller policy, cross-border policy and price protection.</x:v>
      </x:c>
      <x:c r="Y16" s="21" t="str">
        <x:v>Only a protected regional, multicultural, specialty or exclusive-set pilot. Lead with U.S.-labeled Body Cleanser and Miracle line only if exact OTC/cosmetic classification, Drug Facts/labels, account protection and landed margin are documented. Avoid commodity Amazon, TikTok, Target Plus or Walmart marketplace resale.</x:v>
      </x:c>
      <x:c r="Z16" s="21" t="str">
        <x:v>'Affordable Korean problem-solution skincare for smoother-looking texture, balanced-looking oil and a simple active-led routine.' Use cosmetic appearance language for cosmetic SKUs and exact Drug Facts language for OTC acne/SPF products. Encourage patch testing and gradual introduction; avoid guaranteed 30-day cures or unsubstantiated disease claims.</x:v>
      </x:c>
      <x:c r="AA16" s="21" t="str">
        <x:v>Recommendation Grade B (79.00/100): excellent demand, awareness, Amazon strength, social commerce and price fit, but very low fit for open distribution. Advance commercially only for a written protected program, defensible net landed margin, exact U.S. regulatory files, seller authorization and enforceable channel controls.</x:v>
      </x:c>
      <x:c r="AB16" s="21" t="str">
        <x:v>See sheets 03_Scoring through 10_Vendor_Terms in this workbook.</x:v>
      </x:c>
      <x:c r="AC16" s="25" t="str">
        <x:v>2026-08-01</x:v>
      </x:c>
      <x:c r="AD16" s="21" t="str">
        <x:v>Codex Deep Research</x:v>
      </x:c>
    </x:row>
    <x:row r="17" ht="178" customHeight="1">
      <x:c r="A17" s="21" t="str">
        <x:v>KB016</x:v>
      </x:c>
      <x:c r="B17" s="21" t="str">
        <x:v>Isntree</x:v>
      </x:c>
      <x:c r="C17" s="21" t="str">
        <x:v>ISNTREE Inc.; official corporate materials identify Kim Jinwoo as CEO. The exact U.S. wholesale contracting entity, importer of record, inventory owner, MoCRA responsible person and U.S. OTC-drug operational roles remain to be confirmed.</x:v>
      </x:c>
      <x:c r="D17" s="29" t="str">
        <x:v>2009</x:v>
      </x:c>
      <x:c r="E17" s="21" t="str">
        <x:v>Affordable-to-mid-priced ingredient-transparent Korean skincare centered on hyaluronic-acid hydration, green-tea oil balance, lightweight moisturization, gentle cleansing and daily sun care, with secondary onion/brightening, mugwort and exfoliation franchises.</x:v>
      </x:c>
      <x:c r="F17" s="21" t="str">
        <x:v>Ingredient-aware Gen Z and millennial K-Beauty shoppers; dehydrated, combination, oily and sensitive-skin consumers; lightweight-SPF seekers; fragrance-conscious routines; value shoppers on Amazon, iHerb and specialist K-Beauty channels.</x:v>
      </x:c>
      <x:c r="G17" s="21" t="str">
        <x:v>Established Niche / Mid-Awareness Ingredient-Led K-Beauty Brand</x:v>
      </x:c>
      <x:c r="H17" s="21" t="str">
        <x:v>No public exclusive U.S. master distributor was identified. ISNTREE Inc. operates the official brand infrastructure and is the DailyMed packager/labeler for sampled U.S. sunscreens. A distributor must obtain written U.S. territory, account, channel and SKU authority.</x:v>
      </x:c>
      <x:c r="I17" s="21" t="str">
        <x:v>Official HQ/global DTC; Amazon U.S.; TikTok Shop U.S.; Instagram; iHerb; Soko Glam; Target Plus; Walmart marketplace; YesStyle; Stylevana; StyleKorean; Jolse; historical/uncertain Ulta relationship.</x:v>
      </x:c>
      <x:c r="J17" s="21" t="str">
        <x:v>Accessible value to mid-market. Sampled Amazon heroes were $15.90-$20.90; official global list prices were roughly $19.90-$27.80 for comparable non-bundle heroes; iHerb ranged from about $15 to $24.36. Cross-border and marketplace pricing can undercut specialty retail.</x:v>
      </x:c>
      <x:c r="K17" s="21" t="str">
        <x:v>Long ingredient-transparency heritage; recognizable Hyaluronic Acid and Green Tea lines; moisturizer-like sunscreen textures; official Amazon fulfillment; five current Amazon monthly-purchase badges; broad iHerb review proof; and three identifiable U.S. OTC sunscreen records from ISNTREE Inc.</x:v>
      </x:c>
      <x:c r="L17" s="21" t="str">
        <x:v>Amazon on 2026-08-01: Daily Sun Gel SPF30 — 5K+ bought/month, $15.90, 4.6/1,021, #4,579 Beauty and #63 Facial Sunscreens; Green Tea Toner — 1K+, $16.90, 4.6/4,524; Ultra-Low Molecular HA Serum — 600+, $17.80, 4.6/610; Aqua Gel Cream — 1K+, $16.40, 4.6/1,393; Yam Root Cleanser — 500+, $20.90, 4.3/447. Each displayed ISNTREE Official as seller and Amazon as shipper.</x:v>
      </x:c>
      <x:c r="M17" s="21" t="str">
        <x:v>Five sampled official-seller ASIN badges imply at least 8,100 monthly units and $133,930/month at observed one-time prices: $79,500 + $16,900 + $10,680 + $16,400 + $10,450. This is a conservative public marketplace proxy, not audited revenue or total U.S. sales.</x:v>
      </x:c>
      <x:c r="N17" s="21" t="str">
        <x:v>Official company, global-store and Linktree pages; direct Amazon ASINs; official TikTok Shop; Ulta/LinkedIn, Target, Walmart, iHerb and Soko Glam pages; DailyMed and FDA; Reddit consumer discussions; and current competitor retailer pages. No wholesale margin, audited U.S. revenue, repeat rate or retailer sell-through was invented.</x:v>
      </x:c>
      <x:c r="O17" s="21" t="str">
        <x:v>High for official identity, website, company history, direct Amazon seller/ASIN displays, current product facts and DailyMed records; Medium-High for channel mapping and iHerb; Medium for TikTok/Instagram scale and historical Ulta; Low-Medium for forum causality and future wholesale economics.</x:v>
      </x:c>
      <x:c r="P17" s="21" t="str">
        <x:v>Recurring positives include lightweight and moisturizing sunscreen feel, minimal white cast for many users, easy layering under makeup, fresh hydration, non-heavy gel-cream textures, large 200-220 mL formats, and gentle cleansing. Amazon and iHerb aggregates are generally strong.</x:v>
      </x:c>
      <x:c r="Q17" s="21" t="str">
        <x:v>Recurring negatives include dewy or sticky finish in humidity, occasional eye sting or irritation, insufficient hydration or no visible change for some toner users, possible heaviness or congestion by skin type, and counterfeit/formula-version anxiety on marketplaces.</x:v>
      </x:c>
      <x:c r="R17" s="21" t="str">
        <x:v>The official social hub promotes a 200K milestone and links Instagram, TikTok, Amazon and global retail partners. A third-party Instagram snapshot was about 189.7K followers. TikTok Shop had a cached 1,529-sold display, but the live page was blocked by a security check; current scale is therefore lower-confidence and not comparable with leading social-commerce brands.</x:v>
      </x:c>
      <x:c r="S17" s="21" t="str">
        <x:v>Reddit sampling is mixed but coherent: the Watery Sun Gel is frequently praised for spreadability and no pilling, yet oily-skin users may find it too dewy and some report eye sting or tackiness. Green Tea Toner is refreshing for some but underwhelming for others. Chestnut BHA and Yam Root cleanser attract gentle-use praise. Marketplace threads repeatedly ask about authenticity and version changes.</x:v>
      </x:c>
      <x:c r="T17" s="21" t="str">
        <x:v>Beauty of Joseon Day Dew Sunscreen SPF50, ANUA Heartleaf 77 Soothing Toner, SKIN1004 Madagascar Centella Hyalu-Cica Blue Serum, COSRX Hyaluronic Acid Intensive Cream and ROUND LAB 1025 Dokdo Cleansing Oil.</x:v>
      </x:c>
      <x:c r="U17" s="21" t="str">
        <x:v>Isntree offers a credible protected specialty/regional opportunity: accessible pricing, authentic official-seller Amazon demand, ingredient education and broad hydration/sun-care appeal. The strongest opening is a U.S.-labeled hydration/SPF set or independent-specialty program with accounts not already served by Amazon, iHerb, Soko Glam or cross-border partners.</x:v>
      </x:c>
      <x:c r="V17" s="21" t="str">
        <x:v>Official Amazon and global DTC competition; iHerb and cross-border price leakage; Target Plus/Walmart third-party sellers; uncertain current Ulta status; counterfeit/formula-version anxiety; low TikTok Shop proof; sunscreen OTC-version complexity; aggressive 'deep hydration,' blemish, pore, sebum, firming and barrier claims; and unknown wholesale economics.</x:v>
      </x:c>
      <x:c r="W17" s="21" t="str">
        <x:v>Expert review required. Confirm ISNTREE Inc.'s exact U.S. roles, importer and responsible person; MoCRA registration/listing for cosmetics; OTC establishment, drug listing and Drug Facts compliance for sunscreens; English labels/INCI/net contents; claims substantiation; GMP; safety files; COA/spec/SDS; microbiology; preservative efficacy; stability; packaging compatibility; lot traceability; adverse-event/recall SOPs; insurance and import documentation. Map exact U.S. NDCs: Daily Sun Gel 81100-501; Natural Suncream 81100-504; Watery Sunscreen 81100-505. Do not substitute the foreign-market SPF50+ PA++++ Watery Sun Gel.</x:v>
      </x:c>
      <x:c r="X17" s="31" t="str">
        <x:v>Protect realistic anchors: Daily Sun Gel about $20 MSRP, Green Tea Toner $20-$24, Ultra-Low Molecular HA Serum $24-$26, Aqua Gel Cream $22-$24 and Yam Root Cleanser $26-$28, with authorized promotion floors that can coexist with current Amazon/iHerb prices. Negotiate MAP, affiliate, bundle and cross-border rules.</x:v>
      </x:c>
      <x:c r="Y17" s="21" t="str">
        <x:v>Protected regional, multicultural, independent specialty, spa/esthetic or account-specific e-commerce only. Lead with exact U.S.-labeled Daily Sun Gel plus Green Tea Toner, Aqua Gel Cream and Yam Root Cleanser. Avoid undifferentiated Amazon, Target Plus or Walmart marketplace resale.</x:v>
      </x:c>
      <x:c r="Z17" s="21" t="str">
        <x:v>'Ingredient-transparent Korean hydration and everyday sun care with lightweight textures and approachable prices.' Use cosmetic appearance language for cosmetic products and exact Drug Facts language for U.S. sunscreens. Avoid guaranteed deep-penetration, acne, healing or barrier-repair outcomes without substantiation.</x:v>
      </x:c>
      <x:c r="AA17" s="21" t="str">
        <x:v>Recommendation Grade B (76.30/100): strong Amazon demand, review quality, pricing and ingredient-led awareness support a conditional opportunity. Advance only if Isntree offers protected accounts/SKUs, defensible landed margin, a complete exact-U.S.-version regulatory file and enforceable marketplace/price controls.</x:v>
      </x:c>
      <x:c r="AB17" s="21" t="str">
        <x:v>See sheets 03_Scoring through 10_Vendor_Terms in this workbook.</x:v>
      </x:c>
      <x:c r="AC17" s="25" t="str">
        <x:v>2026-08-01</x:v>
      </x:c>
      <x:c r="AD17" s="21" t="str">
        <x:v>Codex Deep Research</x:v>
      </x:c>
    </x:row>
    <x:row r="18" ht="188" customHeight="1">
      <x:c r="A18" s="21" t="str">
        <x:v>KB017</x:v>
      </x:c>
      <x:c r="B18" s="21" t="str">
        <x:v>Goodal</x:v>
      </x:c>
      <x:c r="C18" s="21" t="str">
        <x:v>CLIO Cosmetics Co., Ltd. owns Goodal. CLUBCLIO was the observed Amazon seller, and CLIO is the DailyMed labeler/registrant for sampled U.S. sunscreens. The exact U.S. wholesale contracting entity, inventory owner, importer of record, MoCRA responsible person and account rights remain to be confirmed.</x:v>
      </x:c>
      <x:c r="D18" s="29" t="str">
        <x:v>2011</x:v>
      </x:c>
      <x:c r="E18" s="21" t="str">
        <x:v>Affordable-to-mid-priced Korean brightening skincare built around the Green Tangerine Vita C dark-spot franchise, extended into serum, cream, toner pads, eye patches and sun care, with secondary heartleaf soothing and rice-milk hydration lines.</x:v>
      </x:c>
      <x:c r="F18" s="21" t="str">
        <x:v>Gen Z and millennial K-Beauty consumers seeking gentle daily brightening, post-blemish-mark appearance care, glow, routine-ready vitamin C derivatives and accessible Amazon/Target pricing; secondary sensitive-skin and sunscreen shoppers.</x:v>
      </x:c>
      <x:c r="G18" s="21" t="str">
        <x:v>Established Niche / Mid-Awareness, Single-Franchise-Led K-Beauty Brand</x:v>
      </x:c>
      <x:c r="H18" s="21" t="str">
        <x:v>CLIO controls the brand; no public independent U.S. master distributor was verified. Goodal sells through Amazon as its stated primary U.S. platform and has current Target/iHerb/cross-border overlap. Any distributor must obtain written entity, territory, account, channel and SKU authority.</x:v>
      </x:c>
      <x:c r="I18" s="21" t="str">
        <x:v>Official CLIO/Goodal infrastructure; Amazon U.S.; Target; iHerb; TikTok Shop; Instagram; Olive Young Global/U.S.; YesStyle; Jolse; Walmart marketplace; historical Costco online; other cross-border K-Beauty retailers.</x:v>
      </x:c>
      <x:c r="J18" s="21" t="str">
        <x:v>Accessible mid-market. Current sampled Amazon heroes were $18.90-$24.00; the legacy serum was $27.90 at iHerb; Target's ten-item assortment showed sale pricing from $17.99 to $35.99. YesStyle and marketplace promotions can undercut planned specialty MSRP.</x:v>
      </x:c>
      <x:c r="K18" s="21" t="str">
        <x:v>Recognizable Green Tangerine franchise; CLIO ownership and 2011 heritage; official Amazon fulfillment through CLUBCLIO; Serum Alpha at 4K+ bought/month; current Target assortment; 1,885 iHerb legacy-serum ratings; and U.S.-specific social accounts supporting awareness.</x:v>
      </x:c>
      <x:c r="L18" s="21" t="str">
        <x:v>Amazon on 2026-08-01: Serum Alpha — 4K+ bought/month, $21.90, 4.5/107 and Amazon's Choice; Eye Patches Alpha — 1K+, $18.90, 4.6/94; Cream Advanced — 600+, $24.00, 4.5/1,327; UV Defense Sunscreen SPF50 — 600+, $23.00, 4.5/238; Toner Pads Advanced — 300+, $23.90, 4.6/2,202. Each sampled page displayed CLUBCLIO as seller; review inheritance may affect cream/pad counts.</x:v>
      </x:c>
      <x:c r="M18" s="21" t="str">
        <x:v>Five sampled ASIN badges imply at least 6,500 monthly units and $141,870/month at observed one-time prices: $87,600 + $18,900 + $14,400 + $13,800 + $7,170. This is a conservative public marketplace proxy, not audited revenue or total U.S. sales.</x:v>
      </x:c>
      <x:c r="N18" s="21" t="str">
        <x:v>Official CLIO brand/history pages, Goodal U.S. hub and social accounts, direct Amazon ASINs, Target, iHerb, TikTok Shop, Walmart, Olive Young, YesStyle, Costco-related CLIO materials, DailyMed/FDA, Reddit consumer threads and competitor retailer pages. No audited sales, repeat rate, wholesale margin or sell-through was invented.</x:v>
      </x:c>
      <x:c r="O18" s="21" t="str">
        <x:v>High for CLIO ownership, official category/history, Amazon seller/ASIN displays, Target assortment and DailyMed labels; Medium-High for iHerb and social account metrics; Medium for TikTok commerce and historical Costco; Low-Medium for forum causality, negative retail-search evidence and future wholesale economics.</x:v>
      </x:c>
      <x:c r="P18" s="21" t="str">
        <x:v>Recurring positives include gentle daily brightening, hydration and glow; a lightweight gel-serum feel; good routine layering; accessible price; a less oxidation-prone derivative-style format; and a coherent Green Tangerine regimen across multiple formats.</x:v>
      </x:c>
      <x:c r="Q18" s="21" t="str">
        <x:v>Recurring negatives include slow or no visible dark-spot change for some users, stickiness/tackiness, fragrance or citrus/essential-oil sensitivity, redness/irritation or breakouts, packaging/formula-version confusion and concern about exact vitamin C form/concentration. Alpha is new, so legacy reviews do not automatically validate Alpha performance.</x:v>
      </x:c>
      <x:c r="R18" s="21" t="str">
        <x:v>The U.S. Instagram account displayed about 45.1K followers and 2,326 posts; the official U.S. TikTok displayed 8,477 followers and 27.6K likes. TikTok Shop's official beginner set showed 45 sold, while a third-party listing showed 5K sold and therefore signals demand plus seller/channel risk rather than official shop scale.</x:v>
      </x:c>
      <x:c r="S18" s="21" t="str">
        <x:v>Reddit discussion is consistently mixed: some users report gentle glow, hydration, easy layering and gradual mark fading; others report no improvement, sting, redness, bumps, fragrance dislike or tackiness. Sunscreen and Amazon threads also show formula-version and authenticity anxiety, which must not be treated as a confirmed counterfeit finding.</x:v>
      </x:c>
      <x:c r="T18" s="21" t="str">
        <x:v>ANUA Niacinamide 10% + TXA 4% Serum, MEDIHEAL Retinol Collagen Eye Ampoule Patch, AXIS-Y Dark Spot Correcting Glow Cream, Beauty of Joseon Day Dew Sunscreen SPF50 and MEDIHEAL Vitamide Brightening Pad.</x:v>
      </x:c>
      <x:c r="U18" s="21" t="str">
        <x:v>Goodal has credible consumer pull and a complete brightening routine, but its best-known heroes are already concentrated in Amazon/Target/iHerb and cross-border channels. The practical opening is protected regional, multicultural, independent-specialty, spa/esthetic or exclusive-set distribution using exact U.S.-labeled products.</x:v>
      </x:c>
      <x:c r="V18" s="21" t="str">
        <x:v>Direct CLIO/CLUBCLIO Amazon competition; active Target and iHerb pricing; YesStyle/cross-border leakage; Walmart/TikTok third-party sellers; new-versus-legacy formula review inheritance; fragrance/sensitivity feedback; sunscreen OTC-version risk; aggressive exosome, absorption, seven-day, pigmentation, repair and anti-aging claims; and unknown wholesale economics.</x:v>
      </x:c>
      <x:c r="W18" s="21" t="str">
        <x:v>Expert review required. Confirm CLIO's exact U.S. seller/importer/responsible-person roles; MoCRA facility registration/product listing for cosmetics; OTC establishment/drug listing and Drug Facts compliance for sunscreens; exact U.S. labels/INCI/net contents; claims substantiation; GMP; safety files; COA/spec/SDS; microbiology; preservative efficacy; stability; packaging compatibility; lot traceability; complaint/adverse-event and recall SOPs; insurance and import documents. Map at minimum NDC 84532-001 UV Defense, 84532-002 Heartleaf Moisture, 84532-003 Heartleaf Mineral and 84532-004 Heartleaf Sun Stick. Do not substitute foreign SPF50+ PA++++ products.</x:v>
      </x:c>
      <x:c r="X18" s="31" t="str">
        <x:v>Recommended MSRP anchors: Serum Alpha $24-$26, Eye Patches Alpha $20-$22, Cream Alpha $24-$26, exact U.S. OTC sunscreen $24-$26 and Toner Pads Alpha $24-$27. Require a promotion/MAP framework that can coexist with Amazon, Target, iHerb and cross-border pricing.</x:v>
      </x:c>
      <x:c r="Y18" s="21" t="str">
        <x:v>Protected regional, multicultural, independent specialty, spa/esthetic and account-specific e-commerce only. Lead with a brightening discovery set or exclusive size/bundle. Avoid undifferentiated Amazon, Walmart marketplace or open TikTok marketplace resale.</x:v>
      </x:c>
      <x:c r="Z18" s="21" t="str">
        <x:v>'Gentle Korean brightening and glow care centered on the established Green Tangerine Vita C franchise.' Use cosmetic appearance language and exact Drug Facts wording for sunscreens; do not repeat unsubstantiated deep-absorption, repair, guaranteed seven-day or drug-like pigmentation claims.</x:v>
      </x:c>
      <x:c r="AA18" s="21" t="str">
        <x:v>Recommendation Grade B (71.70/100): established awareness, current Amazon demand and Target/iHerb presence support a conditional opportunity. Advance only if CLIO offers protected accounts/SKUs, defensible landed margin, complete exact-U.S.-version compliance files and enforceable price/marketplace controls.</x:v>
      </x:c>
      <x:c r="AB18" s="21" t="str">
        <x:v>See sheets 03_Scoring through 10_Vendor_Terms in this workbook.</x:v>
      </x:c>
      <x:c r="AC18" s="25" t="str">
        <x:v>2026-08-01</x:v>
      </x:c>
      <x:c r="AD18" s="21" t="str">
        <x:v>Codex Deep Research</x:v>
      </x:c>
    </x:row>
    <x:row r="19" ht="198" customHeight="1">
      <x:c r="A19" s="21" t="str">
        <x:v>KB018</x:v>
      </x:c>
      <x:c r="B19" s="21" t="str">
        <x:v>I'm From</x:v>
      </x:c>
      <x:c r="C19" s="21" t="str">
        <x:v>LAB &amp; Company Inc. is identified by the official site footer and trademark records as brand owner. Historical Wishtrend distribution/selling activity remains visible, but the exact current U.S. wholesale contracting entity, importer of record, inventory owner, MoCRA responsible person and account rights were not confirmed.</x:v>
      </x:c>
      <x:c r="D19" s="29"/>
      <x:c r="E19" s="21" t="str">
        <x:v>Ingredient-origin-led Korean skincare combining named regional botanicals and grains with Korean-heritage, responsible-sourcing and green-chemistry storytelling. Current U.S. demand is increasingly Rice-led, with Mugwort and Honey sustaining the brand's soothing and wash-off-mask heritage.</x:v>
      </x:c>
      <x:c r="F19" s="21" t="str">
        <x:v>Gen Z and millennial K-Beauty consumers seeking milky-toner hydration, glass-skin glow, ingredient provenance and soothing care; secondary dry, sensitive, combination and barrier-support shoppers who value botanical routines and sensorial wash-off masks.</x:v>
      </x:c>
      <x:c r="G19" s="21" t="str">
        <x:v>Established Niche / Fast-Growing Rice-Led K-Beauty Brand</x:v>
      </x:c>
      <x:c r="H19" s="21" t="str">
        <x:v>No public independent U.S. master distributor was verified. LAB &amp; Company owns the mark; Amazon pages showed both 'imfrom' and 'wishtrend' sellers, and TikTok Shop showed I'm From US. Written confirmation of current entity, territory, channel and SKU authority is essential.</x:v>
      </x:c>
      <x:c r="I19" s="21" t="str">
        <x:v>Official Korean DTC; Amazon U.S.; official TikTok Shop; Ulta; iHerb; Target listings; Walmart marketplace; YesStyle; Olive Young Global; Stylevana and other cross-border K-Beauty retailers; historical Wishtrend relationship.</x:v>
      </x:c>
      <x:c r="J19" s="21" t="str">
        <x:v>Accessible mid-market at specialty retail, with severe marketplace compression. Ulta listed core products at $18-$32, iHerb Rice Toner at $24.50 and Target listings around $14.79-$34.99, while Amazon's new Rice Toner was discounted to $14.63 versus a $28 reference price.</x:v>
      </x:c>
      <x:c r="K19" s="21" t="str">
        <x:v>Clear Korean-origin ingredient architecture; high-rated Rice Toner and Rice Cream at Ulta; 6,986 iHerb Rice Toner ratings and 2,000+ recent units; meaningful Amazon toner badges; and official TikTok Shop cumulative sold displays spanning Rice, Mugwort and mask formats.</x:v>
      </x:c>
      <x:c r="L19" s="21" t="str">
        <x:v>Amazon sampled on 2026-08-01: new Rice Toner B0GL23FXCZ — 5K+ bought/month, $14.63 deal versus $28 list, 4.7/135, #37 Facial Toners, sold by imfrom and shipped by Amazon; Black Rice Toner B0DY7HR89T — 300+ bought/month, $18.50, 4.5/191, #298 Facial Toners, sold by wishtrend and shipped by Amazon. Related displays showed new Rice Cream, Mugwort Essence and Rice Serum listings, but no recent-purchase badge was verified for them.</x:v>
      </x:c>
      <x:c r="M19" s="21" t="str">
        <x:v>At least 5,300 sampled active Amazon units/month and a conservative $78,700/month gross-sales floor at observed one-time prices: $73,150 Rice Toner plus $5,550 Black Rice Toner. This is not audited revenue or total U.S. sales and intentionally excludes replaced/unavailable ASINs and unverified related-product badges.</x:v>
      </x:c>
      <x:c r="N19" s="21" t="str">
        <x:v>Official LAB &amp; Company/I'm From pages and trademark records; direct Amazon listings; TikTok Shop; Ulta; iHerb; Target; Walmart; Wishtrend corporate/retailer pages; Reddit consumer threads; FDA/DailyMed scoped checks; and current competitor pages. No audited U.S. revenue, wholesale margin or sell-through was invented.</x:v>
      </x:c>
      <x:c r="O19" s="21" t="str">
        <x:v>High for official ownership, official category/positioning, Ulta, iHerb and direct sampled Amazon displays; Medium-High for TikTok Shop official-seller pages and cumulative sold signals; Medium or lower for current Wishtrend role, Target/Walmart seller authorization, forum causality, trademark-commercial-rights implications and future wholesale economics.</x:v>
      </x:c>
      <x:c r="P19" s="21" t="str">
        <x:v>Recurring positives: Rice Toner hydration, glow, gentle milky texture and layerability; Rice Cream barrier comfort and occlusive nourishment; Mugwort products' perceived calming effect; Honey Mask richness; attractive ingredient provenance; and accessible specialty-retail pricing.</x:v>
      </x:c>
      <x:c r="Q19" s="21" t="str">
        <x:v>Recurring negatives: breakouts or closed comedones for some Rice users, tackiness/heaviness, limited brightening for some, Mugwort no-effect or irritation reports and herbal smell, Honey Mask stickiness/mess, potential sensitivity, and reformulation/packaging/size confusion.</x:v>
      </x:c>
      <x:c r="R19" s="21" t="str">
        <x:v>Official TikTok Shop listings displayed strong cumulative social-commerce demand, including about 55.3K sold for Rice Toner, 22.4K for Mugwort sheet masks, 19.5K for Mugwort Essence, 14.4K for a Rice trio and 8.6K for a Rice Toner/Mugwort Essence duo. Counts are dynamic and overlap across singles and bundles, so they were not summed. An official Instagram account supports global awareness, but a reliable current U.S.-specific follower metric was not independently captured.</x:v>
      </x:c>
      <x:c r="S19" s="21" t="str">
        <x:v>Reddit sampling is mixed but consistent with retailer themes: many users praise Mugwort and Honey wash-off masks for calming or nourishment and Rice Toner for hydration/glow; others report no effect, irritation, breakouts, scent/texture dislikes, or concern about recent 160-to-150 mL and 120-to-70 g reformulations. These are anecdotal signals, not efficacy or counterfeit findings.</x:v>
      </x:c>
      <x:c r="T19" s="21" t="str">
        <x:v>ANUA Rice 70 Glow Milky Toner; TIRTIR Milk Skin Toner; Hanyul Artemisia Soothing Toner; SKIN1004 Madagascar Centella Probio-Cica Enrich Cream; Beauty of Joseon Ground Rice and Honey Glow Mask.</x:v>
      </x:c>
      <x:c r="U19" s="21" t="str">
        <x:v>Demand and retail validation are strong enough for selective expansion, especially curated ingredient-story education, discovery sets, spa/esthetic, multicultural and independent specialty accounts. The opening is not undifferentiated marketplace resale because official/direct and cross-border availability is already broad.</x:v>
      </x:c>
      <x:c r="V19" s="21" t="str">
        <x:v>Amazon price erosion; new-versus-legacy ASIN and formulation transition; seller-role ambiguity between imfrom and wishtrend; overlapping Ulta/iHerb/Target/TikTok/cross-border channels; Walmart and other marketplace provenance risk; potential reformulation and net-content changes; drug-like soothing/repair/brightening claims; and no verified current U.S. OTC sun-care label.</x:v>
      </x:c>
      <x:c r="W19" s="21" t="str">
        <x:v>Expert review required. Confirm LAB &amp; Company's exact U.S. contracting/importing/responsible-person roles; MoCRA facility registration/product listing; exact current labels/INCI/net contents; safety substantiation; GMP; COA/spec/SDS; microbiology, preservative efficacy, stability and packaging compatibility; lot/expiry traceability; insurance; complaint/adverse-event/recall SOPs; and claims support. Do not distribute any SPF unless its exact U.S. OTC Drug Facts, NDC, active ingredients, establishment/listing, artwork and testing are provided.</x:v>
      </x:c>
      <x:c r="X19" s="31" t="str">
        <x:v>Recommended MSRP anchors: Rice Toner 150 mL $26-$28; Black Rice Toner 150 mL $26-$28; Mugwort Essence 150 mL $34-$36; Rice Cream 50 g $28-$30; Honey Mask 70 g $30-$35. Require a promotion/MAP architecture that prevents $14-$20 marketplace pricing from undermining specialty retail.</x:v>
      </x:c>
      <x:c r="Y19" s="21" t="str">
        <x:v>Protected regional, multicultural, independent specialty, spa/esthetic and account-specific e-commerce. Lead with Rice Toner, a Rice hydration set and a Mugwort/Honey discovery-mask set. Avoid unauthorized Amazon, Walmart marketplace or open TikTok marketplace resale.</x:v>
      </x:c>
      <x:c r="Z19" s="21" t="str">
        <x:v>'Korean ingredient-origin skincare for milky hydration, visible glow and comforting daily rituals.' Use cosmetic appearance language such as 'helps skin look calm, hydrated and radiant'; avoid therapeutic redness, inflammation, repair, detox, collagen, penetration or guaranteed-result claims without substantiation and regulatory review.</x:v>
      </x:c>
      <x:c r="AA19" s="21" t="str">
        <x:v>Recommendation Grade B (74.85/100): strong Rice-led U.S. demand, high retailer satisfaction and social-commerce momentum support a conditional opportunity. Advance only if LAB &amp; Company offers clear U.S. channel rights, exact current-version documentation, defensible landed margin and enforceable marketplace/MAP controls.</x:v>
      </x:c>
      <x:c r="AB19" s="21" t="str">
        <x:v>See sheets 03_Scoring through 10_Vendor_Terms in this workbook.</x:v>
      </x:c>
      <x:c r="AC19" s="25" t="str">
        <x:v>2026-08-01</x:v>
      </x:c>
      <x:c r="AD19" s="21" t="str">
        <x:v>Codex Deep Research</x:v>
      </x:c>
    </x:row>
    <x:row r="20" ht="208" customHeight="1">
      <x:c r="A20" s="21" t="str">
        <x:v>KB019</x:v>
      </x:c>
      <x:c r="B20" s="21" t="str">
        <x:v>Dear Klairs</x:v>
      </x:c>
      <x:c r="C20" s="21" t="str">
        <x:v>Dear Klairs is operated by Seoul-based WISHCOMPANY Inc.; the official U.S. store terms identify WISHCOMPANY US CORP as the U.S. operator. Current corporate pages say Wishcompany launched the brand in 2010, while an older brand-history page describes a 2009 predecessor and July 2012 acquisition. Confirm the exact brand-rights chronology and contracting entity during diligence.</x:v>
      </x:c>
      <x:c r="D20" s="29"/>
      <x:c r="E20" s="21" t="str">
        <x:v>Sensitive-skin K-Beauty built around gentle hydration, barrier comfort and accessible active care. The durable Supple Preparation toner franchise is supplemented by Freshly Juiced Vitamin, Midnight Blue/EGF, Rich Moist, cleansing, eye and newer PDRN/maple/bakuchiol ranges.</x:v>
      </x:c>
      <x:c r="F20" s="21" t="str">
        <x:v>Gen Z, millennial and established K-Beauty users seeking fragrance-free or low-irritation routines, hydrating toners, beginner vitamin C, calming blue skincare and barrier moisturizers; secondary spa, esthetic and post-treatment-comfort accounts.</x:v>
      </x:c>
      <x:c r="G20" s="21" t="str">
        <x:v>Established Global / Strong U.S. Niche with Expanding Authorized Retail</x:v>
      </x:c>
      <x:c r="H20" s="21" t="str">
        <x:v>The official U.S. store is operated by WISHCOMPANY US CORP and the brand publishes a U.S. wholesale program with U.S. fulfillment. Exact importer of record, MoCRA responsible person, inventory owner and per-channel contracting rights were not independently confirmed.</x:v>
      </x:c>
      <x:c r="I20" s="21" t="str">
        <x:v>Official U.S. DTC; Amazon U.S.; verified TikTok Shop; Olive Young U.S. online plus Pasadena and Century City; Walmart-hosted brand listings; iHerb; YesStyle and other cross-border K-Beauty retailers. The current official U.S. retailer page recognizes only DTC, Amazon, Olive Young U.S. and TikTok Shop.</x:v>
      </x:c>
      <x:c r="J20" s="21" t="str">
        <x:v>Affordable-to-mid-priced at list, but heavily promotional in practice. Core official list prices are about $23-$31, while current DTC sale prices were $16.10-$21.70 and Amazon displayed core items around $14.95-$20.85. A newer 50 mL EGF serum lists at $39.99 but is also deeply discounted across channels.</x:v>
      </x:c>
      <x:c r="K20" s="21" t="str">
        <x:v>Long-running toner and vitamin-C review bases, strong Amazon recent-purchase badges, about 83.3K cumulative TikTok Shop sold, 60K+ U.S. site members and 6,900+ first-party reviews claimed by the brand, and new Olive Young U.S. physical placement.</x:v>
      </x:c>
      <x:c r="L20" s="21" t="str">
        <x:v>Amazon sampled: Unscented Toner B07B65NJLV — 2K+ bought/month, $18.76, 4.6/5,234, #110 Facial Toners, sold by wishtrend and shipped by Amazon; Vitamin C Serum B010FOFSH0 — 1K+ bought/month, about $17, 4.4/10,978, #348 Facial Serums, sold by wishtrend and Amazon-fulfilled; Midnight Blue Calming Cream B07GR1JDBT — 1K+ bought/month, about $14.95, 4.5/3,022, #40 Facial Night Creams, Amazon's Choice, sold by wishtrend and Amazon-fulfilled.</x:v>
      </x:c>
      <x:c r="M20" s="21" t="str">
        <x:v>At least 4,000 visible badge-minimum Amazon units/month and a conservative $69,470 monthly gross-sales proxy across the three sampled listings: $37,520 toner, $17,000 vitamin C and $14,950 blue cream. This is not audited revenue, does not include units above rounded badge minimums, and combines asynchronously crawled platform snapshots.</x:v>
      </x:c>
      <x:c r="N20" s="21" t="str">
        <x:v>Official U.S. and global brand pages; Wishcompany corporate pages; direct Amazon listings; TikTok Shop; Olive Young U.S.; Walmart; iHerb; YesStyle; Reddit consumer threads; official SPF statements; FDA/DailyMed scoped checks; and current competitor pages. No audited U.S. revenue, wholesale price or sell-through was invented.</x:v>
      </x:c>
      <x:c r="O20" s="21" t="str">
        <x:v>High for official ownership/operator, core category, official-retailer list and sampled Amazon/TikTok displays; Medium-High for first-party cumulative-unit and member/review claims; Medium for Walmart/iHerb/YesStyle authorization within the current U.S. program, older chronology, negative channel searches, social metrics and future wholesale economics.</x:v>
      </x:c>
      <x:c r="P20" s="21" t="str">
        <x:v>Recurring positives: toner hydration and layerability; sensitive-skin friendliness of the Unscented version; Vitamin Drop glow and beginner-friendly strength; Blue Cream's perceived reduction in visible redness and lightweight comfort; Rich Moist barrier nourishment; fast absorption; and durable repurchase behavior.</x:v>
      </x:c>
      <x:c r="Q20" s="21" t="str">
        <x:v>Recurring negatives: toner tackiness or insufficient hydration and occasional breakouts; original toner essential oils/fragrance sensitivity; Vitamin Drop oiliness, warmth/stinging and oxidation/old-stock concerns; Blue Cream small-size/value concerns or limited moisture; Rich Moist heaviness or essential-oil/reformulation confusion; and packaging/marketplace authenticity questions.</x:v>
      </x:c>
      <x:c r="R20" s="21" t="str">
        <x:v>TikTok Shop U.S. showed an official shop at 4.6 with about 83.3K cumulative sold and 37.1K followers. Strong sampled listings included Fundamental Ampule Mist about 8.5K sold, Skin Flooding Trio about 8.3K, Blue Youth Activating Drop about 5.5K and Gentle Black Deep Cleansing Oil about 5.4K. Instagram/TikTok @klairs.us are official U.S. handles, but a reliable current Instagram follower count was not captured.</x:v>
      </x:c>
      <x:c r="S20" s="21" t="str">
        <x:v>Reddit sampling supports a genuine cult following but also product-fit variability: users praise the Unscented Toner for gentle, layerable hydration and Blue Cream for visible comfort; others describe tackiness, no effect, breakouts, or insufficient richness. A recent authenticity thread described packaging/formula differences after an Amazon purchase, which is a diligence signal rather than proof of counterfeiting.</x:v>
      </x:c>
      <x:c r="T20" s="21" t="str">
        <x:v>ANUA Heartleaf 77 Soothing Toner; Beauty of Joseon Light On Serum: Centella + Vita C; SKIN1004 Madagascar Centella Soothing Cream; ETUDE SoonJung 2x Barrier Intensive Cream; LANEIGE Cica Sleeping Mask.</x:v>
      </x:c>
      <x:c r="U20" s="21" t="str">
        <x:v>The best opportunity is an authorized, non-marketplace specialty program using U.S. fulfillment, hero replenishment and spa/esthetic education. The brand already invites U.S. wholesale partners, so the opening is operationally more tangible than for many peers; differentiation must come through protected accounts, service and assortments, not open online arbitrage.</x:v>
      </x:c>
      <x:c r="V20" s="21" t="str">
        <x:v>Persistent DTC/Amazon/TikTok discounting; official-site merchandising that mixes other Wishcompany brands and extreme clearance; authorized-versus-unverified reseller ambiguity; strong incumbent seller wishtrend; Walmart/cross-border gray-market risk; legacy/reformulation confusion; vitamin-C oxidation; historical SPF underperformance; and therapeutic wording around calming, repair, acne marks, EGF and barrier claims.</x:v>
      </x:c>
      <x:c r="W20" s="21" t="str">
        <x:v>Expert review required. Confirm WISHCOMPANY US CORP/WISHCOMPANY Inc. roles; importer of record and MoCRA responsible person; facility registration/product listing; exact labels/INCI/net contents/UPC; safety substantiation; GMP; COA/spec/SDS; microbiology, preservative efficacy, stability and packaging compatibility; lot/expiry traceability; insurance; complaint/adverse-event/recall SOPs; claims support; trademark rights; and licensed imagery. Exclude sun care until exact U.S. OTC compliance is proven.</x:v>
      </x:c>
      <x:c r="X20" s="31" t="str">
        <x:v>Recommended specialty MSRP anchors: Unscented Toner 180 mL $22-$24; Vitamin Drop 35 mL $23-$25; Midnight Blue Calming Cream 60 g $30-$32; Rich Moist Soothing Cream 80 g $25-$27; Blue Youth Activating Drop 20 mL $28-$32 / 50 mL $38-$40. Require protected wholesale economics against routine $15-$22 marketplace selling prices.</x:v>
      </x:c>
      <x:c r="Y20" s="21" t="str">
        <x:v>Independent specialty, multicultural beauty, spa/esthetic, derm-adjacent retail, college/urban boutiques and account-specific e-commerce. Lead with Unscented Toner, Blue Cream, Vitamin Drop and a sensitive-skin starter set; test Blue Drop as the trend-led premium step. Avoid unauthorized Amazon, Walmart or open TikTok resale.</x:v>
      </x:c>
      <x:c r="Z20" s="21" t="str">
        <x:v>'Proven gentle K-Beauty for hydrated, comfortable-looking skin.' Use cosmetic appearance language such as 'helps skin look calm, hydrated and more even'; avoid treatment, wound-healing, acne, inflammation, cellular repair, SPF, penetration or guaranteed-result claims without substantiation and regulatory review.</x:v>
      </x:c>
      <x:c r="AA20" s="21" t="str">
        <x:v>Recommendation Grade B (76.0/100): Dear Klairs has durable U.S. consumer proof, current social-commerce scale, an active U.S. wholesale route and expanding offline placement. Advance to commercial diligence only if protected-channel rights, predictable landed margin, MAP/promotion controls and complete U.S. regulatory documentation are confirmed.</x:v>
      </x:c>
      <x:c r="AB20" s="21" t="str">
        <x:v>See sheets 03_Scoring through 10_Vendor_Terms in this workbook.</x:v>
      </x:c>
      <x:c r="AC20" s="25" t="str">
        <x:v>2026-08-01</x:v>
      </x:c>
      <x:c r="AD20" s="21" t="str">
        <x:v>Codex Deep Research</x:v>
      </x:c>
    </x:row>
    <x:row r="21" ht="216" customHeight="1">
      <x:c r="A21" s="21" t="str">
        <x:v>KB020</x:v>
      </x:c>
      <x:c r="B21" s="21" t="str">
        <x:v>Haruharu Wonder</x:v>
      </x:c>
      <x:c r="C21" s="21" t="str">
        <x:v>Haruharu Wonder is owned/operated in Korea by DFS Company (주식회사 디에프에스컴퍼니), whose Korean corporate site identifies representative Jaewon Jeong. The global site identifies founder/CEO Jae Jeong and a Delaware regional office, Haruharu Wonder USA, Inc. A separate haruharuusa.com site states DFS USA INC terms and a StyleKorean-affiliated privacy policy. Confirm the exact brand owner, U.S. seller, importer, responsible person and contracting chain.</x:v>
      </x:c>
      <x:c r="D21" s="29"/>
      <x:c r="E21" s="21" t="str">
        <x:v>Clean/vegan-positioned K-Beauty centered on patented fermented black rice, black-bamboo and barrier-care stories, with toners, milky essence, cleansers, moisturizers, eye care, serums, PDRN, centella, body/hair and global SPF ranges.</x:v>
      </x:c>
      <x:c r="F21" s="21" t="str">
        <x:v>Gen Z, millennial and established K-Beauty shoppers seeking affordable barrier support, glass-skin hydration, fragrance-free sensitive-skin routines, cleansing oils, bakuchiol eye care and cosmetically elegant Korean sunscreen; secondary multicultural beauty, independent specialty and spa/esthetic accounts.</x:v>
      </x:c>
      <x:c r="G21" s="21" t="str">
        <x:v>Strong U.S. Niche / Rapid Mainstream Expansion</x:v>
      </x:c>
      <x:c r="H21" s="21" t="str">
        <x:v>The global site lists HARUHARU WONDER USA, INC. in Delaware; haruharuusa.com terms list DFS USA INC in Irvine, California, and its privacy policy describes StyleKorean-affiliated operations. Target, Amazon and TikTok activity demonstrate U.S. execution, but importer of record, MoCRA responsible person, inventory owner and channel-contracting rights were not independently confirmed.</x:v>
      </x:c>
      <x:c r="I21" s="21" t="str">
        <x:v>Official global DTC; separate U.S. DTC portal; Amazon U.S.; nationwide Target launch and Target.com; official TikTok Shop U.S.; Instagram/TikTok; StyleKorean; iHerb; Walmart Marketplace and other cross-border retailers. The official Linktree identifies Target, Amazon U.S. and wholesale contacts. No current Haruharu Wonder assortment was verified at Sephora U.S., Ulta or Costco.</x:v>
      </x:c>
      <x:c r="J21" s="21" t="str">
        <x:v>Affordable-to-mid-priced. Official global list anchors are approximately $18 toner, $22 eye cream and Airyfit sunscreen, $25 cleansing oil and $28 Barrier Essence. U.S. mainstream prices are lower: Target launched core full sizes at $13.99-$19.99; Amazon official-seller hero offers were $13.99-$19.99; StyleKorean was commonly 40% below list.</x:v>
      </x:c>
      <x:c r="K21" s="21" t="str">
        <x:v>The January 2026 nationwide Target launch, high Target purchase badges, official TikTok Shop activity, multi-thousand retailer review bases and exceptionally strong Amazon purchase badges show a brand moving from K-Beauty niche awareness into U.S. mass visibility.</x:v>
      </x:c>
      <x:c r="L21" s="21" t="str">
        <x:v>Amazon sampled current displays: Probiotics Barrier Essence B0D95M72BF — 10K+ bought/month, $19.99, #21 Facial Toners, sold by Haruharu wonder and shipped by Amazon; Moisture Cleansing Oil B08W1ZHTL3 — 8K+ bought/month, $15.99 one-time, 4.4/4,381, #6 Makeup Cleansing Oils, sold by Haruharu wonder and shipped by Amazon; Unscented Toner B0971YC8W1 — 3K+ bought/month, $13.99, #41 Facial Toners, sold by Haruharu wonder and shipped by Amazon. Separately, Airyfit Sunscreen B0BZ3G9GKL showed 30K+ bought/month, Amazon's Choice and #11 Facial Sunscreens but seller Breezesun.</x:v>
      </x:c>
      <x:c r="M21" s="21" t="str">
        <x:v>At least 21,000 visible official-seller badge-minimum Amazon units/month and a conservative $369,790 monthly gross-sales proxy across Barrier Essence ($199,900), Cleansing Oil ($127,920) and Unscented Toner ($41,970). The third-party Airyfit 30K+ badge is excluded from the official-seller revenue floor. All figures are dynamic rounded minimums, asynchronously crawled and not audited revenue.</x:v>
      </x:c>
      <x:c r="N21" s="21" t="str">
        <x:v>Official global, Korean and U.S. sites; corporate terms/privacy/contact pages; official Target launch announcement and Target listings; direct Amazon listings; TikTok Shop; StyleKorean; iHerb; Walmart; consumer Reddit threads; editorial testing; official competitor pages; and current FDA/DailyMed checks. No audited U.S. revenue, wholesale price or sell-through was invented.</x:v>
      </x:c>
      <x:c r="O21" s="21" t="str">
        <x:v>High for official-site/category facts, Target launch, sampled Amazon/Target displays and FDA requirements; Medium-High for official brand positioning, social-commerce and retailer assortment; Medium for cross-border authorization, entity relationships and derived sales proxies; Low-Medium for individual Reddit reports and scoped negative searches.</x:v>
      </x:c>
      <x:c r="P21" s="21" t="str">
        <x:v>Recurring positives: Barrier Essence gives rich hydration without feeling heavy for many users; Unscented Toner is gentle, layerable and good value; Cleansing Oil removes makeup effectively without stripping for many; Airyfit is praised for no white cast and a velvety finish; Bakuchiol Eye Cream is lightweight and makeup-friendly; packaging is distinctive and accessible.</x:v>
      </x:c>
      <x:c r="Q21" s="21" t="str">
        <x:v>Recurring negatives: ferments or richer Barrier Essence can trigger puffiness, congestion or irritation for some; the original scented toner versus unscented version causes confusion; Cleansing Oil may sting eyes or trigger breakouts; Airyfit may pill, feel dry or cause breakouts; eye-cream results can be subtle; and marketplace shoppers report packaging/authenticity uncertainty.</x:v>
      </x:c>
      <x:c r="R21" s="21" t="str">
        <x:v>TikTok Shop U.S. displayed an official shop with about 11.1K followers, 8,227 cumulative sold and 319 videos in a three-month-old crawl; an official toner-plus-Barrier-Essence bundle showed about 1.1K sold. The official Linktree connects Instagram and TikTok @haruharuwonder_official, and the Target launch announcement also identifies @haruharuwonder_us_official. A reliable current Instagram follower count was not captured.</x:v>
      </x:c>
      <x:c r="S21" s="21" t="str">
        <x:v>Reddit sampling shows strong genuine enthusiasm for the Barrier Essence, toner, cleansing oil and Airyfit finish, but also formula-fit and version risk. A highly visible Amazon authenticity thread and 2026 follow-up discussions focus on sunscreen packaging, seller changes and inconsistent feel; these reports are unverified consumer signals but reinforce the need for seller, lot and UPC controls.</x:v>
      </x:c>
      <x:c r="T21" s="21" t="str">
        <x:v>TIRTIR Milk Skin Toner; Dr. Ceuracle Vegan Kombucha Tea Essence; ANUA Heartleaf Pore Control Cleansing Oil Mild; Beauty of Joseon Revive Eye Serum: Ginseng + Retinal; SKIN1004 Hyalu-Cica Water-Fit Sun Serum.</x:v>
      </x:c>
      <x:c r="U21" s="21" t="str">
        <x:v>Demand is excellent, and Target validates mainstream acceptance. For an affordable-to-mid-priced distributor, the realistic opening is a protected specialty, multicultural, spa/esthetic or account-specific assortment built around cosmetic heroes and local service. Open e-commerce arbitrage is unattractive because the brand, Target, Amazon, StyleKorean and other channels already price aggressively.</x:v>
      </x:c>
      <x:c r="V21" s="21" t="str">
        <x:v>Channel conflict and margin compression; deep cross-border discounts; official-versus-third-party Amazon seller differences; Walmart Marketplace and other reseller ambiguity; counterfeit/version complaints; multiple U.S.-facing entities; unverified importer/responsible-person roles; claims around acne, inflammation, repair and penetration; ferment/sensitivity fit; and high sunscreen regulatory exposure.</x:v>
      </x:c>
      <x:c r="W21" s="21" t="str">
        <x:v>Expert review required. Confirm DFS Company/Haruharu Wonder USA, Inc./DFS USA INC/StyleKorean roles; brand-rights and signing authority; importer of record and MoCRA responsible person; facility registration and product listing; exact U.S. labels/INCI/net contents/UPC; safety substantiation; GMP; COA/spec/SDS; microbiology, preservative efficacy and stability; lot/expiry traceability; insurance; adverse-event/complaint/recall SOPs; claims support; trademark rights; and licensed imagery. Exclude all SPF until exact U.S. OTC evidence is supplied.</x:v>
      </x:c>
      <x:c r="X21" s="31" t="str">
        <x:v>Suggested specialty MSRP anchors if protected economics are available: Unscented Toner 150 mL $16-$18; Cleansing Oil 150 mL $18-$22; Barrier Essence 120 mL $22-$26; Bakuchiol Eye Cream 20 mL $18-$22; 5 Ceramide Cream 50 mL $20-$24. Do not plan Airyfit U.S. MSRP or purchase until OTC status is cleared. Target/Amazon floors near $13-$20 must be reflected in margin modeling.</x:v>
      </x:c>
      <x:c r="Y21" s="21" t="str">
        <x:v>Independent specialty, multicultural beauty, spa/esthetic, derm-adjacent retail, campus/urban boutiques and account-specific e-commerce. Lead with Barrier Essence, Cleansing Oil, Unscented Toner and 5 Ceramide Cream; use the Eye Cream as an accessible add-on. Avoid unauthorized Amazon, Walmart or open TikTok resale; exclude SPF.</x:v>
      </x:c>
      <x:c r="Z21" s="21" t="str">
        <x:v>'Fermented black-rice hydration and barrier-focused K-Beauty at an accessible price.' Use cosmetic appearance language such as 'helps skin feel hydrated, soft and comfortable'; avoid acne-treatment, inflammation, repair, penetration, collagen-creation, SPF or guaranteed-result claims without legal review and substantiation.</x:v>
      </x:c>
      <x:c r="AA21" s="21" t="str">
        <x:v>Recommendation Grade B (77.2/100): Haruharu Wonder has outstanding current demand, meaningful mass-retail validation and several high-velocity cosmetic heroes. Advance only to controlled commercial diligence, not open distribution, and require protected-channel economics, entity clarity, authenticity controls and complete U.S. regulatory documentation. All SPF remains on hold.</x:v>
      </x:c>
      <x:c r="AB21" s="21" t="str">
        <x:v>See sheets 03_Scoring through 10_Vendor_Terms in this workbook.</x:v>
      </x:c>
      <x:c r="AC21" s="25" t="str">
        <x:v>2026-08-01</x:v>
      </x:c>
      <x:c r="AD21" s="21" t="str">
        <x:v>Codex Deep Research</x:v>
      </x:c>
    </x:row>
    <x:row r="22">
      <x:c r="A22" s="21" t="str">
        <x:v>KB021</x:v>
      </x:c>
      <x:c r="B22" s="21" t="str">
        <x:v>Axis-Y</x:v>
      </x:c>
      <x:c r="C22" s="21" t="str"/>
      <x:c r="D22" s="29"/>
      <x:c r="E22" s="21" t="str"/>
      <x:c r="F22" s="21" t="str"/>
      <x:c r="G22" s="21" t="str"/>
      <x:c r="H22" s="21" t="str"/>
      <x:c r="I22" s="21" t="str"/>
      <x:c r="J22" s="21" t="str"/>
      <x:c r="K22" s="21" t="str"/>
      <x:c r="L22" s="21" t="str"/>
      <x:c r="M22" s="21" t="str"/>
      <x:c r="N22" s="21" t="str"/>
      <x:c r="O22" s="21" t="str"/>
      <x:c r="P22" s="21" t="str"/>
      <x:c r="Q22" s="21" t="str"/>
      <x:c r="R22" s="21" t="str"/>
      <x:c r="S22" s="21" t="str"/>
      <x:c r="T22" s="21" t="str"/>
      <x:c r="U22" s="21" t="str"/>
      <x:c r="V22" s="21" t="str"/>
      <x:c r="W22" s="21" t="str"/>
      <x:c r="X22" s="31"/>
      <x:c r="Y22" s="21" t="str"/>
      <x:c r="Z22" s="21" t="str"/>
      <x:c r="AA22" s="21" t="str"/>
      <x:c r="AB22" s="21" t="str"/>
      <x:c r="AC22" s="25"/>
      <x:c r="AD22" s="21" t="str"/>
    </x:row>
    <x:row r="23">
      <x:c r="A23" s="21" t="str">
        <x:v>KB022</x:v>
      </x:c>
      <x:c r="B23" s="21" t="str">
        <x:v>Rom&amp;nd</x:v>
      </x:c>
      <x:c r="C23" s="21" t="str"/>
      <x:c r="D23" s="29"/>
      <x:c r="E23" s="21" t="str"/>
      <x:c r="F23" s="21" t="str"/>
      <x:c r="G23" s="21" t="str"/>
      <x:c r="H23" s="21" t="str"/>
      <x:c r="I23" s="21" t="str"/>
      <x:c r="J23" s="21" t="str"/>
      <x:c r="K23" s="21" t="str"/>
      <x:c r="L23" s="21" t="str"/>
      <x:c r="M23" s="21" t="str"/>
      <x:c r="N23" s="21" t="str"/>
      <x:c r="O23" s="21" t="str"/>
      <x:c r="P23" s="21" t="str"/>
      <x:c r="Q23" s="21" t="str"/>
      <x:c r="R23" s="21" t="str"/>
      <x:c r="S23" s="21" t="str"/>
      <x:c r="T23" s="21" t="str"/>
      <x:c r="U23" s="21" t="str"/>
      <x:c r="V23" s="21" t="str"/>
      <x:c r="W23" s="21" t="str"/>
      <x:c r="X23" s="31"/>
      <x:c r="Y23" s="21" t="str"/>
      <x:c r="Z23" s="21" t="str"/>
      <x:c r="AA23" s="21" t="str"/>
      <x:c r="AB23" s="21" t="str"/>
      <x:c r="AC23" s="25"/>
      <x:c r="AD23" s="21" t="str"/>
    </x:row>
    <x:row r="24">
      <x:c r="A24" s="21" t="str">
        <x:v>KB023</x:v>
      </x:c>
      <x:c r="B24" s="21" t="str">
        <x:v>Peripera</x:v>
      </x:c>
      <x:c r="C24" s="21" t="str"/>
      <x:c r="D24" s="29"/>
      <x:c r="E24" s="21" t="str"/>
      <x:c r="F24" s="21" t="str"/>
      <x:c r="G24" s="21" t="str"/>
      <x:c r="H24" s="21" t="str"/>
      <x:c r="I24" s="21" t="str"/>
      <x:c r="J24" s="21" t="str"/>
      <x:c r="K24" s="21" t="str"/>
      <x:c r="L24" s="21" t="str"/>
      <x:c r="M24" s="21" t="str"/>
      <x:c r="N24" s="21" t="str"/>
      <x:c r="O24" s="21" t="str"/>
      <x:c r="P24" s="21" t="str"/>
      <x:c r="Q24" s="21" t="str"/>
      <x:c r="R24" s="21" t="str"/>
      <x:c r="S24" s="21" t="str"/>
      <x:c r="T24" s="21" t="str"/>
      <x:c r="U24" s="21" t="str"/>
      <x:c r="V24" s="21" t="str"/>
      <x:c r="W24" s="21" t="str"/>
      <x:c r="X24" s="31"/>
      <x:c r="Y24" s="21" t="str"/>
      <x:c r="Z24" s="21" t="str"/>
      <x:c r="AA24" s="21" t="str"/>
      <x:c r="AB24" s="21" t="str"/>
      <x:c r="AC24" s="25"/>
      <x:c r="AD24" s="21" t="str"/>
    </x:row>
    <x:row r="25">
      <x:c r="A25" s="21" t="str">
        <x:v>KB024</x:v>
      </x:c>
      <x:c r="B25" s="21" t="str">
        <x:v>Purito</x:v>
      </x:c>
      <x:c r="C25" s="21" t="str"/>
      <x:c r="D25" s="29"/>
      <x:c r="E25" s="21" t="str"/>
      <x:c r="F25" s="21" t="str"/>
      <x:c r="G25" s="21" t="str"/>
      <x:c r="H25" s="21" t="str"/>
      <x:c r="I25" s="21" t="str"/>
      <x:c r="J25" s="21" t="str"/>
      <x:c r="K25" s="21" t="str"/>
      <x:c r="L25" s="21" t="str"/>
      <x:c r="M25" s="21" t="str"/>
      <x:c r="N25" s="21" t="str"/>
      <x:c r="O25" s="21" t="str"/>
      <x:c r="P25" s="21" t="str"/>
      <x:c r="Q25" s="21" t="str"/>
      <x:c r="R25" s="21" t="str"/>
      <x:c r="S25" s="21" t="str"/>
      <x:c r="T25" s="21" t="str"/>
      <x:c r="U25" s="21" t="str"/>
      <x:c r="V25" s="21" t="str"/>
      <x:c r="W25" s="21" t="str"/>
      <x:c r="X25" s="31"/>
      <x:c r="Y25" s="21" t="str"/>
      <x:c r="Z25" s="21" t="str"/>
      <x:c r="AA25" s="21" t="str"/>
      <x:c r="AB25" s="21" t="str"/>
      <x:c r="AC25" s="25"/>
      <x:c r="AD25" s="21" t="str"/>
    </x:row>
    <x:row r="26">
      <x:c r="A26" s="21" t="str">
        <x:v>KB025</x:v>
      </x:c>
      <x:c r="B26" s="21" t="str">
        <x:v>Banila Co</x:v>
      </x:c>
      <x:c r="C26" s="21" t="str"/>
      <x:c r="D26" s="29"/>
      <x:c r="E26" s="21" t="str"/>
      <x:c r="F26" s="21" t="str"/>
      <x:c r="G26" s="21" t="str"/>
      <x:c r="H26" s="21" t="str"/>
      <x:c r="I26" s="21" t="str"/>
      <x:c r="J26" s="21" t="str"/>
      <x:c r="K26" s="21" t="str"/>
      <x:c r="L26" s="21" t="str"/>
      <x:c r="M26" s="21" t="str"/>
      <x:c r="N26" s="21" t="str"/>
      <x:c r="O26" s="21" t="str"/>
      <x:c r="P26" s="21" t="str"/>
      <x:c r="Q26" s="21" t="str"/>
      <x:c r="R26" s="21" t="str"/>
      <x:c r="S26" s="21" t="str"/>
      <x:c r="T26" s="21" t="str"/>
      <x:c r="U26" s="21" t="str"/>
      <x:c r="V26" s="21" t="str"/>
      <x:c r="W26" s="21" t="str"/>
      <x:c r="X26" s="31"/>
      <x:c r="Y26" s="21" t="str"/>
      <x:c r="Z26" s="21" t="str"/>
      <x:c r="AA26" s="21" t="str"/>
      <x:c r="AB26" s="21" t="str"/>
      <x:c r="AC26" s="25"/>
      <x:c r="AD26" s="21" t="str"/>
    </x:row>
    <x:row r="27">
      <x:c r="A27" s="21" t="str">
        <x:v>KB026</x:v>
      </x:c>
      <x:c r="B27" s="21" t="str">
        <x:v>Heimish</x:v>
      </x:c>
      <x:c r="C27" s="21" t="str"/>
      <x:c r="D27" s="29"/>
      <x:c r="E27" s="21" t="str"/>
      <x:c r="F27" s="21" t="str"/>
      <x:c r="G27" s="21" t="str"/>
      <x:c r="H27" s="21" t="str"/>
      <x:c r="I27" s="21" t="str"/>
      <x:c r="J27" s="21" t="str"/>
      <x:c r="K27" s="21" t="str"/>
      <x:c r="L27" s="21" t="str"/>
      <x:c r="M27" s="21" t="str"/>
      <x:c r="N27" s="21" t="str"/>
      <x:c r="O27" s="21" t="str"/>
      <x:c r="P27" s="21" t="str"/>
      <x:c r="Q27" s="21" t="str"/>
      <x:c r="R27" s="21" t="str"/>
      <x:c r="S27" s="21" t="str"/>
      <x:c r="T27" s="21" t="str"/>
      <x:c r="U27" s="21" t="str"/>
      <x:c r="V27" s="21" t="str"/>
      <x:c r="W27" s="21" t="str"/>
      <x:c r="X27" s="31"/>
      <x:c r="Y27" s="21" t="str"/>
      <x:c r="Z27" s="21" t="str"/>
      <x:c r="AA27" s="21" t="str"/>
      <x:c r="AB27" s="21" t="str"/>
      <x:c r="AC27" s="25"/>
      <x:c r="AD27" s="21" t="str"/>
    </x:row>
    <x:row r="28">
      <x:c r="A28" s="21" t="str">
        <x:v>KB027</x:v>
      </x:c>
      <x:c r="B28" s="21" t="str">
        <x:v>Ma:nyo (Manyo Factory)</x:v>
      </x:c>
      <x:c r="C28" s="21" t="str"/>
      <x:c r="D28" s="29"/>
      <x:c r="E28" s="21" t="str"/>
      <x:c r="F28" s="21" t="str"/>
      <x:c r="G28" s="21" t="str"/>
      <x:c r="H28" s="21" t="str"/>
      <x:c r="I28" s="21" t="str"/>
      <x:c r="J28" s="21" t="str"/>
      <x:c r="K28" s="21" t="str"/>
      <x:c r="L28" s="21" t="str"/>
      <x:c r="M28" s="21" t="str"/>
      <x:c r="N28" s="21" t="str"/>
      <x:c r="O28" s="21" t="str"/>
      <x:c r="P28" s="21" t="str"/>
      <x:c r="Q28" s="21" t="str"/>
      <x:c r="R28" s="21" t="str"/>
      <x:c r="S28" s="21" t="str"/>
      <x:c r="T28" s="21" t="str"/>
      <x:c r="U28" s="21" t="str"/>
      <x:c r="V28" s="21" t="str"/>
      <x:c r="W28" s="21" t="str"/>
      <x:c r="X28" s="31"/>
      <x:c r="Y28" s="21" t="str"/>
      <x:c r="Z28" s="21" t="str"/>
      <x:c r="AA28" s="21" t="str"/>
      <x:c r="AB28" s="21" t="str"/>
      <x:c r="AC28" s="25"/>
      <x:c r="AD28" s="21" t="str"/>
    </x:row>
    <x:row r="29">
      <x:c r="A29" s="21" t="str">
        <x:v>KB028</x:v>
      </x:c>
      <x:c r="B29" s="21" t="str">
        <x:v>Etude</x:v>
      </x:c>
      <x:c r="C29" s="21" t="str"/>
      <x:c r="D29" s="29"/>
      <x:c r="E29" s="21" t="str"/>
      <x:c r="F29" s="21" t="str"/>
      <x:c r="G29" s="21" t="str"/>
      <x:c r="H29" s="21" t="str"/>
      <x:c r="I29" s="21" t="str"/>
      <x:c r="J29" s="21" t="str"/>
      <x:c r="K29" s="21" t="str"/>
      <x:c r="L29" s="21" t="str"/>
      <x:c r="M29" s="21" t="str"/>
      <x:c r="N29" s="21" t="str"/>
      <x:c r="O29" s="21" t="str"/>
      <x:c r="P29" s="21" t="str"/>
      <x:c r="Q29" s="21" t="str"/>
      <x:c r="R29" s="21" t="str"/>
      <x:c r="S29" s="21" t="str"/>
      <x:c r="T29" s="21" t="str"/>
      <x:c r="U29" s="21" t="str"/>
      <x:c r="V29" s="21" t="str"/>
      <x:c r="W29" s="21" t="str"/>
      <x:c r="X29" s="31"/>
      <x:c r="Y29" s="21" t="str"/>
      <x:c r="Z29" s="21" t="str"/>
      <x:c r="AA29" s="21" t="str"/>
      <x:c r="AB29" s="21" t="str"/>
      <x:c r="AC29" s="25"/>
      <x:c r="AD29" s="21" t="str"/>
    </x:row>
    <x:row r="30">
      <x:c r="A30" s="21" t="str">
        <x:v>KB029</x:v>
      </x:c>
      <x:c r="B30" s="21" t="str">
        <x:v>Sulwhasoo</x:v>
      </x:c>
      <x:c r="C30" s="21" t="str"/>
      <x:c r="D30" s="29"/>
      <x:c r="E30" s="21" t="str"/>
      <x:c r="F30" s="21" t="str"/>
      <x:c r="G30" s="21" t="str"/>
      <x:c r="H30" s="21" t="str"/>
      <x:c r="I30" s="21" t="str"/>
      <x:c r="J30" s="21" t="str"/>
      <x:c r="K30" s="21" t="str"/>
      <x:c r="L30" s="21" t="str"/>
      <x:c r="M30" s="21" t="str"/>
      <x:c r="N30" s="21" t="str"/>
      <x:c r="O30" s="21" t="str"/>
      <x:c r="P30" s="21" t="str"/>
      <x:c r="Q30" s="21" t="str"/>
      <x:c r="R30" s="21" t="str"/>
      <x:c r="S30" s="21" t="str"/>
      <x:c r="T30" s="21" t="str"/>
      <x:c r="U30" s="21" t="str"/>
      <x:c r="V30" s="21" t="str"/>
      <x:c r="W30" s="21" t="str"/>
      <x:c r="X30" s="31"/>
      <x:c r="Y30" s="21" t="str"/>
      <x:c r="Z30" s="21" t="str"/>
      <x:c r="AA30" s="21" t="str"/>
      <x:c r="AB30" s="21" t="str"/>
      <x:c r="AC30" s="25"/>
      <x:c r="AD30" s="21" t="str"/>
    </x:row>
    <x:row r="31">
      <x:c r="A31" s="21" t="str">
        <x:v>KB030</x:v>
      </x:c>
      <x:c r="B31" s="21" t="str">
        <x:v>Clio</x:v>
      </x:c>
      <x:c r="C31" s="21" t="str"/>
      <x:c r="D31" s="29"/>
      <x:c r="E31" s="21" t="str"/>
      <x:c r="F31" s="21" t="str"/>
      <x:c r="G31" s="21" t="str"/>
      <x:c r="H31" s="21" t="str"/>
      <x:c r="I31" s="21" t="str"/>
      <x:c r="J31" s="21" t="str"/>
      <x:c r="K31" s="21" t="str"/>
      <x:c r="L31" s="21" t="str"/>
      <x:c r="M31" s="21" t="str"/>
      <x:c r="N31" s="21" t="str"/>
      <x:c r="O31" s="21" t="str"/>
      <x:c r="P31" s="21" t="str"/>
      <x:c r="Q31" s="21" t="str"/>
      <x:c r="R31" s="21" t="str"/>
      <x:c r="S31" s="21" t="str"/>
      <x:c r="T31" s="21" t="str"/>
      <x:c r="U31" s="21" t="str"/>
      <x:c r="V31" s="21" t="str"/>
      <x:c r="W31" s="21" t="str"/>
      <x:c r="X31" s="31"/>
      <x:c r="Y31" s="21" t="str"/>
      <x:c r="Z31" s="21" t="str"/>
      <x:c r="AA31" s="21" t="str"/>
      <x:c r="AB31" s="21" t="str"/>
      <x:c r="AC31" s="25"/>
      <x:c r="AD31" s="21" t="str"/>
    </x:row>
    <x:row r="32">
      <x:c r="A32" s="21" t="str">
        <x:v>KB031</x:v>
      </x:c>
      <x:c r="B32" s="21" t="str">
        <x:v>Abib</x:v>
      </x:c>
      <x:c r="C32" s="21" t="str"/>
      <x:c r="D32" s="29"/>
      <x:c r="E32" s="21" t="str"/>
      <x:c r="F32" s="21" t="str"/>
      <x:c r="G32" s="21" t="str"/>
      <x:c r="H32" s="21" t="str"/>
      <x:c r="I32" s="21" t="str"/>
      <x:c r="J32" s="21" t="str"/>
      <x:c r="K32" s="21" t="str"/>
      <x:c r="L32" s="21" t="str"/>
      <x:c r="M32" s="21" t="str"/>
      <x:c r="N32" s="21" t="str"/>
      <x:c r="O32" s="21" t="str"/>
      <x:c r="P32" s="21" t="str"/>
      <x:c r="Q32" s="21" t="str"/>
      <x:c r="R32" s="21" t="str"/>
      <x:c r="S32" s="21" t="str"/>
      <x:c r="T32" s="21" t="str"/>
      <x:c r="U32" s="21" t="str"/>
      <x:c r="V32" s="21" t="str"/>
      <x:c r="W32" s="21" t="str"/>
      <x:c r="X32" s="31"/>
      <x:c r="Y32" s="21" t="str"/>
      <x:c r="Z32" s="21" t="str"/>
      <x:c r="AA32" s="21" t="str"/>
      <x:c r="AB32" s="21" t="str"/>
      <x:c r="AC32" s="25"/>
      <x:c r="AD32" s="21" t="str"/>
    </x:row>
    <x:row r="33">
      <x:c r="A33" s="21" t="str">
        <x:v>KB032</x:v>
      </x:c>
      <x:c r="B33" s="21" t="str">
        <x:v>Innisfree</x:v>
      </x:c>
      <x:c r="C33" s="21" t="str"/>
      <x:c r="D33" s="29"/>
      <x:c r="E33" s="21" t="str"/>
      <x:c r="F33" s="21" t="str"/>
      <x:c r="G33" s="21" t="str"/>
      <x:c r="H33" s="21" t="str"/>
      <x:c r="I33" s="21" t="str"/>
      <x:c r="J33" s="21" t="str"/>
      <x:c r="K33" s="21" t="str"/>
      <x:c r="L33" s="21" t="str"/>
      <x:c r="M33" s="21" t="str"/>
      <x:c r="N33" s="21" t="str"/>
      <x:c r="O33" s="21" t="str"/>
      <x:c r="P33" s="21" t="str"/>
      <x:c r="Q33" s="21" t="str"/>
      <x:c r="R33" s="21" t="str"/>
      <x:c r="S33" s="21" t="str"/>
      <x:c r="T33" s="21" t="str"/>
      <x:c r="U33" s="21" t="str"/>
      <x:c r="V33" s="21" t="str"/>
      <x:c r="W33" s="21" t="str"/>
      <x:c r="X33" s="31"/>
      <x:c r="Y33" s="21" t="str"/>
      <x:c r="Z33" s="21" t="str"/>
      <x:c r="AA33" s="21" t="str"/>
      <x:c r="AB33" s="21" t="str"/>
      <x:c r="AC33" s="25"/>
      <x:c r="AD33" s="21" t="str"/>
    </x:row>
    <x:row r="34">
      <x:c r="A34" s="21" t="str">
        <x:v>KB033</x:v>
      </x:c>
      <x:c r="B34" s="21" t="str">
        <x:v>Tocobo</x:v>
      </x:c>
      <x:c r="C34" s="21" t="str"/>
      <x:c r="D34" s="29"/>
      <x:c r="E34" s="21" t="str"/>
      <x:c r="F34" s="21" t="str"/>
      <x:c r="G34" s="21" t="str"/>
      <x:c r="H34" s="21" t="str"/>
      <x:c r="I34" s="21" t="str"/>
      <x:c r="J34" s="21" t="str"/>
      <x:c r="K34" s="21" t="str"/>
      <x:c r="L34" s="21" t="str"/>
      <x:c r="M34" s="21" t="str"/>
      <x:c r="N34" s="21" t="str"/>
      <x:c r="O34" s="21" t="str"/>
      <x:c r="P34" s="21" t="str"/>
      <x:c r="Q34" s="21" t="str"/>
      <x:c r="R34" s="21" t="str"/>
      <x:c r="S34" s="21" t="str"/>
      <x:c r="T34" s="21" t="str"/>
      <x:c r="U34" s="21" t="str"/>
      <x:c r="V34" s="21" t="str"/>
      <x:c r="W34" s="21" t="str"/>
      <x:c r="X34" s="31"/>
      <x:c r="Y34" s="21" t="str"/>
      <x:c r="Z34" s="21" t="str"/>
      <x:c r="AA34" s="21" t="str"/>
      <x:c r="AB34" s="21" t="str"/>
      <x:c r="AC34" s="25"/>
      <x:c r="AD34" s="21" t="str"/>
    </x:row>
    <x:row r="35">
      <x:c r="A35" s="21" t="str">
        <x:v>KB034</x:v>
      </x:c>
      <x:c r="B35" s="21" t="str">
        <x:v>Mary&amp;May</x:v>
      </x:c>
      <x:c r="C35" s="21" t="str"/>
      <x:c r="D35" s="29"/>
      <x:c r="E35" s="21" t="str"/>
      <x:c r="F35" s="21" t="str"/>
      <x:c r="G35" s="21" t="str"/>
      <x:c r="H35" s="21" t="str"/>
      <x:c r="I35" s="21" t="str"/>
      <x:c r="J35" s="21" t="str"/>
      <x:c r="K35" s="21" t="str"/>
      <x:c r="L35" s="21" t="str"/>
      <x:c r="M35" s="21" t="str"/>
      <x:c r="N35" s="21" t="str"/>
      <x:c r="O35" s="21" t="str"/>
      <x:c r="P35" s="21" t="str"/>
      <x:c r="Q35" s="21" t="str"/>
      <x:c r="R35" s="21" t="str"/>
      <x:c r="S35" s="21" t="str"/>
      <x:c r="T35" s="21" t="str"/>
      <x:c r="U35" s="21" t="str"/>
      <x:c r="V35" s="21" t="str"/>
      <x:c r="W35" s="21" t="str"/>
      <x:c r="X35" s="31"/>
      <x:c r="Y35" s="21" t="str"/>
      <x:c r="Z35" s="21" t="str"/>
      <x:c r="AA35" s="21" t="str"/>
      <x:c r="AB35" s="21" t="str"/>
      <x:c r="AC35" s="25"/>
      <x:c r="AD35" s="21" t="str"/>
    </x:row>
    <x:row r="36">
      <x:c r="A36" s="21" t="str">
        <x:v>KB035</x:v>
      </x:c>
      <x:c r="B36" s="21" t="str">
        <x:v>Jumiso</x:v>
      </x:c>
      <x:c r="C36" s="21" t="str"/>
      <x:c r="D36" s="29"/>
      <x:c r="E36" s="21" t="str"/>
      <x:c r="F36" s="21" t="str"/>
      <x:c r="G36" s="21" t="str"/>
      <x:c r="H36" s="21" t="str"/>
      <x:c r="I36" s="21" t="str"/>
      <x:c r="J36" s="21" t="str"/>
      <x:c r="K36" s="21" t="str"/>
      <x:c r="L36" s="21" t="str"/>
      <x:c r="M36" s="21" t="str"/>
      <x:c r="N36" s="21" t="str"/>
      <x:c r="O36" s="21" t="str"/>
      <x:c r="P36" s="21" t="str"/>
      <x:c r="Q36" s="21" t="str"/>
      <x:c r="R36" s="21" t="str"/>
      <x:c r="S36" s="21" t="str"/>
      <x:c r="T36" s="21" t="str"/>
      <x:c r="U36" s="21" t="str"/>
      <x:c r="V36" s="21" t="str"/>
      <x:c r="W36" s="21" t="str"/>
      <x:c r="X36" s="31"/>
      <x:c r="Y36" s="21" t="str"/>
      <x:c r="Z36" s="21" t="str"/>
      <x:c r="AA36" s="21" t="str"/>
      <x:c r="AB36" s="21" t="str"/>
      <x:c r="AC36" s="25"/>
      <x:c r="AD36" s="21" t="str"/>
    </x:row>
    <x:row r="37">
      <x:c r="A37" s="21" t="str">
        <x:v>KB036</x:v>
      </x:c>
      <x:c r="B37" s="21" t="str">
        <x:v>Kaja</x:v>
      </x:c>
      <x:c r="C37" s="21" t="str"/>
      <x:c r="D37" s="29"/>
      <x:c r="E37" s="21" t="str"/>
      <x:c r="F37" s="21" t="str"/>
      <x:c r="G37" s="21" t="str"/>
      <x:c r="H37" s="21" t="str"/>
      <x:c r="I37" s="21" t="str"/>
      <x:c r="J37" s="21" t="str"/>
      <x:c r="K37" s="21" t="str"/>
      <x:c r="L37" s="21" t="str"/>
      <x:c r="M37" s="21" t="str"/>
      <x:c r="N37" s="21" t="str"/>
      <x:c r="O37" s="21" t="str"/>
      <x:c r="P37" s="21" t="str"/>
      <x:c r="Q37" s="21" t="str"/>
      <x:c r="R37" s="21" t="str"/>
      <x:c r="S37" s="21" t="str"/>
      <x:c r="T37" s="21" t="str"/>
      <x:c r="U37" s="21" t="str"/>
      <x:c r="V37" s="21" t="str"/>
      <x:c r="W37" s="21" t="str"/>
      <x:c r="X37" s="31"/>
      <x:c r="Y37" s="21" t="str"/>
      <x:c r="Z37" s="21" t="str"/>
      <x:c r="AA37" s="21" t="str"/>
      <x:c r="AB37" s="21" t="str"/>
      <x:c r="AC37" s="25"/>
      <x:c r="AD37" s="21" t="str"/>
    </x:row>
    <x:row r="38">
      <x:c r="A38" s="21" t="str">
        <x:v>KB037</x:v>
      </x:c>
      <x:c r="B38" s="21" t="str">
        <x:v>Rovectin</x:v>
      </x:c>
      <x:c r="C38" s="21" t="str"/>
      <x:c r="D38" s="29"/>
      <x:c r="E38" s="21" t="str"/>
      <x:c r="F38" s="21" t="str"/>
      <x:c r="G38" s="21" t="str"/>
      <x:c r="H38" s="21" t="str"/>
      <x:c r="I38" s="21" t="str"/>
      <x:c r="J38" s="21" t="str"/>
      <x:c r="K38" s="21" t="str"/>
      <x:c r="L38" s="21" t="str"/>
      <x:c r="M38" s="21" t="str"/>
      <x:c r="N38" s="21" t="str"/>
      <x:c r="O38" s="21" t="str"/>
      <x:c r="P38" s="21" t="str"/>
      <x:c r="Q38" s="21" t="str"/>
      <x:c r="R38" s="21" t="str"/>
      <x:c r="S38" s="21" t="str"/>
      <x:c r="T38" s="21" t="str"/>
      <x:c r="U38" s="21" t="str"/>
      <x:c r="V38" s="21" t="str"/>
      <x:c r="W38" s="21" t="str"/>
      <x:c r="X38" s="31"/>
      <x:c r="Y38" s="21" t="str"/>
      <x:c r="Z38" s="21" t="str"/>
      <x:c r="AA38" s="21" t="str"/>
      <x:c r="AB38" s="21" t="str"/>
      <x:c r="AC38" s="25"/>
      <x:c r="AD38" s="21" t="str"/>
    </x:row>
    <x:row r="39">
      <x:c r="A39" s="21" t="str">
        <x:v>KB038</x:v>
      </x:c>
      <x:c r="B39" s="21" t="str">
        <x:v>Lilybyred</x:v>
      </x:c>
      <x:c r="C39" s="21" t="str"/>
      <x:c r="D39" s="29"/>
      <x:c r="E39" s="21" t="str"/>
      <x:c r="F39" s="21" t="str"/>
      <x:c r="G39" s="21" t="str"/>
      <x:c r="H39" s="21" t="str"/>
      <x:c r="I39" s="21" t="str"/>
      <x:c r="J39" s="21" t="str"/>
      <x:c r="K39" s="21" t="str"/>
      <x:c r="L39" s="21" t="str"/>
      <x:c r="M39" s="21" t="str"/>
      <x:c r="N39" s="21" t="str"/>
      <x:c r="O39" s="21" t="str"/>
      <x:c r="P39" s="21" t="str"/>
      <x:c r="Q39" s="21" t="str"/>
      <x:c r="R39" s="21" t="str"/>
      <x:c r="S39" s="21" t="str"/>
      <x:c r="T39" s="21" t="str"/>
      <x:c r="U39" s="21" t="str"/>
      <x:c r="V39" s="21" t="str"/>
      <x:c r="W39" s="21" t="str"/>
      <x:c r="X39" s="31"/>
      <x:c r="Y39" s="21" t="str"/>
      <x:c r="Z39" s="21" t="str"/>
      <x:c r="AA39" s="21" t="str"/>
      <x:c r="AB39" s="21" t="str"/>
      <x:c r="AC39" s="25"/>
      <x:c r="AD39" s="21" t="str"/>
    </x:row>
    <x:row r="40">
      <x:c r="A40" s="21" t="str">
        <x:v>KB039</x:v>
      </x:c>
      <x:c r="B40" s="21" t="str">
        <x:v>MISSHA</x:v>
      </x:c>
      <x:c r="C40" s="21" t="str"/>
      <x:c r="D40" s="29"/>
      <x:c r="E40" s="21" t="str"/>
      <x:c r="F40" s="21" t="str"/>
      <x:c r="G40" s="21" t="str"/>
      <x:c r="H40" s="21" t="str"/>
      <x:c r="I40" s="21" t="str"/>
      <x:c r="J40" s="21" t="str"/>
      <x:c r="K40" s="21" t="str"/>
      <x:c r="L40" s="21" t="str"/>
      <x:c r="M40" s="21" t="str"/>
      <x:c r="N40" s="21" t="str"/>
      <x:c r="O40" s="21" t="str"/>
      <x:c r="P40" s="21" t="str"/>
      <x:c r="Q40" s="21" t="str"/>
      <x:c r="R40" s="21" t="str"/>
      <x:c r="S40" s="21" t="str"/>
      <x:c r="T40" s="21" t="str"/>
      <x:c r="U40" s="21" t="str"/>
      <x:c r="V40" s="21" t="str"/>
      <x:c r="W40" s="21" t="str"/>
      <x:c r="X40" s="31"/>
      <x:c r="Y40" s="21" t="str"/>
      <x:c r="Z40" s="21" t="str"/>
      <x:c r="AA40" s="21" t="str"/>
      <x:c r="AB40" s="21" t="str"/>
      <x:c r="AC40" s="25"/>
      <x:c r="AD40" s="21" t="str"/>
    </x:row>
    <x:row r="41">
      <x:c r="A41" s="21" t="str">
        <x:v>KB040</x:v>
      </x:c>
      <x:c r="B41" s="21" t="str">
        <x:v>The Face Shop</x:v>
      </x:c>
      <x:c r="C41" s="21" t="str"/>
      <x:c r="D41" s="29"/>
      <x:c r="E41" s="21" t="str"/>
      <x:c r="F41" s="21" t="str"/>
      <x:c r="G41" s="21" t="str"/>
      <x:c r="H41" s="21" t="str"/>
      <x:c r="I41" s="21" t="str"/>
      <x:c r="J41" s="21" t="str"/>
      <x:c r="K41" s="21" t="str"/>
      <x:c r="L41" s="21" t="str"/>
      <x:c r="M41" s="21" t="str"/>
      <x:c r="N41" s="21" t="str"/>
      <x:c r="O41" s="21" t="str"/>
      <x:c r="P41" s="21" t="str"/>
      <x:c r="Q41" s="21" t="str"/>
      <x:c r="R41" s="21" t="str"/>
      <x:c r="S41" s="21" t="str"/>
      <x:c r="T41" s="21" t="str"/>
      <x:c r="U41" s="21" t="str"/>
      <x:c r="V41" s="21" t="str"/>
      <x:c r="W41" s="21" t="str"/>
      <x:c r="X41" s="31"/>
      <x:c r="Y41" s="21" t="str"/>
      <x:c r="Z41" s="21" t="str"/>
      <x:c r="AA41" s="21" t="str"/>
      <x:c r="AB41" s="21" t="str"/>
      <x:c r="AC41" s="25"/>
      <x:c r="AD41" s="21" t="str"/>
    </x:row>
    <x:row r="42">
      <x:c r="A42" s="21" t="str">
        <x:v>KB041</x:v>
      </x:c>
      <x:c r="B42" s="21" t="str">
        <x:v>fwee</x:v>
      </x:c>
      <x:c r="C42" s="21" t="str"/>
      <x:c r="D42" s="29"/>
      <x:c r="E42" s="21" t="str"/>
      <x:c r="F42" s="21" t="str"/>
      <x:c r="G42" s="21" t="str"/>
      <x:c r="H42" s="21" t="str"/>
      <x:c r="I42" s="21" t="str"/>
      <x:c r="J42" s="21" t="str"/>
      <x:c r="K42" s="21" t="str"/>
      <x:c r="L42" s="21" t="str"/>
      <x:c r="M42" s="21" t="str"/>
      <x:c r="N42" s="21" t="str"/>
      <x:c r="O42" s="21" t="str"/>
      <x:c r="P42" s="21" t="str"/>
      <x:c r="Q42" s="21" t="str"/>
      <x:c r="R42" s="21" t="str"/>
      <x:c r="S42" s="21" t="str"/>
      <x:c r="T42" s="21" t="str"/>
      <x:c r="U42" s="21" t="str"/>
      <x:c r="V42" s="21" t="str"/>
      <x:c r="W42" s="21" t="str"/>
      <x:c r="X42" s="31"/>
      <x:c r="Y42" s="21" t="str"/>
      <x:c r="Z42" s="21" t="str"/>
      <x:c r="AA42" s="21" t="str"/>
      <x:c r="AB42" s="21" t="str"/>
      <x:c r="AC42" s="25"/>
      <x:c r="AD42" s="21" t="str"/>
    </x:row>
    <x:row r="43">
      <x:c r="A43" s="21" t="str">
        <x:v>KB042</x:v>
      </x:c>
      <x:c r="B43" s="21" t="str">
        <x:v>Jung Saem mool</x:v>
      </x:c>
      <x:c r="C43" s="21" t="str"/>
      <x:c r="D43" s="29"/>
      <x:c r="E43" s="21" t="str"/>
      <x:c r="F43" s="21" t="str"/>
      <x:c r="G43" s="21" t="str"/>
      <x:c r="H43" s="21" t="str"/>
      <x:c r="I43" s="21" t="str"/>
      <x:c r="J43" s="21" t="str"/>
      <x:c r="K43" s="21" t="str"/>
      <x:c r="L43" s="21" t="str"/>
      <x:c r="M43" s="21" t="str"/>
      <x:c r="N43" s="21" t="str"/>
      <x:c r="O43" s="21" t="str"/>
      <x:c r="P43" s="21" t="str"/>
      <x:c r="Q43" s="21" t="str"/>
      <x:c r="R43" s="21" t="str"/>
      <x:c r="S43" s="21" t="str"/>
      <x:c r="T43" s="21" t="str"/>
      <x:c r="U43" s="21" t="str"/>
      <x:c r="V43" s="21" t="str"/>
      <x:c r="W43" s="21" t="str"/>
      <x:c r="X43" s="31"/>
      <x:c r="Y43" s="21" t="str"/>
      <x:c r="Z43" s="21" t="str"/>
      <x:c r="AA43" s="21" t="str"/>
      <x:c r="AB43" s="21" t="str"/>
      <x:c r="AC43" s="25"/>
      <x:c r="AD43" s="21" t="str"/>
    </x:row>
    <x:row r="44">
      <x:c r="A44" s="21" t="str">
        <x:v>KB043</x:v>
      </x:c>
      <x:c r="B44" s="21" t="str">
        <x:v>Medicube</x:v>
      </x:c>
      <x:c r="C44" s="21" t="str"/>
      <x:c r="D44" s="29"/>
      <x:c r="E44" s="21" t="str"/>
      <x:c r="F44" s="21" t="str"/>
      <x:c r="G44" s="21" t="str"/>
      <x:c r="H44" s="21" t="str"/>
      <x:c r="I44" s="21" t="str"/>
      <x:c r="J44" s="21" t="str"/>
      <x:c r="K44" s="21" t="str"/>
      <x:c r="L44" s="21" t="str"/>
      <x:c r="M44" s="21" t="str"/>
      <x:c r="N44" s="21" t="str"/>
      <x:c r="O44" s="21" t="str"/>
      <x:c r="P44" s="21" t="str"/>
      <x:c r="Q44" s="21" t="str"/>
      <x:c r="R44" s="21" t="str"/>
      <x:c r="S44" s="21" t="str"/>
      <x:c r="T44" s="21" t="str"/>
      <x:c r="U44" s="21" t="str"/>
      <x:c r="V44" s="21" t="str"/>
      <x:c r="W44" s="21" t="str"/>
      <x:c r="X44" s="31"/>
      <x:c r="Y44" s="21" t="str"/>
      <x:c r="Z44" s="21" t="str"/>
      <x:c r="AA44" s="21" t="str"/>
      <x:c r="AB44" s="21" t="str"/>
      <x:c r="AC44" s="25"/>
      <x:c r="AD44" s="21" t="str"/>
    </x:row>
    <x:row r="45">
      <x:c r="A45" s="21" t="str">
        <x:v>KB044</x:v>
      </x:c>
      <x:c r="B45" s="21" t="str">
        <x:v>Biodance</x:v>
      </x:c>
      <x:c r="C45" s="21" t="str"/>
      <x:c r="D45" s="29"/>
      <x:c r="E45" s="21" t="str"/>
      <x:c r="F45" s="21" t="str"/>
      <x:c r="G45" s="21" t="str"/>
      <x:c r="H45" s="21" t="str"/>
      <x:c r="I45" s="21" t="str"/>
      <x:c r="J45" s="21" t="str"/>
      <x:c r="K45" s="21" t="str"/>
      <x:c r="L45" s="21" t="str"/>
      <x:c r="M45" s="21" t="str"/>
      <x:c r="N45" s="21" t="str"/>
      <x:c r="O45" s="21" t="str"/>
      <x:c r="P45" s="21" t="str"/>
      <x:c r="Q45" s="21" t="str"/>
      <x:c r="R45" s="21" t="str"/>
      <x:c r="S45" s="21" t="str"/>
      <x:c r="T45" s="21" t="str"/>
      <x:c r="U45" s="21" t="str"/>
      <x:c r="V45" s="21" t="str"/>
      <x:c r="W45" s="21" t="str"/>
      <x:c r="X45" s="31"/>
      <x:c r="Y45" s="21" t="str"/>
      <x:c r="Z45" s="21" t="str"/>
      <x:c r="AA45" s="21" t="str"/>
      <x:c r="AB45" s="21" t="str"/>
      <x:c r="AC45" s="25"/>
      <x:c r="AD45" s="21" t="str"/>
    </x:row>
    <x:row r="46">
      <x:c r="A46" s="21" t="str">
        <x:v>KB045</x:v>
      </x:c>
      <x:c r="B46" s="21" t="str">
        <x:v>FULLY</x:v>
      </x:c>
      <x:c r="C46" s="21" t="str"/>
      <x:c r="D46" s="29"/>
      <x:c r="E46" s="21" t="str"/>
      <x:c r="F46" s="21" t="str"/>
      <x:c r="G46" s="21" t="str"/>
      <x:c r="H46" s="21" t="str"/>
      <x:c r="I46" s="21" t="str"/>
      <x:c r="J46" s="21" t="str"/>
      <x:c r="K46" s="21" t="str"/>
      <x:c r="L46" s="21" t="str"/>
      <x:c r="M46" s="21" t="str"/>
      <x:c r="N46" s="21" t="str"/>
      <x:c r="O46" s="21" t="str"/>
      <x:c r="P46" s="21" t="str"/>
      <x:c r="Q46" s="21" t="str"/>
      <x:c r="R46" s="21" t="str"/>
      <x:c r="S46" s="21" t="str"/>
      <x:c r="T46" s="21" t="str"/>
      <x:c r="U46" s="21" t="str"/>
      <x:c r="V46" s="21" t="str"/>
      <x:c r="W46" s="21" t="str"/>
      <x:c r="X46" s="31"/>
      <x:c r="Y46" s="21" t="str"/>
      <x:c r="Z46" s="21" t="str"/>
      <x:c r="AA46" s="21" t="str"/>
      <x:c r="AB46" s="21" t="str"/>
      <x:c r="AC46" s="25"/>
      <x:c r="AD46" s="21" t="str"/>
    </x:row>
    <x:row r="47">
      <x:c r="A47" s="21" t="str">
        <x:v>KB046</x:v>
      </x:c>
      <x:c r="B47" s="21" t="str">
        <x:v>Laka</x:v>
      </x:c>
      <x:c r="C47" s="21" t="str"/>
      <x:c r="D47" s="29"/>
      <x:c r="E47" s="21" t="str"/>
      <x:c r="F47" s="21" t="str"/>
      <x:c r="G47" s="21" t="str"/>
      <x:c r="H47" s="21" t="str"/>
      <x:c r="I47" s="21" t="str"/>
      <x:c r="J47" s="21" t="str"/>
      <x:c r="K47" s="21" t="str"/>
      <x:c r="L47" s="21" t="str"/>
      <x:c r="M47" s="21" t="str"/>
      <x:c r="N47" s="21" t="str"/>
      <x:c r="O47" s="21" t="str"/>
      <x:c r="P47" s="21" t="str"/>
      <x:c r="Q47" s="21" t="str"/>
      <x:c r="R47" s="21" t="str"/>
      <x:c r="S47" s="21" t="str"/>
      <x:c r="T47" s="21" t="str"/>
      <x:c r="U47" s="21" t="str"/>
      <x:c r="V47" s="21" t="str"/>
      <x:c r="W47" s="21" t="str"/>
      <x:c r="X47" s="31"/>
      <x:c r="Y47" s="21" t="str"/>
      <x:c r="Z47" s="21" t="str"/>
      <x:c r="AA47" s="21" t="str"/>
      <x:c r="AB47" s="21" t="str"/>
      <x:c r="AC47" s="25"/>
      <x:c r="AD47" s="21" t="str"/>
    </x:row>
    <x:row r="48">
      <x:c r="A48" s="21" t="str">
        <x:v>KB047</x:v>
      </x:c>
      <x:c r="B48" s="21" t="str">
        <x:v>Arencia</x:v>
      </x:c>
      <x:c r="C48" s="21" t="str"/>
      <x:c r="D48" s="29"/>
      <x:c r="E48" s="21" t="str"/>
      <x:c r="F48" s="21" t="str"/>
      <x:c r="G48" s="21" t="str"/>
      <x:c r="H48" s="21" t="str"/>
      <x:c r="I48" s="21" t="str"/>
      <x:c r="J48" s="21" t="str"/>
      <x:c r="K48" s="21" t="str"/>
      <x:c r="L48" s="21" t="str"/>
      <x:c r="M48" s="21" t="str"/>
      <x:c r="N48" s="21" t="str"/>
      <x:c r="O48" s="21" t="str"/>
      <x:c r="P48" s="21" t="str"/>
      <x:c r="Q48" s="21" t="str"/>
      <x:c r="R48" s="21" t="str"/>
      <x:c r="S48" s="21" t="str"/>
      <x:c r="T48" s="21" t="str"/>
      <x:c r="U48" s="21" t="str"/>
      <x:c r="V48" s="21" t="str"/>
      <x:c r="W48" s="21" t="str"/>
      <x:c r="X48" s="31"/>
      <x:c r="Y48" s="21" t="str"/>
      <x:c r="Z48" s="21" t="str"/>
      <x:c r="AA48" s="21" t="str"/>
      <x:c r="AB48" s="21" t="str"/>
      <x:c r="AC48" s="25"/>
      <x:c r="AD48" s="21" t="str"/>
    </x:row>
    <x:row r="49">
      <x:c r="A49" s="21" t="str">
        <x:v>KB048</x:v>
      </x:c>
      <x:c r="B49" s="21" t="str">
        <x:v>Asteura</x:v>
      </x:c>
      <x:c r="C49" s="21" t="str"/>
      <x:c r="D49" s="29"/>
      <x:c r="E49" s="21" t="str"/>
      <x:c r="F49" s="21" t="str"/>
      <x:c r="G49" s="21" t="str"/>
      <x:c r="H49" s="21" t="str"/>
      <x:c r="I49" s="21" t="str"/>
      <x:c r="J49" s="21" t="str"/>
      <x:c r="K49" s="21" t="str"/>
      <x:c r="L49" s="21" t="str"/>
      <x:c r="M49" s="21" t="str"/>
      <x:c r="N49" s="21" t="str"/>
      <x:c r="O49" s="21" t="str"/>
      <x:c r="P49" s="21" t="str"/>
      <x:c r="Q49" s="21" t="str"/>
      <x:c r="R49" s="21" t="str"/>
      <x:c r="S49" s="21" t="str"/>
      <x:c r="T49" s="21" t="str"/>
      <x:c r="U49" s="21" t="str"/>
      <x:c r="V49" s="21" t="str"/>
      <x:c r="W49" s="21" t="str"/>
      <x:c r="X49" s="31"/>
      <x:c r="Y49" s="21" t="str"/>
      <x:c r="Z49" s="21" t="str"/>
      <x:c r="AA49" s="21" t="str"/>
      <x:c r="AB49" s="21" t="str"/>
      <x:c r="AC49" s="25"/>
      <x:c r="AD49" s="21" t="str"/>
    </x:row>
  </x:sheetData>
  <x:dataValidations count="3">
    <x:dataValidation type="list" sqref="G2:G49">
      <x:formula1>"Large Brand,Growing Mid-size,Early Awareness,Online Sales Present,Early / No U.S. Entry,Unable to Verify"</x:formula1>
    </x:dataValidation>
    <x:dataValidation type="list" sqref="J2:J49">
      <x:formula1>"Ultra Value,Value,Mid-Market,Premium,Luxury,Mixed,Unable to Verify"</x:formula1>
    </x:dataValidation>
    <x:dataValidation type="list" sqref="O2:O49">
      <x:formula1>"High,Medium,Low"</x:formula1>
    </x:dataValidation>
  </x:dataValidations>
  <x:pageMargins left="0.7" right="0.7" top="0.75" bottom="0.75" header="0.3" footer="0.3"/>
  <x:tableParts count="1">
    <x:tablePart xmlns:r="http://schemas.openxmlformats.org/officeDocument/2006/relationships" r:id="R867b43743dcf410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5" hidden="0" customWidth="1"/>
    <x:col min="17" max="17" width="44" hidden="0" customWidth="1"/>
    <x:col min="18" max="18" width="16" hidden="0" customWidth="1"/>
    <x:col min="19" max="19" width="16" hidden="0" customWidth="1"/>
  </x:cols>
  <x:sheetData>
    <x:row r="1">
      <x:c r="A1" s="14" t="str">
        <x:v>Brand_ID</x:v>
      </x:c>
      <x:c r="B1" s="14" t="str">
        <x:v>Brand Name</x:v>
      </x:c>
      <x:c r="C1" s="14" t="str">
        <x:v>Product &amp; Price Competitiveness</x:v>
      </x:c>
      <x:c r="D1" s="14" t="str">
        <x:v>U.S. Demand &amp; Trend Fit</x:v>
      </x:c>
      <x:c r="E1" s="14" t="str">
        <x:v>Current Sales Momentum</x:v>
      </x:c>
      <x:c r="F1" s="14" t="str">
        <x:v>Reviews &amp; Satisfaction</x:v>
      </x:c>
      <x:c r="G1" s="14" t="str">
        <x:v>Viral Potential</x:v>
      </x:c>
      <x:c r="H1" s="14" t="str">
        <x:v>Distribution &amp; Margin Fit</x:v>
      </x:c>
      <x:c r="I1" s="14" t="str">
        <x:v>Competitive Entry Opportunity</x:v>
      </x:c>
      <x:c r="J1" s="14" t="str">
        <x:v>Regulatory &amp; Operating Readiness</x:v>
      </x:c>
      <x:c r="K1" s="14" t="str">
        <x:v>Overall Score (100)</x:v>
      </x:c>
      <x:c r="L1" s="14" t="str">
        <x:v>Recommendation Grade</x:v>
      </x:c>
      <x:c r="M1" s="14" t="str">
        <x:v>Current U.S. Market Position</x:v>
      </x:c>
      <x:c r="N1" s="14" t="str">
        <x:v>Future Growth Potential</x:v>
      </x:c>
      <x:c r="O1" s="14" t="str">
        <x:v>New Distributor Fit</x:v>
      </x:c>
      <x:c r="P1" s="14" t="str">
        <x:v>Data Confidence</x:v>
      </x:c>
      <x:c r="Q1" s="14" t="str">
        <x:v>Scoring Rationale</x:v>
      </x:c>
      <x:c r="R1" s="14" t="str">
        <x:v>Evaluation Date</x:v>
      </x:c>
      <x:c r="S1" s="14" t="str">
        <x:v>Evaluator</x:v>
      </x:c>
    </x:row>
    <x:row r="2" ht="84" customHeight="1">
      <x:c r="A2" s="20" t="str">
        <x:v>KB001</x:v>
      </x:c>
      <x:c r="B2" s="20" t="str">
        <x:v>COSRX</x:v>
      </x:c>
      <x:c r="C2" s="26" t="n">
        <x:v>8.5</x:v>
      </x:c>
      <x:c r="D2" s="26" t="n">
        <x:v>9.5</x:v>
      </x:c>
      <x:c r="E2" s="26" t="n">
        <x:v>9.5</x:v>
      </x:c>
      <x:c r="F2" s="26" t="n">
        <x:v>8</x:v>
      </x:c>
      <x:c r="G2" s="26" t="n">
        <x:v>9.5</x:v>
      </x:c>
      <x:c r="H2" s="26" t="n">
        <x:v>3</x:v>
      </x:c>
      <x:c r="I2" s="26" t="n">
        <x:v>2.5</x:v>
      </x:c>
      <x:c r="J2" s="26" t="n">
        <x:v>6</x:v>
      </x:c>
      <x:c r="K2" s="26" t="n">
        <x:f>IF(COUNT(C2:J2)&lt;8,"",C2*2.5+D2*2+E2*1.5+F2+G2+H2+I2*0.5+J2*0.5)</x:f>
        <x:v>79.25</x:v>
      </x:c>
      <x:c r="L2" s="26" t="str">
        <x:f>IF(K2="","",IF(K2&gt;=80,"A",IF(K2&gt;=65,"B",IF(K2&gt;=50,"C","D"))))</x:f>
        <x:v>B</x:v>
      </x:c>
      <x:c r="M2" s="26" t="n">
        <x:v>9</x:v>
      </x:c>
      <x:c r="N2" s="26" t="n">
        <x:v>8</x:v>
      </x:c>
      <x:c r="O2" s="26" t="n">
        <x:v>4</x:v>
      </x:c>
      <x:c r="P2" s="20" t="str">
        <x:v>High</x:v>
      </x:c>
      <x:c r="Q2" s="20" t="str">
        <x:v>Product-market demand, current Amazon momentum, social proof and viral reach are exceptional. The score is capped by low whitespace for a new distributor, established direct/retail coverage, promotion-driven price compression and open regulatory/contract diligence. Weighted result: 79.25/100 (Grade B).</x:v>
      </x:c>
      <x:c r="R2" s="24" t="str">
        <x:v>2026-07-29</x:v>
      </x:c>
      <x:c r="S2" s="20" t="str">
        <x:v>Codex</x:v>
      </x:c>
    </x:row>
    <x:row r="3" ht="90" customHeight="1">
      <x:c r="A3" s="21" t="str">
        <x:v>KB002</x:v>
      </x:c>
      <x:c r="B3" s="21" t="str">
        <x:v>Beauty of Joseon</x:v>
      </x:c>
      <x:c r="C3" s="27" t="n">
        <x:v>9</x:v>
      </x:c>
      <x:c r="D3" s="27" t="n">
        <x:v>9.5</x:v>
      </x:c>
      <x:c r="E3" s="27" t="n">
        <x:v>9</x:v>
      </x:c>
      <x:c r="F3" s="27" t="n">
        <x:v>8</x:v>
      </x:c>
      <x:c r="G3" s="27" t="n">
        <x:v>9.5</x:v>
      </x:c>
      <x:c r="H3" s="27" t="n">
        <x:v>3</x:v>
      </x:c>
      <x:c r="I3" s="27" t="n">
        <x:v>2.5</x:v>
      </x:c>
      <x:c r="J3" s="27" t="n">
        <x:v>5</x:v>
      </x:c>
      <x:c r="K3" s="27" t="n">
        <x:f>IF(COUNT(C3:J3)&lt;8,"",C3*2.5+D3*2+E3*1.5+F3+G3+H3+I3*0.5+J3*0.5)</x:f>
        <x:v>79.25</x:v>
      </x:c>
      <x:c r="L3" s="27" t="str">
        <x:f>IF(K3="","",IF(K3&gt;=80,"A",IF(K3&gt;=65,"B",IF(K3&gt;=50,"C","D"))))</x:f>
        <x:v>B</x:v>
      </x:c>
      <x:c r="M3" s="27" t="n">
        <x:v>9</x:v>
      </x:c>
      <x:c r="N3" s="27" t="n">
        <x:v>8.5</x:v>
      </x:c>
      <x:c r="O3" s="27" t="n">
        <x:v>4</x:v>
      </x:c>
      <x:c r="P3" s="21" t="str">
        <x:v>High</x:v>
      </x:c>
      <x:c r="Q3" s="21" t="str">
        <x:v>Demand, multi-SKU Amazon velocity, Sephora validation and viral reach are exceptional. The score is capped by limited distributor whitespace, Goodai's direct U.S. infrastructure, broad existing channels, promotion-driven price compression and the regulatory/channel complexity of separate U.S. sunscreen SKUs. Weighted result: 79.25/100 (Grade B).</x:v>
      </x:c>
      <x:c r="R3" s="25" t="str">
        <x:v>2026-07-29</x:v>
      </x:c>
      <x:c r="S3" s="21" t="str">
        <x:v>Codex</x:v>
      </x:c>
    </x:row>
    <x:row r="4" ht="94" customHeight="1">
      <x:c r="A4" s="21" t="str">
        <x:v>KB003</x:v>
      </x:c>
      <x:c r="B4" s="21" t="str">
        <x:v>Anua</x:v>
      </x:c>
      <x:c r="C4" s="27" t="n">
        <x:v>8.5</x:v>
      </x:c>
      <x:c r="D4" s="27" t="n">
        <x:v>9.5</x:v>
      </x:c>
      <x:c r="E4" s="27" t="n">
        <x:v>9.5</x:v>
      </x:c>
      <x:c r="F4" s="27" t="n">
        <x:v>8</x:v>
      </x:c>
      <x:c r="G4" s="27" t="n">
        <x:v>9.5</x:v>
      </x:c>
      <x:c r="H4" s="27" t="n">
        <x:v>2.5</x:v>
      </x:c>
      <x:c r="I4" s="27" t="n">
        <x:v>2</x:v>
      </x:c>
      <x:c r="J4" s="27" t="n">
        <x:v>5</x:v>
      </x:c>
      <x:c r="K4" s="27" t="n">
        <x:f>IF(COUNT(C4:J4)&lt;8,"",C4*2.5+D4*2+E4*1.5+F4+G4+H4+I4*0.5+J4*0.5)</x:f>
        <x:v>78</x:v>
      </x:c>
      <x:c r="L4" s="27" t="str">
        <x:f>IF(K4="","",IF(K4&gt;=80,"A",IF(K4&gt;=65,"B",IF(K4&gt;=50,"C","D"))))</x:f>
        <x:v>B</x:v>
      </x:c>
      <x:c r="M4" s="27" t="n">
        <x:v>9.5</x:v>
      </x:c>
      <x:c r="N4" s="27" t="n">
        <x:v>9</x:v>
      </x:c>
      <x:c r="O4" s="27" t="n">
        <x:v>3.5</x:v>
      </x:c>
      <x:c r="P4" s="21" t="str">
        <x:v>High</x:v>
      </x:c>
      <x:c r="Q4" s="21" t="str">
        <x:v>Amazon, TikTok Shop, Ulta and current multi-SKU momentum make Anua one of the strongest consumer brands in the sequence. The score is capped by Anua Inc.'s direct U.S. infrastructure, approximately 1,500 Ulta stores, broad marketplace coverage, aggressive price compression, sponsorship/authenticity risk and unresolved channel/regulatory files. Weighted result: 78.0/100 (Grade B).</x:v>
      </x:c>
      <x:c r="R4" s="25" t="str">
        <x:v>2026-07-29</x:v>
      </x:c>
      <x:c r="S4" s="21" t="str">
        <x:v>Codex</x:v>
      </x:c>
    </x:row>
    <x:row r="5" ht="108" customHeight="1">
      <x:c r="A5" s="21" t="str">
        <x:v>KB004</x:v>
      </x:c>
      <x:c r="B5" s="21" t="str">
        <x:v>SKIN1004</x:v>
      </x:c>
      <x:c r="C5" s="27" t="n">
        <x:v>9</x:v>
      </x:c>
      <x:c r="D5" s="27" t="n">
        <x:v>9.5</x:v>
      </x:c>
      <x:c r="E5" s="27" t="n">
        <x:v>9.5</x:v>
      </x:c>
      <x:c r="F5" s="27" t="n">
        <x:v>8.5</x:v>
      </x:c>
      <x:c r="G5" s="27" t="n">
        <x:v>9.5</x:v>
      </x:c>
      <x:c r="H5" s="27" t="n">
        <x:v>3</x:v>
      </x:c>
      <x:c r="I5" s="27" t="n">
        <x:v>2</x:v>
      </x:c>
      <x:c r="J5" s="27" t="n">
        <x:v>6.5</x:v>
      </x:c>
      <x:c r="K5" s="27" t="n">
        <x:f>IF(COUNT(C5:J5)&lt;8,"",C5*2.5+D5*2+E5*1.5+F5+G5+H5+I5*0.5+J5*0.5)</x:f>
        <x:v>81</x:v>
      </x:c>
      <x:c r="L5" s="27" t="str">
        <x:f>IF(K5="","",IF(K5&gt;=80,"A",IF(K5&gt;=65,"B",IF(K5&gt;=50,"C","D"))))</x:f>
        <x:v>A</x:v>
      </x:c>
      <x:c r="M5" s="27" t="n">
        <x:v>9.5</x:v>
      </x:c>
      <x:c r="N5" s="27" t="n">
        <x:v>9.5</x:v>
      </x:c>
      <x:c r="O5" s="27" t="n">
        <x:v>2.5</x:v>
      </x:c>
      <x:c r="P5" s="21" t="str">
        <x:v>Low / Conditional</x:v>
      </x:c>
      <x:c r="Q5" s="21" t="str">
        <x:v>SKIN1004 combines affordable $18–$26 U.S. hero MSRPs, 1.0M TikTok Shop followers and 1.0M sold, 797K Instagram followers, five Amazon hero badges totaling a conservative $1.06M monthly lower bound, and an authorized national Ulta footprint. The same scale reduces distributor whitespace; weighted result: 81.0/100 (Grade A), but only low/conditional sourcing priority without protected accounts and clear regulatory ownership.</x:v>
      </x:c>
      <x:c r="R5" s="25" t="str">
        <x:v>2026-07-30</x:v>
      </x:c>
      <x:c r="S5" s="21" t="str">
        <x:v>Codex</x:v>
      </x:c>
    </x:row>
    <x:row r="6" ht="98" customHeight="1">
      <x:c r="A6" s="21" t="str">
        <x:v>KB005</x:v>
      </x:c>
      <x:c r="B6" s="21" t="str">
        <x:v>Laneige</x:v>
      </x:c>
      <x:c r="C6" s="27" t="n">
        <x:v>7</x:v>
      </x:c>
      <x:c r="D6" s="27" t="n">
        <x:v>9.5</x:v>
      </x:c>
      <x:c r="E6" s="27" t="n">
        <x:v>9.5</x:v>
      </x:c>
      <x:c r="F6" s="27" t="n">
        <x:v>8.5</x:v>
      </x:c>
      <x:c r="G6" s="27" t="n">
        <x:v>9.5</x:v>
      </x:c>
      <x:c r="H6" s="27" t="n">
        <x:v>1.5</x:v>
      </x:c>
      <x:c r="I6" s="27" t="n">
        <x:v>1.5</x:v>
      </x:c>
      <x:c r="J6" s="27" t="n">
        <x:v>7</x:v>
      </x:c>
      <x:c r="K6" s="27" t="n">
        <x:f>IF(COUNT(C6:J6)&lt;8,"",C6*2.5+D6*2+E6*1.5+F6+G6+H6+I6*0.5+J6*0.5)</x:f>
        <x:v>74.5</x:v>
      </x:c>
      <x:c r="L6" s="27" t="str">
        <x:f>IF(K6="","",IF(K6&gt;=80,"A",IF(K6&gt;=65,"B",IF(K6&gt;=50,"C","D"))))</x:f>
        <x:v>B</x:v>
      </x:c>
      <x:c r="M6" s="27" t="n">
        <x:v>9.8</x:v>
      </x:c>
      <x:c r="N6" s="27" t="n">
        <x:v>9</x:v>
      </x:c>
      <x:c r="O6" s="27" t="n">
        <x:v>1.5</x:v>
      </x:c>
      <x:c r="P6" s="21" t="str">
        <x:v>Low / Conditional</x:v>
      </x:c>
      <x:c r="Q6" s="21" t="str">
        <x:v>Laneige combines exceptional consumer demand, 1.2M TikTok Shop followers, 650.5K sold, 1.6M Instagram followers and diversified Amazon velocity with mature AMOREPACIFIC US direct and key-account coverage. Weighted result: 74.5/100 (Grade B); low priority unless protected, non-conflicting accounts and wholesale economics are offered.</x:v>
      </x:c>
      <x:c r="R6" s="25" t="str">
        <x:v>2026-07-30</x:v>
      </x:c>
      <x:c r="S6" s="21" t="str">
        <x:v>Codex</x:v>
      </x:c>
    </x:row>
    <x:row r="7" ht="118" customHeight="1">
      <x:c r="A7" s="21" t="str">
        <x:v>KB006</x:v>
      </x:c>
      <x:c r="B7" s="21" t="str">
        <x:v>TIRTIR</x:v>
      </x:c>
      <x:c r="C7" s="27" t="n">
        <x:v>9</x:v>
      </x:c>
      <x:c r="D7" s="27" t="n">
        <x:v>9.8</x:v>
      </x:c>
      <x:c r="E7" s="27" t="n">
        <x:v>9.8</x:v>
      </x:c>
      <x:c r="F7" s="27" t="n">
        <x:v>8.2</x:v>
      </x:c>
      <x:c r="G7" s="27" t="n">
        <x:v>10</x:v>
      </x:c>
      <x:c r="H7" s="27" t="n">
        <x:v>1.5</x:v>
      </x:c>
      <x:c r="I7" s="27" t="n">
        <x:v>1.5</x:v>
      </x:c>
      <x:c r="J7" s="27" t="n">
        <x:v>6.5</x:v>
      </x:c>
      <x:c r="K7" s="27" t="n">
        <x:f>IF(COUNT(C7:J7)&lt;8,"",C7*2.5+D7*2+E7*1.5+F7+G7+H7+I7*0.5+J7*0.5)</x:f>
        <x:v>80.5</x:v>
      </x:c>
      <x:c r="L7" s="27" t="str">
        <x:f>IF(K7="","",IF(K7&gt;=80,"A",IF(K7&gt;=65,"B",IF(K7&gt;=50,"C","D"))))</x:f>
        <x:v>A</x:v>
      </x:c>
      <x:c r="M7" s="27" t="n">
        <x:v>9.6</x:v>
      </x:c>
      <x:c r="N7" s="27" t="n">
        <x:v>9.8</x:v>
      </x:c>
      <x:c r="O7" s="27" t="n">
        <x:v>1.5</x:v>
      </x:c>
      <x:c r="P7" s="21" t="str">
        <x:v>Low / Conditional</x:v>
      </x:c>
      <x:c r="Q7" s="21" t="str">
        <x:v>TIRTIR combines 40-shade cushion differentiation, 868.9K+ TikTok Shop followers and 990.1K sold, 791,387 Instagram followers, major Allure awards, national Ulta presence and a conservative $513,750 monthly Amazon lower-bound proxy from four non-overlapping sampled signals. GOODAI/TIRTIR's direct U.S. structure and broad coverage leave little general-distributor whitespace; weighted result: 80.5/100 (Grade A), but only low/conditional sourcing priority.</x:v>
      </x:c>
      <x:c r="R7" s="25" t="str">
        <x:v>2026-07-30</x:v>
      </x:c>
      <x:c r="S7" s="21" t="str">
        <x:v>Codex</x:v>
      </x:c>
    </x:row>
    <x:row r="8" ht="126" customHeight="1">
      <x:c r="A8" s="21" t="str">
        <x:v>KB007</x:v>
      </x:c>
      <x:c r="B8" s="21" t="str">
        <x:v>VT Cosmetics</x:v>
      </x:c>
      <x:c r="C8" s="27" t="n">
        <x:v>8.5</x:v>
      </x:c>
      <x:c r="D8" s="27" t="n">
        <x:v>9.5</x:v>
      </x:c>
      <x:c r="E8" s="27" t="n">
        <x:v>9.5</x:v>
      </x:c>
      <x:c r="F8" s="27" t="n">
        <x:v>7.5</x:v>
      </x:c>
      <x:c r="G8" s="27" t="n">
        <x:v>10</x:v>
      </x:c>
      <x:c r="H8" s="27" t="n">
        <x:v>2</x:v>
      </x:c>
      <x:c r="I8" s="27" t="n">
        <x:v>2</x:v>
      </x:c>
      <x:c r="J8" s="27" t="n">
        <x:v>4.5</x:v>
      </x:c>
      <x:c r="K8" s="27" t="n">
        <x:f>IF(COUNT(C8:J8)&lt;8,"",C8*2.5+D8*2+E8*1.5+F8+G8+H8+I8*0.5+J8*0.5)</x:f>
        <x:v>77.25</x:v>
      </x:c>
      <x:c r="L8" s="27" t="str">
        <x:f>IF(K8="","",IF(K8&gt;=80,"A",IF(K8&gt;=65,"B",IF(K8&gt;=50,"C","D"))))</x:f>
        <x:v>B</x:v>
      </x:c>
      <x:c r="M8" s="27" t="n">
        <x:v>9.2</x:v>
      </x:c>
      <x:c r="N8" s="27" t="n">
        <x:v>9.5</x:v>
      </x:c>
      <x:c r="O8" s="27" t="n">
        <x:v>2</x:v>
      </x:c>
      <x:c r="P8" s="21" t="str">
        <x:v>Low / Conditional</x:v>
      </x:c>
      <x:c r="Q8" s="21" t="str">
        <x:v>VT Cosmetics combines a distinctive Reedle sensory ritual, an official TikTok Shop with 164.2K+ followers and 361.9K sold, 36 Ulta products, Target/Nordstrom/Costco access and a conservative $624,400 monthly Amazon lower-bound proxy from three non-overlapping direct signals. Demand is exceptional; distributor fit is only 2.0/10 because official/direct channels are already dense and claims/irritation risk requires expert controls. Weighted result: 77.25/100 (Grade B).</x:v>
      </x:c>
      <x:c r="R8" s="25" t="str">
        <x:v>2026-07-30</x:v>
      </x:c>
      <x:c r="S8" s="21" t="str">
        <x:v>Codex</x:v>
      </x:c>
    </x:row>
    <x:row r="9" ht="126" customHeight="1">
      <x:c r="A9" s="21" t="str">
        <x:v>KB008</x:v>
      </x:c>
      <x:c r="B9" s="21" t="str">
        <x:v>Round Lab</x:v>
      </x:c>
      <x:c r="C9" s="27" t="n">
        <x:v>8.5</x:v>
      </x:c>
      <x:c r="D9" s="27" t="n">
        <x:v>9.2</x:v>
      </x:c>
      <x:c r="E9" s="27" t="n">
        <x:v>9</x:v>
      </x:c>
      <x:c r="F9" s="27" t="n">
        <x:v>8.5</x:v>
      </x:c>
      <x:c r="G9" s="27" t="n">
        <x:v>8.5</x:v>
      </x:c>
      <x:c r="H9" s="27" t="n">
        <x:v>2</x:v>
      </x:c>
      <x:c r="I9" s="27" t="n">
        <x:v>2</x:v>
      </x:c>
      <x:c r="J9" s="27" t="n">
        <x:v>6</x:v>
      </x:c>
      <x:c r="K9" s="27" t="n">
        <x:f>IF(COUNT(C9:J9)&lt;8,"",C9*2.5+D9*2+E9*1.5+F9+G9+H9+I9*0.5+J9*0.5)</x:f>
        <x:v>76.15</x:v>
      </x:c>
      <x:c r="L9" s="27" t="str">
        <x:f>IF(K9="","",IF(K9&gt;=80,"A",IF(K9&gt;=65,"B",IF(K9&gt;=50,"C","D"))))</x:f>
        <x:v>B</x:v>
      </x:c>
      <x:c r="M9" s="27" t="n">
        <x:v>9.2</x:v>
      </x:c>
      <x:c r="N9" s="27" t="n">
        <x:v>9.3</x:v>
      </x:c>
      <x:c r="O9" s="27" t="n">
        <x:v>2</x:v>
      </x:c>
      <x:c r="P9" s="21" t="str">
        <x:v>High for current official, platform, retailer and DailyMed facts; Medium for aggregate scale, exact wholesale/entity roles and available distributor economics.</x:v>
      </x:c>
      <x:c r="Q9" s="21" t="str">
        <x:v>Round Lab combines 20M+ worldwide sunscreen sales claimed by the official site, a 145.1K-sold TikTok Shop, 27 Ulta products, 34 Target results and strong direct Amazon signals. Two non-overlapping Amazon badges imply a conservative $304,030 monthly observed-price floor. Consumer-market attractiveness is high; distributor fit is only 2.0/10 because official/direct channels are dense, price conflict is material and sunscreens require exact U.S. OTC formula and document control. Weighted result: 76.15/100 (Grade B).</x:v>
      </x:c>
      <x:c r="R9" s="25" t="str">
        <x:v>2026-07-30</x:v>
      </x:c>
      <x:c r="S9" s="21" t="str">
        <x:v>Codex</x:v>
      </x:c>
    </x:row>
    <x:row r="10" ht="132" customHeight="1">
      <x:c r="A10" s="21" t="str">
        <x:v>KB009</x:v>
      </x:c>
      <x:c r="B10" s="21" t="str">
        <x:v>Mediheal</x:v>
      </x:c>
      <x:c r="C10" s="27" t="n">
        <x:v>9</x:v>
      </x:c>
      <x:c r="D10" s="27" t="n">
        <x:v>9.3</x:v>
      </x:c>
      <x:c r="E10" s="27" t="n">
        <x:v>9.2</x:v>
      </x:c>
      <x:c r="F10" s="27" t="n">
        <x:v>8.7</x:v>
      </x:c>
      <x:c r="G10" s="27" t="n">
        <x:v>8.8</x:v>
      </x:c>
      <x:c r="H10" s="27" t="n">
        <x:v>2.5</x:v>
      </x:c>
      <x:c r="I10" s="27" t="n">
        <x:v>2.5</x:v>
      </x:c>
      <x:c r="J10" s="27" t="n">
        <x:v>7</x:v>
      </x:c>
      <x:c r="K10" s="27" t="n">
        <x:f>IF(COUNT(C10:J10)&lt;8,"",C10*2.5+D10*2+E10*1.5+F10+G10+H10+I10*0.5+J10*0.5)</x:f>
        <x:v>79.64999999999999</x:v>
      </x:c>
      <x:c r="L10" s="27" t="str">
        <x:f>IF(K10="","",IF(K10&gt;=80,"A",IF(K10&gt;=65,"B",IF(K10&gt;=50,"C","D"))))</x:f>
        <x:v>B</x:v>
      </x:c>
      <x:c r="M10" s="27" t="n">
        <x:v>9.4</x:v>
      </x:c>
      <x:c r="N10" s="27" t="n">
        <x:v>9.2</x:v>
      </x:c>
      <x:c r="O10" s="27" t="n">
        <x:v>2.5</x:v>
      </x:c>
      <x:c r="P10" s="21" t="str">
        <x:v>High for current official, platform, retailer and DailyMed facts; Medium for aggregate U.S. scale, wholesale/entity roles and available distributor economics.</x:v>
      </x:c>
      <x:c r="Q10" s="21" t="str">
        <x:v>Mediheal combines 110K Instagram followers, 32 Ulta products, 24 Target results, a 1,400+ Ulta-store PDRN rollout and strong official Amazon velocity. Six distinct ASINs imply a conservative $163,280 monthly observed-price floor; Target shows additional very large sheet-mask purchase badges. Consumer-market attractiveness is exceptional, while distributor fit is only 2.5/10 because channels are dense and prices conflict. Weighted result: 79.65/100 (Grade B).</x:v>
      </x:c>
      <x:c r="R10" s="25" t="str">
        <x:v>2026-07-30</x:v>
      </x:c>
      <x:c r="S10" s="21" t="str">
        <x:v>Codex</x:v>
      </x:c>
    </x:row>
    <x:row r="11" ht="132" customHeight="1">
      <x:c r="A11" s="21" t="str">
        <x:v>KB010</x:v>
      </x:c>
      <x:c r="B11" s="21" t="str">
        <x:v>Dr.Jart+</x:v>
      </x:c>
      <x:c r="C11" s="27" t="n">
        <x:v>6.8</x:v>
      </x:c>
      <x:c r="D11" s="27" t="n">
        <x:v>9.2</x:v>
      </x:c>
      <x:c r="E11" s="27" t="n">
        <x:v>8.6</x:v>
      </x:c>
      <x:c r="F11" s="27" t="n">
        <x:v>8.1</x:v>
      </x:c>
      <x:c r="G11" s="27" t="n">
        <x:v>8.8</x:v>
      </x:c>
      <x:c r="H11" s="27" t="n">
        <x:v>0.8</x:v>
      </x:c>
      <x:c r="I11" s="27" t="n">
        <x:v>0.8</x:v>
      </x:c>
      <x:c r="J11" s="27" t="n">
        <x:v>8.5</x:v>
      </x:c>
      <x:c r="K11" s="27" t="n">
        <x:f>IF(COUNT(C11:J11)&lt;8,"",C11*2.5+D11*2+E11*1.5+F11+G11+H11+I11*0.5+J11*0.5)</x:f>
        <x:v>70.65</x:v>
      </x:c>
      <x:c r="L11" s="27" t="str">
        <x:f>IF(K11="","",IF(K11&gt;=80,"A",IF(K11&gt;=65,"B",IF(K11&gt;=50,"C","D"))))</x:f>
        <x:v>B</x:v>
      </x:c>
      <x:c r="M11" s="27" t="n">
        <x:v>9.4</x:v>
      </x:c>
      <x:c r="N11" s="27" t="n">
        <x:v>7.6</x:v>
      </x:c>
      <x:c r="O11" s="27" t="n">
        <x:v>0.8</x:v>
      </x:c>
      <x:c r="P11" s="21" t="str">
        <x:v>High for current official, Amazon, retail, ownership and DailyMed facts; Medium for aggregate U.S. scale, exact formula/shade mapping, off-platform authorization and wholesale economics.</x:v>
      </x:c>
      <x:c r="Q11" s="21" t="str">
        <x:v>Dr.Jart+ has exceptional U.S. prestige awareness, official Sephora/Kohl's/Amazon/TikTok coverage and diversified hero demand. Five distinct Amazon.com-sold ASINs imply a conservative $188,300 monthly observed-price floor. The score is capped by premium pricing and near-zero open distributor whitespace under Have &amp; Be/Estée Lauder's direct infrastructure. Weighted result: 70.65/100 (Grade B).</x:v>
      </x:c>
      <x:c r="R11" s="25" t="str">
        <x:v>2026-07-31</x:v>
      </x:c>
      <x:c r="S11" s="21" t="str">
        <x:v>Codex</x:v>
      </x:c>
    </x:row>
    <x:row r="12" ht="138" customHeight="1">
      <x:c r="A12" s="21" t="str">
        <x:v>KB011</x:v>
      </x:c>
      <x:c r="B12" s="21" t="str">
        <x:v>Torriden</x:v>
      </x:c>
      <x:c r="C12" s="27" t="n">
        <x:v>8.8</x:v>
      </x:c>
      <x:c r="D12" s="27" t="n">
        <x:v>9.1</x:v>
      </x:c>
      <x:c r="E12" s="27" t="n">
        <x:v>9.2</x:v>
      </x:c>
      <x:c r="F12" s="27" t="n">
        <x:v>8.5</x:v>
      </x:c>
      <x:c r="G12" s="27" t="n">
        <x:v>9.2</x:v>
      </x:c>
      <x:c r="H12" s="27" t="n">
        <x:v>2.5</x:v>
      </x:c>
      <x:c r="I12" s="27" t="n">
        <x:v>3</x:v>
      </x:c>
      <x:c r="J12" s="27" t="n">
        <x:v>6.3</x:v>
      </x:c>
      <x:c r="K12" s="27" t="n">
        <x:f>IF(COUNT(C12:J12)&lt;8,"",C12*2.5+D12*2+E12*1.5+F12+G12+H12+I12*0.5+J12*0.5)</x:f>
        <x:v>78.85000000000001</x:v>
      </x:c>
      <x:c r="L12" s="27" t="str">
        <x:f>IF(K12="","",IF(K12&gt;=80,"A",IF(K12&gt;=65,"B",IF(K12&gt;=50,"C","D"))))</x:f>
        <x:v>B</x:v>
      </x:c>
      <x:c r="M12" s="27" t="n">
        <x:v>8.8</x:v>
      </x:c>
      <x:c r="N12" s="27" t="n">
        <x:v>9</x:v>
      </x:c>
      <x:c r="O12" s="27" t="n">
        <x:v>2.5</x:v>
      </x:c>
      <x:c r="P12" s="21" t="str">
        <x:v>High for current official, Amazon, Sephora, social and retailer facts; Medium for total U.S. scale, exact formula/version mapping, third-party authorization and wholesale economics.</x:v>
      </x:c>
      <x:c r="Q12" s="21" t="str">
        <x:v>Torriden has exceptional hydration-category fit, fast social growth, Sephora validation and strong official-seller Amazon velocity. Five distinct hero ASINs imply a conservative $295,793 monthly observed-price floor. The score is capped by direct Amazon/TikTok operation, Sephora/Costco/Olive Young density, marketplace provenance risk and very limited whitespace for a new broad distributor. Weighted result: 78.85/100 (Grade B).</x:v>
      </x:c>
      <x:c r="R12" s="25" t="str">
        <x:v>2026-08-01</x:v>
      </x:c>
      <x:c r="S12" s="21" t="str">
        <x:v>Codex</x:v>
      </x:c>
    </x:row>
    <x:row r="13" ht="110" customHeight="1">
      <x:c r="A13" s="21" t="str">
        <x:v>KB012</x:v>
      </x:c>
      <x:c r="B13" s="21" t="str">
        <x:v>Numbuzin</x:v>
      </x:c>
      <x:c r="C13" s="27" t="n">
        <x:v>9.2</x:v>
      </x:c>
      <x:c r="D13" s="27" t="n">
        <x:v>9.5</x:v>
      </x:c>
      <x:c r="E13" s="27" t="n">
        <x:v>9.8</x:v>
      </x:c>
      <x:c r="F13" s="27" t="n">
        <x:v>8.2</x:v>
      </x:c>
      <x:c r="G13" s="27" t="n">
        <x:v>9.8</x:v>
      </x:c>
      <x:c r="H13" s="27" t="n">
        <x:v>1.5</x:v>
      </x:c>
      <x:c r="I13" s="27" t="n">
        <x:v>1.5</x:v>
      </x:c>
      <x:c r="J13" s="27" t="n">
        <x:v>7.8</x:v>
      </x:c>
      <x:c r="K13" s="27" t="n">
        <x:f>IF(COUNT(C13:J13)&lt;8,"",C13*2.5+D13*2+E13*1.5+F13+G13+H13+I13*0.5+J13*0.5)</x:f>
        <x:v>80.85000000000001</x:v>
      </x:c>
      <x:c r="L13" s="27" t="str">
        <x:f>IF(K13="","",IF(K13&gt;=80,"A",IF(K13&gt;=65,"B",IF(K13&gt;=50,"C",IF(K13&gt;=35,"D","E")))))</x:f>
        <x:v>A</x:v>
      </x:c>
      <x:c r="M13" s="27" t="n">
        <x:v>9.5</x:v>
      </x:c>
      <x:c r="N13" s="27" t="n">
        <x:v>9.4</x:v>
      </x:c>
      <x:c r="O13" s="27" t="n">
        <x:v>1.5</x:v>
      </x:c>
      <x:c r="P13" s="21" t="str">
        <x:v>High for current official, Amazon, Ulta, Target, Costco and regulatory facts; Medium for social third-party counts, exact channel authorization, aggregate U.S. revenue and wholesale economics.</x:v>
      </x:c>
      <x:c r="Q13" s="21" t="str">
        <x:v>Numbuzin has exceptional U.S. product-market fit, large official-seller Amazon demand, strong viral ingredient stories and broad national retail access. Five sampled heroes imply at least 42,000 units/month and a conservative four-priced-ASIN floor of $754,510. Distribution score is capped by direct official channels, deep discounting, national retail/club overlap and almost no open e-commerce whitespace. Weighted result: 80.85/100 (Grade A).</x:v>
      </x:c>
      <x:c r="R13" s="25" t="str">
        <x:v>2026-08-01</x:v>
      </x:c>
      <x:c r="S13" s="21" t="str">
        <x:v>Codex</x:v>
      </x:c>
    </x:row>
    <x:row r="14" ht="112" customHeight="1">
      <x:c r="A14" s="21" t="str">
        <x:v>KB013</x:v>
      </x:c>
      <x:c r="B14" s="21" t="str">
        <x:v>Mixsoon</x:v>
      </x:c>
      <x:c r="C14" s="27" t="n">
        <x:v>9</x:v>
      </x:c>
      <x:c r="D14" s="27" t="n">
        <x:v>9.4</x:v>
      </x:c>
      <x:c r="E14" s="27" t="n">
        <x:v>9.2</x:v>
      </x:c>
      <x:c r="F14" s="27" t="n">
        <x:v>8</x:v>
      </x:c>
      <x:c r="G14" s="27" t="n">
        <x:v>9.7</x:v>
      </x:c>
      <x:c r="H14" s="27" t="n">
        <x:v>1.5</x:v>
      </x:c>
      <x:c r="I14" s="27" t="n">
        <x:v>1.5</x:v>
      </x:c>
      <x:c r="J14" s="27" t="n">
        <x:v>5.5</x:v>
      </x:c>
      <x:c r="K14" s="27" t="n">
        <x:f>IF(COUNT(C14:J14)&lt;8,"",C14*2.5+D14*2+E14*1.5+F14+G14+H14+I14*0.5+J14*0.5)</x:f>
        <x:v>77.8</x:v>
      </x:c>
      <x:c r="L14" s="27" t="str">
        <x:f>IF(K14="","",IF(K14&gt;=80,"A",IF(K14&gt;=65,"B",IF(K14&gt;=50,"C",IF(K14&gt;=35,"D","E")))))</x:f>
        <x:v>B</x:v>
      </x:c>
      <x:c r="M14" s="27" t="n">
        <x:v>9</x:v>
      </x:c>
      <x:c r="N14" s="27" t="n">
        <x:v>9.4</x:v>
      </x:c>
      <x:c r="O14" s="27" t="n">
        <x:v>1.5</x:v>
      </x:c>
      <x:c r="P14" s="21" t="str">
        <x:v>High for official company/site/retailer and Amazon facts; Medium for TikTok/social counts, exact U.S. operating roles, aggregate revenue, retailer sell-through and wholesale economics.</x:v>
      </x:c>
      <x:c r="Q14" s="21" t="str">
        <x:v>Mixsoon has exceptional viral demand, a mature Bean franchise, unusually strong TikTok Shop scale and broad Ulta/Walmart/Costco/TJX validation. Four sampled Amazon ASINs imply at least 13,000 monthly units and $284,290 at observed prices. Distributor fit is capped by direct official channels, club/off-price compression, national retail overlap, regulatory/label diligence and almost no open e-commerce whitespace. Weighted result: 77.80/100 (Grade B).</x:v>
      </x:c>
      <x:c r="R14" s="25" t="str">
        <x:v>2026-08-01</x:v>
      </x:c>
      <x:c r="S14" s="21" t="str">
        <x:v>Codex</x:v>
      </x:c>
    </x:row>
    <x:row r="15" ht="116" customHeight="1">
      <x:c r="A15" s="21" t="str">
        <x:v>KB014</x:v>
      </x:c>
      <x:c r="B15" s="21" t="str">
        <x:v>d'Alba</x:v>
      </x:c>
      <x:c r="C15" s="27" t="n">
        <x:v>8.8</x:v>
      </x:c>
      <x:c r="D15" s="27" t="n">
        <x:v>9.5</x:v>
      </x:c>
      <x:c r="E15" s="27" t="n">
        <x:v>9.9</x:v>
      </x:c>
      <x:c r="F15" s="27" t="n">
        <x:v>8.3</x:v>
      </x:c>
      <x:c r="G15" s="27" t="n">
        <x:v>9.6</x:v>
      </x:c>
      <x:c r="H15" s="27" t="n">
        <x:v>1.5</x:v>
      </x:c>
      <x:c r="I15" s="27" t="n">
        <x:v>1.2</x:v>
      </x:c>
      <x:c r="J15" s="27" t="n">
        <x:v>5.8</x:v>
      </x:c>
      <x:c r="K15" s="27" t="n">
        <x:f>IF(COUNT(C15:J15)&lt;8,"",C15*2.5+D15*2+E15*1.5+F15+G15+H15+I15*0.5+J15*0.5)</x:f>
        <x:v>78.75</x:v>
      </x:c>
      <x:c r="L15" s="27" t="str">
        <x:f>IF(K15="","",IF(K15&gt;=80,"A",IF(K15&gt;=65,"B",IF(K15&gt;=50,"C",IF(K15&gt;=35,"D","E")))))</x:f>
        <x:v>B</x:v>
      </x:c>
      <x:c r="M15" s="27" t="n">
        <x:v>9.4</x:v>
      </x:c>
      <x:c r="N15" s="27" t="n">
        <x:v>9.6</x:v>
      </x:c>
      <x:c r="O15" s="27" t="n">
        <x:v>1.5</x:v>
      </x:c>
      <x:c r="P15" s="21" t="str">
        <x:v>High for company, official channel, Amazon, product, price and U.S. sunscreen facts; Medium-High for platform/corporate momentum; Medium or lower for exact wholesale economics, retailer sell-through and future account availability.</x:v>
      </x:c>
      <x:c r="Q15" s="21" t="str">
        <x:v>d'Alba has category-defining spray-serum awareness, exceptional official-seller Amazon momentum, a powerful TikTok Shop and newly scaled Ulta/Costco distribution. Five sampled ASINs imply at least 68,500 units and $1,528,815/month at observed prices. Distributor fit is capped by direct U.S. infrastructure, mature channel control, deep promotions, fragrance/claims risk and sunscreen version complexity. Weighted result: 78.75/100 (Grade B).</x:v>
      </x:c>
      <x:c r="R15" s="25" t="str">
        <x:v>2026-08-01</x:v>
      </x:c>
      <x:c r="S15" s="21" t="str">
        <x:v>Codex</x:v>
      </x:c>
    </x:row>
    <x:row r="16" ht="120" customHeight="1">
      <x:c r="A16" s="21" t="str">
        <x:v>KB015</x:v>
      </x:c>
      <x:c r="B16" s="21" t="str">
        <x:v>SOME BY MI</x:v>
      </x:c>
      <x:c r="C16" s="27" t="n">
        <x:v>9.2</x:v>
      </x:c>
      <x:c r="D16" s="27" t="n">
        <x:v>9.2</x:v>
      </x:c>
      <x:c r="E16" s="27" t="n">
        <x:v>9.5</x:v>
      </x:c>
      <x:c r="F16" s="27" t="n">
        <x:v>8.8</x:v>
      </x:c>
      <x:c r="G16" s="27" t="n">
        <x:v>9.3</x:v>
      </x:c>
      <x:c r="H16" s="27" t="n">
        <x:v>1.8</x:v>
      </x:c>
      <x:c r="I16" s="27" t="n">
        <x:v>1.5</x:v>
      </x:c>
      <x:c r="J16" s="27" t="n">
        <x:v>5.4</x:v>
      </x:c>
      <x:c r="K16" s="27" t="n">
        <x:f>IF(COUNT(C16:J16)&lt;8,"",C16*2.5+D16*2+E16*1.5+F16+G16+H16+I16*0.5+J16*0.5)</x:f>
        <x:v>79</x:v>
      </x:c>
      <x:c r="L16" s="27" t="str">
        <x:f>IF(K16="","",IF(K16&gt;=80,"A",IF(K16&gt;=65,"B",IF(K16&gt;=50,"C",IF(K16&gt;=35,"D","E")))))</x:f>
        <x:v>B</x:v>
      </x:c>
      <x:c r="M16" s="27" t="n">
        <x:v>9.2</x:v>
      </x:c>
      <x:c r="N16" s="27" t="n">
        <x:v>9.3</x:v>
      </x:c>
      <x:c r="O16" s="27" t="n">
        <x:v>1.8</x:v>
      </x:c>
      <x:c r="P16" s="21" t="str">
        <x:v>High for official identity, channels, Amazon seller/ASIN displays and U.S. OTC label records; Medium-High for TikTok and retailer-scale signals; Medium or lower for wholesale economics, retailer sell-through, forum causality and future account availability.</x:v>
      </x:c>
      <x:c r="Q16" s="21" t="str">
        <x:v>SOME BY MI combines a durable Miracle-line franchise with current body-acne momentum, exceptional official TikTok Shop scale, 27 Ulta products and strong official-seller Amazon velocity. Five sampled ASINs imply at least 20,000 units and $359,300/month at observed prices. Distributor fit is capped by channel saturation, deep promotion, seller/version risk and the need to manage both cosmetics and OTC drugs. Weighted result: 79.00/100 (Grade B).</x:v>
      </x:c>
      <x:c r="R16" s="25" t="str">
        <x:v>2026-08-01</x:v>
      </x:c>
      <x:c r="S16" s="21" t="str">
        <x:v>Codex</x:v>
      </x:c>
    </x:row>
    <x:row r="17" ht="124" customHeight="1">
      <x:c r="A17" s="21" t="str">
        <x:v>KB016</x:v>
      </x:c>
      <x:c r="B17" s="21" t="str">
        <x:v>Isntree</x:v>
      </x:c>
      <x:c r="C17" s="27" t="n">
        <x:v>8.7</x:v>
      </x:c>
      <x:c r="D17" s="27" t="n">
        <x:v>8.3</x:v>
      </x:c>
      <x:c r="E17" s="27" t="n">
        <x:v>8.2</x:v>
      </x:c>
      <x:c r="F17" s="27" t="n">
        <x:v>8.5</x:v>
      </x:c>
      <x:c r="G17" s="27" t="n">
        <x:v>7.7</x:v>
      </x:c>
      <x:c r="H17" s="27" t="n">
        <x:v>4.2</x:v>
      </x:c>
      <x:c r="I17" s="27" t="n">
        <x:v>4.5</x:v>
      </x:c>
      <x:c r="J17" s="27" t="n">
        <x:v>6</x:v>
      </x:c>
      <x:c r="K17" s="27" t="n">
        <x:f>IF(COUNT(C17:J17)&lt;8,"",C17*2.5+D17*2+E17*1.5+F17+G17+H17+I17*0.5+J17*0.5)</x:f>
        <x:v>76.3</x:v>
      </x:c>
      <x:c r="L17" s="27" t="str">
        <x:f>IF(K17="","",IF(K17&gt;=80,"A",IF(K17&gt;=65,"B",IF(K17&gt;=50,"C",IF(K17&gt;=35,"D","E")))))</x:f>
        <x:v>B</x:v>
      </x:c>
      <x:c r="M17" s="27" t="n">
        <x:v>8</x:v>
      </x:c>
      <x:c r="N17" s="27" t="n">
        <x:v>7.8</x:v>
      </x:c>
      <x:c r="O17" s="27" t="n">
        <x:v>4.2</x:v>
      </x:c>
      <x:c r="P17" s="21" t="str">
        <x:v>High for official identity, company history, Amazon seller/ASIN displays and DailyMed sunscreen labels; Medium-High for retailer mapping; Medium or lower for TikTok scale, historical Ulta status, forum causality, wholesale economics and future account availability.</x:v>
      </x:c>
      <x:c r="Q17" s="21" t="str">
        <x:v>Isntree combines credible ingredient-led awareness, official U.S. Amazon fulfillment, five sampled ASINs totaling at least 8,100 monthly purchases and strong retailer review signals. The opportunity is capped by marketplace/cross-border overlap, uncertain Ulta continuity, modest TikTok Shop proof and exact U.S.-sunscreen version complexity. Weighted result: 76.30/100 (Grade B).</x:v>
      </x:c>
      <x:c r="R17" s="25" t="str">
        <x:v>2026-08-01</x:v>
      </x:c>
      <x:c r="S17" s="21" t="str">
        <x:v>Codex</x:v>
      </x:c>
    </x:row>
    <x:row r="18" ht="132" customHeight="1">
      <x:c r="A18" s="21" t="str">
        <x:v>KB017</x:v>
      </x:c>
      <x:c r="B18" s="21" t="str">
        <x:v>Goodal</x:v>
      </x:c>
      <x:c r="C18" s="27" t="n">
        <x:v>8.2</x:v>
      </x:c>
      <x:c r="D18" s="27" t="n">
        <x:v>8.1</x:v>
      </x:c>
      <x:c r="E18" s="27" t="n">
        <x:v>7.8</x:v>
      </x:c>
      <x:c r="F18" s="27" t="n">
        <x:v>7.6</x:v>
      </x:c>
      <x:c r="G18" s="27" t="n">
        <x:v>7.4</x:v>
      </x:c>
      <x:c r="H18" s="27" t="n">
        <x:v>3.5</x:v>
      </x:c>
      <x:c r="I18" s="27" t="n">
        <x:v>3.8</x:v>
      </x:c>
      <x:c r="J18" s="27" t="n">
        <x:v>5.8</x:v>
      </x:c>
      <x:c r="K18" s="27" t="n">
        <x:f>IF(COUNT(C18:J18)&lt;8,"",C18*2.5+D18*2+E18*1.5+F18+G18+H18+I18*0.5+J18*0.5)</x:f>
        <x:v>71.70000000000002</x:v>
      </x:c>
      <x:c r="L18" s="27" t="str">
        <x:f>IF(K18="","",IF(K18&gt;=80,"A",IF(K18&gt;=65,"B",IF(K18&gt;=50,"C",IF(K18&gt;=35,"D","E")))))</x:f>
        <x:v>B</x:v>
      </x:c>
      <x:c r="M18" s="27" t="n">
        <x:v>7.7</x:v>
      </x:c>
      <x:c r="N18" s="27" t="n">
        <x:v>7.6</x:v>
      </x:c>
      <x:c r="O18" s="27" t="n">
        <x:v>3.5</x:v>
      </x:c>
      <x:c r="P18" s="21" t="str">
        <x:v>High for CLIO ownership, official history/category, sampled Amazon displays, Target assortment and DailyMed; Medium-High for iHerb/social metrics; Medium or lower for TikTok commerce, historical Costco, forum causality, legal channel rights and future wholesale economics.</x:v>
      </x:c>
      <x:c r="Q18" s="21" t="str">
        <x:v>Goodal combines a recognizable Green Tangerine franchise, current official-seller Amazon demand and meaningful Target/iHerb presence. Distributor attractiveness is constrained by direct-channel overlap, price leakage, third-party marketplace sellers, new-versus-legacy formula ambiguity and exact U.S. sunscreen/claims requirements. Weighted result: 71.70/100 (Grade B).</x:v>
      </x:c>
      <x:c r="R18" s="25" t="str">
        <x:v>2026-08-01</x:v>
      </x:c>
      <x:c r="S18" s="21" t="str">
        <x:v>Codex</x:v>
      </x:c>
    </x:row>
    <x:row r="19" ht="138" customHeight="1">
      <x:c r="A19" s="21" t="str">
        <x:v>KB018</x:v>
      </x:c>
      <x:c r="B19" s="21" t="str">
        <x:v>I'm From</x:v>
      </x:c>
      <x:c r="C19" s="27" t="n">
        <x:v>8.1</x:v>
      </x:c>
      <x:c r="D19" s="27" t="n">
        <x:v>8.8</x:v>
      </x:c>
      <x:c r="E19" s="27" t="n">
        <x:v>8.6</x:v>
      </x:c>
      <x:c r="F19" s="27" t="n">
        <x:v>8.4</x:v>
      </x:c>
      <x:c r="G19" s="27" t="n">
        <x:v>8.5</x:v>
      </x:c>
      <x:c r="H19" s="27" t="n">
        <x:v>2.8</x:v>
      </x:c>
      <x:c r="I19" s="27" t="n">
        <x:v>3.2</x:v>
      </x:c>
      <x:c r="J19" s="27" t="n">
        <x:v>5.6</x:v>
      </x:c>
      <x:c r="K19" s="27" t="n">
        <x:f>IF(COUNT(C19:J19)&lt;8,"",C19*2.5+D19*2+E19*1.5+F19+G19+H19+I19*0.5+J19*0.5)</x:f>
        <x:v>74.85</x:v>
      </x:c>
      <x:c r="L19" s="27" t="str">
        <x:f>IF(K19="","",IF(K19&gt;=80,"A",IF(K19&gt;=65,"B",IF(K19&gt;=50,"C",IF(K19&gt;=35,"D","E")))))</x:f>
        <x:v>B</x:v>
      </x:c>
      <x:c r="M19" s="27" t="n">
        <x:v>8.3</x:v>
      </x:c>
      <x:c r="N19" s="27" t="n">
        <x:v>7.8</x:v>
      </x:c>
      <x:c r="O19" s="27" t="n">
        <x:v>3</x:v>
      </x:c>
      <x:c r="P19" s="21" t="str">
        <x:v>High for LAB &amp; Company ownership, official positioning, Ulta/iHerb and sampled Amazon facts; Medium-High for official TikTok Shop displays; Medium or lower for seller/territory roles, reformulation continuity, negative retail-search evidence, forum causality and wholesale economics.</x:v>
      </x:c>
      <x:c r="Q19" s="21" t="str">
        <x:v>I'm From has strong Rice-led consumer pull, excellent retailer satisfaction and substantial social-commerce proof. Distributor attractiveness is capped by Amazon discounting, broad channel overlap, ambiguous seller/rights roles, SKU-version transition and unverified U.S. wholesale economics. Weighted result: 74.85/100 (Grade B).</x:v>
      </x:c>
      <x:c r="R19" s="25" t="str">
        <x:v>2026-08-01</x:v>
      </x:c>
      <x:c r="S19" s="21" t="str">
        <x:v>Codex</x:v>
      </x:c>
    </x:row>
    <x:row r="20" ht="145" customHeight="1">
      <x:c r="A20" s="21" t="str">
        <x:v>KB019</x:v>
      </x:c>
      <x:c r="B20" s="21" t="str">
        <x:v>Dear Klairs</x:v>
      </x:c>
      <x:c r="C20" s="27" t="n">
        <x:v>7.9</x:v>
      </x:c>
      <x:c r="D20" s="27" t="n">
        <x:v>8.6</x:v>
      </x:c>
      <x:c r="E20" s="27" t="n">
        <x:v>8.3</x:v>
      </x:c>
      <x:c r="F20" s="27" t="n">
        <x:v>8.5</x:v>
      </x:c>
      <x:c r="G20" s="27" t="n">
        <x:v>8</x:v>
      </x:c>
      <x:c r="H20" s="27" t="n">
        <x:v>5.2</x:v>
      </x:c>
      <x:c r="I20" s="27" t="n">
        <x:v>4</x:v>
      </x:c>
      <x:c r="J20" s="27" t="n">
        <x:v>5.8</x:v>
      </x:c>
      <x:c r="K20" s="27" t="n">
        <x:f>IF(COUNT(C20:J20)&lt;8,"",C20*2.5+D20*2+E20*1.5+F20+G20+H20+I20*0.5+J20*0.5)</x:f>
        <x:v>76.00000000000001</x:v>
      </x:c>
      <x:c r="L20" s="27" t="str">
        <x:f>IF(K20="","",IF(K20&gt;=80,"A",IF(K20&gt;=65,"B",IF(K20&gt;=50,"C",IF(K20&gt;=35,"D","E")))))</x:f>
        <x:v>B</x:v>
      </x:c>
      <x:c r="M20" s="27" t="n">
        <x:v>8.4</x:v>
      </x:c>
      <x:c r="N20" s="27" t="n">
        <x:v>7.9</x:v>
      </x:c>
      <x:c r="O20" s="27" t="n">
        <x:v>5.4</x:v>
      </x:c>
      <x:c r="P20" s="21" t="str">
        <x:v>High for official U.S. operator, official retail channels and direct Amazon/TikTok data; Medium-High for brand-reported scale; Medium or lower for reseller authorization, chronology, negative retail searches, social metrics, exact regulatory readiness and wholesale economics.</x:v>
      </x:c>
      <x:c r="Q20" s="21" t="str">
        <x:v>Dear Klairs combines a proven cult franchise, high review depth, strong recent Amazon badges, meaningful TikTok Shop volume, U.S. logistics and an active wholesale program. Distributor fit is capped by severe discounting, incumbent direct/marketplace strength, crowded sensitive-skin competition, unverified documentation and a material SPF trust history. Weighted result: 76.0/100 (Grade B).</x:v>
      </x:c>
      <x:c r="R20" s="25" t="str">
        <x:v>2026-08-01</x:v>
      </x:c>
      <x:c r="S20" s="21" t="str">
        <x:v>Codex</x:v>
      </x:c>
    </x:row>
    <x:row r="21" ht="152" customHeight="1">
      <x:c r="A21" s="21" t="str">
        <x:v>KB020</x:v>
      </x:c>
      <x:c r="B21" s="21" t="str">
        <x:v>Haruharu Wonder</x:v>
      </x:c>
      <x:c r="C21" s="27" t="n">
        <x:v>8.4</x:v>
      </x:c>
      <x:c r="D21" s="27" t="n">
        <x:v>9.2</x:v>
      </x:c>
      <x:c r="E21" s="27" t="n">
        <x:v>9.4</x:v>
      </x:c>
      <x:c r="F21" s="27" t="n">
        <x:v>8.5</x:v>
      </x:c>
      <x:c r="G21" s="27" t="n">
        <x:v>8.8</x:v>
      </x:c>
      <x:c r="H21" s="27" t="n">
        <x:v>3.1</x:v>
      </x:c>
      <x:c r="I21" s="27" t="n">
        <x:v>3.4</x:v>
      </x:c>
      <x:c r="J21" s="27" t="n">
        <x:v>3.1</x:v>
      </x:c>
      <x:c r="K21" s="27" t="n">
        <x:f>IF(COUNT(C21:J21)&lt;8,"",C21*2.5+D21*2+E21*1.5+F21+G21+H21+I21*0.5+J21*0.5)</x:f>
        <x:v>77.14999999999999</x:v>
      </x:c>
      <x:c r="L21" s="27" t="str">
        <x:f>IF(K21="","",IF(K21&gt;=80,"A",IF(K21&gt;=65,"B",IF(K21&gt;=50,"C",IF(K21&gt;=35,"D","E")))))</x:f>
        <x:v>B</x:v>
      </x:c>
      <x:c r="M21" s="27" t="n">
        <x:v>9</x:v>
      </x:c>
      <x:c r="N21" s="27" t="n">
        <x:v>9.1</x:v>
      </x:c>
      <x:c r="O21" s="27" t="n">
        <x:v>3.5</x:v>
      </x:c>
      <x:c r="P21" s="21" t="str">
        <x:v>High for current official-site, Target and sampled Amazon evidence; Medium-High for TikTok and retailer scale; Medium for entity/channel authorization and derived proxies; Low-Medium for individual consumer reports and negative gap searches.</x:v>
      </x:c>
      <x:c r="Q21" s="21" t="str">
        <x:v>Haruharu Wonder combines outstanding Amazon velocity, a January 2026 nationwide Target rollout, strong barrier/cleansing/toner demand and accessible pricing. Distributor fit is sharply capped by incumbent mass/marketplace strength, aggressive discounting, reseller/authenticity risk, multiple U.S.-facing entities and unresolved SPF compliance. Weighted result: 77.2/100 (Grade B).</x:v>
      </x:c>
      <x:c r="R21" s="25" t="str">
        <x:v>2026-08-01</x:v>
      </x:c>
      <x:c r="S21" s="21" t="str">
        <x:v>Codex</x:v>
      </x:c>
    </x:row>
    <x:row r="22">
      <x:c r="A22" s="21" t="str">
        <x:v>KB021</x:v>
      </x:c>
      <x:c r="B22" s="21" t="str">
        <x:v>Axis-Y</x:v>
      </x:c>
      <x:c r="C22" s="27"/>
      <x:c r="D22" s="27"/>
      <x:c r="E22" s="27"/>
      <x:c r="F22" s="27"/>
      <x:c r="G22" s="27"/>
      <x:c r="H22" s="27"/>
      <x:c r="I22" s="27"/>
      <x:c r="J22" s="27"/>
      <x:c r="K22" s="27" t="str">
        <x:f>IF(COUNT(C22:J22)&lt;8,"",SUMPRODUCT(C22:J22,'12_Scoring_Criteria'!$C$5:$C$12)*10)</x:f>
      </x:c>
      <x:c r="L22" s="27" t="str">
        <x:f>IF(K22="","",IF(K22&gt;=80,"A",IF(K22&gt;=65,"B",IF(K22&gt;=50,"C",IF(K22&gt;=35,"D","E")))))</x:f>
      </x:c>
      <x:c r="M22" s="27"/>
      <x:c r="N22" s="27"/>
      <x:c r="O22" s="27"/>
      <x:c r="P22" s="21" t="str"/>
      <x:c r="Q22" s="21" t="str"/>
      <x:c r="R22" s="25"/>
      <x:c r="S22" s="21" t="str"/>
    </x:row>
    <x:row r="23">
      <x:c r="A23" s="21" t="str">
        <x:v>KB022</x:v>
      </x:c>
      <x:c r="B23" s="21" t="str">
        <x:v>Rom&amp;nd</x:v>
      </x:c>
      <x:c r="C23" s="27"/>
      <x:c r="D23" s="27"/>
      <x:c r="E23" s="27"/>
      <x:c r="F23" s="27"/>
      <x:c r="G23" s="27"/>
      <x:c r="H23" s="27"/>
      <x:c r="I23" s="27"/>
      <x:c r="J23" s="27"/>
      <x:c r="K23" s="27" t="str">
        <x:f>IF(COUNT(C23:J23)&lt;8,"",SUMPRODUCT(C23:J23,'12_Scoring_Criteria'!$C$5:$C$12)*10)</x:f>
      </x:c>
      <x:c r="L23" s="27" t="str">
        <x:f>IF(K23="","",IF(K23&gt;=80,"A",IF(K23&gt;=65,"B",IF(K23&gt;=50,"C",IF(K23&gt;=35,"D","E")))))</x:f>
      </x:c>
      <x:c r="M23" s="27"/>
      <x:c r="N23" s="27"/>
      <x:c r="O23" s="27"/>
      <x:c r="P23" s="21" t="str"/>
      <x:c r="Q23" s="21" t="str"/>
      <x:c r="R23" s="25"/>
      <x:c r="S23" s="21" t="str"/>
    </x:row>
    <x:row r="24">
      <x:c r="A24" s="21" t="str">
        <x:v>KB023</x:v>
      </x:c>
      <x:c r="B24" s="21" t="str">
        <x:v>Peripera</x:v>
      </x:c>
      <x:c r="C24" s="27"/>
      <x:c r="D24" s="27"/>
      <x:c r="E24" s="27"/>
      <x:c r="F24" s="27"/>
      <x:c r="G24" s="27"/>
      <x:c r="H24" s="27"/>
      <x:c r="I24" s="27"/>
      <x:c r="J24" s="27"/>
      <x:c r="K24" s="27" t="str">
        <x:f>IF(COUNT(C24:J24)&lt;8,"",SUMPRODUCT(C24:J24,'12_Scoring_Criteria'!$C$5:$C$12)*10)</x:f>
      </x:c>
      <x:c r="L24" s="27" t="str">
        <x:f>IF(K24="","",IF(K24&gt;=80,"A",IF(K24&gt;=65,"B",IF(K24&gt;=50,"C",IF(K24&gt;=35,"D","E")))))</x:f>
      </x:c>
      <x:c r="M24" s="27"/>
      <x:c r="N24" s="27"/>
      <x:c r="O24" s="27"/>
      <x:c r="P24" s="21" t="str"/>
      <x:c r="Q24" s="21" t="str"/>
      <x:c r="R24" s="25"/>
      <x:c r="S24" s="21" t="str"/>
    </x:row>
    <x:row r="25">
      <x:c r="A25" s="21" t="str">
        <x:v>KB024</x:v>
      </x:c>
      <x:c r="B25" s="21" t="str">
        <x:v>Purito</x:v>
      </x:c>
      <x:c r="C25" s="27"/>
      <x:c r="D25" s="27"/>
      <x:c r="E25" s="27"/>
      <x:c r="F25" s="27"/>
      <x:c r="G25" s="27"/>
      <x:c r="H25" s="27"/>
      <x:c r="I25" s="27"/>
      <x:c r="J25" s="27"/>
      <x:c r="K25" s="27" t="str">
        <x:f>IF(COUNT(C25:J25)&lt;8,"",SUMPRODUCT(C25:J25,'12_Scoring_Criteria'!$C$5:$C$12)*10)</x:f>
      </x:c>
      <x:c r="L25" s="27" t="str">
        <x:f>IF(K25="","",IF(K25&gt;=80,"A",IF(K25&gt;=65,"B",IF(K25&gt;=50,"C",IF(K25&gt;=35,"D","E")))))</x:f>
      </x:c>
      <x:c r="M25" s="27"/>
      <x:c r="N25" s="27"/>
      <x:c r="O25" s="27"/>
      <x:c r="P25" s="21" t="str"/>
      <x:c r="Q25" s="21" t="str"/>
      <x:c r="R25" s="25"/>
      <x:c r="S25" s="21" t="str"/>
    </x:row>
    <x:row r="26">
      <x:c r="A26" s="21" t="str">
        <x:v>KB025</x:v>
      </x:c>
      <x:c r="B26" s="21" t="str">
        <x:v>Banila Co</x:v>
      </x:c>
      <x:c r="C26" s="27"/>
      <x:c r="D26" s="27"/>
      <x:c r="E26" s="27"/>
      <x:c r="F26" s="27"/>
      <x:c r="G26" s="27"/>
      <x:c r="H26" s="27"/>
      <x:c r="I26" s="27"/>
      <x:c r="J26" s="27"/>
      <x:c r="K26" s="27" t="str">
        <x:f>IF(COUNT(C26:J26)&lt;8,"",SUMPRODUCT(C26:J26,'12_Scoring_Criteria'!$C$5:$C$12)*10)</x:f>
      </x:c>
      <x:c r="L26" s="27" t="str">
        <x:f>IF(K26="","",IF(K26&gt;=80,"A",IF(K26&gt;=65,"B",IF(K26&gt;=50,"C",IF(K26&gt;=35,"D","E")))))</x:f>
      </x:c>
      <x:c r="M26" s="27"/>
      <x:c r="N26" s="27"/>
      <x:c r="O26" s="27"/>
      <x:c r="P26" s="21" t="str"/>
      <x:c r="Q26" s="21" t="str"/>
      <x:c r="R26" s="25"/>
      <x:c r="S26" s="21" t="str"/>
    </x:row>
    <x:row r="27">
      <x:c r="A27" s="21" t="str">
        <x:v>KB026</x:v>
      </x:c>
      <x:c r="B27" s="21" t="str">
        <x:v>Heimish</x:v>
      </x:c>
      <x:c r="C27" s="27"/>
      <x:c r="D27" s="27"/>
      <x:c r="E27" s="27"/>
      <x:c r="F27" s="27"/>
      <x:c r="G27" s="27"/>
      <x:c r="H27" s="27"/>
      <x:c r="I27" s="27"/>
      <x:c r="J27" s="27"/>
      <x:c r="K27" s="27" t="str">
        <x:f>IF(COUNT(C27:J27)&lt;8,"",SUMPRODUCT(C27:J27,'12_Scoring_Criteria'!$C$5:$C$12)*10)</x:f>
      </x:c>
      <x:c r="L27" s="27" t="str">
        <x:f>IF(K27="","",IF(K27&gt;=80,"A",IF(K27&gt;=65,"B",IF(K27&gt;=50,"C",IF(K27&gt;=35,"D","E")))))</x:f>
      </x:c>
      <x:c r="M27" s="27"/>
      <x:c r="N27" s="27"/>
      <x:c r="O27" s="27"/>
      <x:c r="P27" s="21" t="str"/>
      <x:c r="Q27" s="21" t="str"/>
      <x:c r="R27" s="25"/>
      <x:c r="S27" s="21" t="str"/>
    </x:row>
    <x:row r="28">
      <x:c r="A28" s="21" t="str">
        <x:v>KB027</x:v>
      </x:c>
      <x:c r="B28" s="21" t="str">
        <x:v>Ma:nyo (Manyo Factory)</x:v>
      </x:c>
      <x:c r="C28" s="27"/>
      <x:c r="D28" s="27"/>
      <x:c r="E28" s="27"/>
      <x:c r="F28" s="27"/>
      <x:c r="G28" s="27"/>
      <x:c r="H28" s="27"/>
      <x:c r="I28" s="27"/>
      <x:c r="J28" s="27"/>
      <x:c r="K28" s="27" t="str">
        <x:f>IF(COUNT(C28:J28)&lt;8,"",SUMPRODUCT(C28:J28,'12_Scoring_Criteria'!$C$5:$C$12)*10)</x:f>
      </x:c>
      <x:c r="L28" s="27" t="str">
        <x:f>IF(K28="","",IF(K28&gt;=80,"A",IF(K28&gt;=65,"B",IF(K28&gt;=50,"C",IF(K28&gt;=35,"D","E")))))</x:f>
      </x:c>
      <x:c r="M28" s="27"/>
      <x:c r="N28" s="27"/>
      <x:c r="O28" s="27"/>
      <x:c r="P28" s="21" t="str"/>
      <x:c r="Q28" s="21" t="str"/>
      <x:c r="R28" s="25"/>
      <x:c r="S28" s="21" t="str"/>
    </x:row>
    <x:row r="29">
      <x:c r="A29" s="21" t="str">
        <x:v>KB028</x:v>
      </x:c>
      <x:c r="B29" s="21" t="str">
        <x:v>Etude</x:v>
      </x:c>
      <x:c r="C29" s="27"/>
      <x:c r="D29" s="27"/>
      <x:c r="E29" s="27"/>
      <x:c r="F29" s="27"/>
      <x:c r="G29" s="27"/>
      <x:c r="H29" s="27"/>
      <x:c r="I29" s="27"/>
      <x:c r="J29" s="27"/>
      <x:c r="K29" s="27" t="str">
        <x:f>IF(COUNT(C29:J29)&lt;8,"",SUMPRODUCT(C29:J29,'12_Scoring_Criteria'!$C$5:$C$12)*10)</x:f>
      </x:c>
      <x:c r="L29" s="27" t="str">
        <x:f>IF(K29="","",IF(K29&gt;=80,"A",IF(K29&gt;=65,"B",IF(K29&gt;=50,"C",IF(K29&gt;=35,"D","E")))))</x:f>
      </x:c>
      <x:c r="M29" s="27"/>
      <x:c r="N29" s="27"/>
      <x:c r="O29" s="27"/>
      <x:c r="P29" s="21" t="str"/>
      <x:c r="Q29" s="21" t="str"/>
      <x:c r="R29" s="25"/>
      <x:c r="S29" s="21" t="str"/>
    </x:row>
    <x:row r="30">
      <x:c r="A30" s="21" t="str">
        <x:v>KB029</x:v>
      </x:c>
      <x:c r="B30" s="21" t="str">
        <x:v>Sulwhasoo</x:v>
      </x:c>
      <x:c r="C30" s="27"/>
      <x:c r="D30" s="27"/>
      <x:c r="E30" s="27"/>
      <x:c r="F30" s="27"/>
      <x:c r="G30" s="27"/>
      <x:c r="H30" s="27"/>
      <x:c r="I30" s="27"/>
      <x:c r="J30" s="27"/>
      <x:c r="K30" s="27" t="str">
        <x:f>IF(COUNT(C30:J30)&lt;8,"",SUMPRODUCT(C30:J30,'12_Scoring_Criteria'!$C$5:$C$12)*10)</x:f>
      </x:c>
      <x:c r="L30" s="27" t="str">
        <x:f>IF(K30="","",IF(K30&gt;=80,"A",IF(K30&gt;=65,"B",IF(K30&gt;=50,"C",IF(K30&gt;=35,"D","E")))))</x:f>
      </x:c>
      <x:c r="M30" s="27"/>
      <x:c r="N30" s="27"/>
      <x:c r="O30" s="27"/>
      <x:c r="P30" s="21" t="str"/>
      <x:c r="Q30" s="21" t="str"/>
      <x:c r="R30" s="25"/>
      <x:c r="S30" s="21" t="str"/>
    </x:row>
    <x:row r="31">
      <x:c r="A31" s="21" t="str">
        <x:v>KB030</x:v>
      </x:c>
      <x:c r="B31" s="21" t="str">
        <x:v>Clio</x:v>
      </x:c>
      <x:c r="C31" s="27"/>
      <x:c r="D31" s="27"/>
      <x:c r="E31" s="27"/>
      <x:c r="F31" s="27"/>
      <x:c r="G31" s="27"/>
      <x:c r="H31" s="27"/>
      <x:c r="I31" s="27"/>
      <x:c r="J31" s="27"/>
      <x:c r="K31" s="27" t="str">
        <x:f>IF(COUNT(C31:J31)&lt;8,"",SUMPRODUCT(C31:J31,'12_Scoring_Criteria'!$C$5:$C$12)*10)</x:f>
      </x:c>
      <x:c r="L31" s="27" t="str">
        <x:f>IF(K31="","",IF(K31&gt;=80,"A",IF(K31&gt;=65,"B",IF(K31&gt;=50,"C",IF(K31&gt;=35,"D","E")))))</x:f>
      </x:c>
      <x:c r="M31" s="27"/>
      <x:c r="N31" s="27"/>
      <x:c r="O31" s="27"/>
      <x:c r="P31" s="21" t="str"/>
      <x:c r="Q31" s="21" t="str"/>
      <x:c r="R31" s="25"/>
      <x:c r="S31" s="21" t="str"/>
    </x:row>
    <x:row r="32">
      <x:c r="A32" s="21" t="str">
        <x:v>KB031</x:v>
      </x:c>
      <x:c r="B32" s="21" t="str">
        <x:v>Abib</x:v>
      </x:c>
      <x:c r="C32" s="27"/>
      <x:c r="D32" s="27"/>
      <x:c r="E32" s="27"/>
      <x:c r="F32" s="27"/>
      <x:c r="G32" s="27"/>
      <x:c r="H32" s="27"/>
      <x:c r="I32" s="27"/>
      <x:c r="J32" s="27"/>
      <x:c r="K32" s="27" t="str">
        <x:f>IF(COUNT(C32:J32)&lt;8,"",SUMPRODUCT(C32:J32,'12_Scoring_Criteria'!$C$5:$C$12)*10)</x:f>
      </x:c>
      <x:c r="L32" s="27" t="str">
        <x:f>IF(K32="","",IF(K32&gt;=80,"A",IF(K32&gt;=65,"B",IF(K32&gt;=50,"C",IF(K32&gt;=35,"D","E")))))</x:f>
      </x:c>
      <x:c r="M32" s="27"/>
      <x:c r="N32" s="27"/>
      <x:c r="O32" s="27"/>
      <x:c r="P32" s="21" t="str"/>
      <x:c r="Q32" s="21" t="str"/>
      <x:c r="R32" s="25"/>
      <x:c r="S32" s="21" t="str"/>
    </x:row>
    <x:row r="33">
      <x:c r="A33" s="21" t="str">
        <x:v>KB032</x:v>
      </x:c>
      <x:c r="B33" s="21" t="str">
        <x:v>Innisfree</x:v>
      </x:c>
      <x:c r="C33" s="27"/>
      <x:c r="D33" s="27"/>
      <x:c r="E33" s="27"/>
      <x:c r="F33" s="27"/>
      <x:c r="G33" s="27"/>
      <x:c r="H33" s="27"/>
      <x:c r="I33" s="27"/>
      <x:c r="J33" s="27"/>
      <x:c r="K33" s="27" t="str">
        <x:f>IF(COUNT(C33:J33)&lt;8,"",SUMPRODUCT(C33:J33,'12_Scoring_Criteria'!$C$5:$C$12)*10)</x:f>
      </x:c>
      <x:c r="L33" s="27" t="str">
        <x:f>IF(K33="","",IF(K33&gt;=80,"A",IF(K33&gt;=65,"B",IF(K33&gt;=50,"C",IF(K33&gt;=35,"D","E")))))</x:f>
      </x:c>
      <x:c r="M33" s="27"/>
      <x:c r="N33" s="27"/>
      <x:c r="O33" s="27"/>
      <x:c r="P33" s="21" t="str"/>
      <x:c r="Q33" s="21" t="str"/>
      <x:c r="R33" s="25"/>
      <x:c r="S33" s="21" t="str"/>
    </x:row>
    <x:row r="34">
      <x:c r="A34" s="21" t="str">
        <x:v>KB033</x:v>
      </x:c>
      <x:c r="B34" s="21" t="str">
        <x:v>Tocobo</x:v>
      </x:c>
      <x:c r="C34" s="27"/>
      <x:c r="D34" s="27"/>
      <x:c r="E34" s="27"/>
      <x:c r="F34" s="27"/>
      <x:c r="G34" s="27"/>
      <x:c r="H34" s="27"/>
      <x:c r="I34" s="27"/>
      <x:c r="J34" s="27"/>
      <x:c r="K34" s="27" t="str">
        <x:f>IF(COUNT(C34:J34)&lt;8,"",SUMPRODUCT(C34:J34,'12_Scoring_Criteria'!$C$5:$C$12)*10)</x:f>
      </x:c>
      <x:c r="L34" s="27" t="str">
        <x:f>IF(K34="","",IF(K34&gt;=80,"A",IF(K34&gt;=65,"B",IF(K34&gt;=50,"C",IF(K34&gt;=35,"D","E")))))</x:f>
      </x:c>
      <x:c r="M34" s="27"/>
      <x:c r="N34" s="27"/>
      <x:c r="O34" s="27"/>
      <x:c r="P34" s="21" t="str"/>
      <x:c r="Q34" s="21" t="str"/>
      <x:c r="R34" s="25"/>
      <x:c r="S34" s="21" t="str"/>
    </x:row>
    <x:row r="35">
      <x:c r="A35" s="21" t="str">
        <x:v>KB034</x:v>
      </x:c>
      <x:c r="B35" s="21" t="str">
        <x:v>Mary&amp;May</x:v>
      </x:c>
      <x:c r="C35" s="27"/>
      <x:c r="D35" s="27"/>
      <x:c r="E35" s="27"/>
      <x:c r="F35" s="27"/>
      <x:c r="G35" s="27"/>
      <x:c r="H35" s="27"/>
      <x:c r="I35" s="27"/>
      <x:c r="J35" s="27"/>
      <x:c r="K35" s="27" t="str">
        <x:f>IF(COUNT(C35:J35)&lt;8,"",SUMPRODUCT(C35:J35,'12_Scoring_Criteria'!$C$5:$C$12)*10)</x:f>
      </x:c>
      <x:c r="L35" s="27" t="str">
        <x:f>IF(K35="","",IF(K35&gt;=80,"A",IF(K35&gt;=65,"B",IF(K35&gt;=50,"C",IF(K35&gt;=35,"D","E")))))</x:f>
      </x:c>
      <x:c r="M35" s="27"/>
      <x:c r="N35" s="27"/>
      <x:c r="O35" s="27"/>
      <x:c r="P35" s="21" t="str"/>
      <x:c r="Q35" s="21" t="str"/>
      <x:c r="R35" s="25"/>
      <x:c r="S35" s="21" t="str"/>
    </x:row>
    <x:row r="36">
      <x:c r="A36" s="21" t="str">
        <x:v>KB035</x:v>
      </x:c>
      <x:c r="B36" s="21" t="str">
        <x:v>Jumiso</x:v>
      </x:c>
      <x:c r="C36" s="27"/>
      <x:c r="D36" s="27"/>
      <x:c r="E36" s="27"/>
      <x:c r="F36" s="27"/>
      <x:c r="G36" s="27"/>
      <x:c r="H36" s="27"/>
      <x:c r="I36" s="27"/>
      <x:c r="J36" s="27"/>
      <x:c r="K36" s="27" t="str">
        <x:f>IF(COUNT(C36:J36)&lt;8,"",SUMPRODUCT(C36:J36,'12_Scoring_Criteria'!$C$5:$C$12)*10)</x:f>
      </x:c>
      <x:c r="L36" s="27" t="str">
        <x:f>IF(K36="","",IF(K36&gt;=80,"A",IF(K36&gt;=65,"B",IF(K36&gt;=50,"C",IF(K36&gt;=35,"D","E")))))</x:f>
      </x:c>
      <x:c r="M36" s="27"/>
      <x:c r="N36" s="27"/>
      <x:c r="O36" s="27"/>
      <x:c r="P36" s="21" t="str"/>
      <x:c r="Q36" s="21" t="str"/>
      <x:c r="R36" s="25"/>
      <x:c r="S36" s="21" t="str"/>
    </x:row>
    <x:row r="37">
      <x:c r="A37" s="21" t="str">
        <x:v>KB036</x:v>
      </x:c>
      <x:c r="B37" s="21" t="str">
        <x:v>Kaja</x:v>
      </x:c>
      <x:c r="C37" s="27"/>
      <x:c r="D37" s="27"/>
      <x:c r="E37" s="27"/>
      <x:c r="F37" s="27"/>
      <x:c r="G37" s="27"/>
      <x:c r="H37" s="27"/>
      <x:c r="I37" s="27"/>
      <x:c r="J37" s="27"/>
      <x:c r="K37" s="27" t="str">
        <x:f>IF(COUNT(C37:J37)&lt;8,"",SUMPRODUCT(C37:J37,'12_Scoring_Criteria'!$C$5:$C$12)*10)</x:f>
      </x:c>
      <x:c r="L37" s="27" t="str">
        <x:f>IF(K37="","",IF(K37&gt;=80,"A",IF(K37&gt;=65,"B",IF(K37&gt;=50,"C",IF(K37&gt;=35,"D","E")))))</x:f>
      </x:c>
      <x:c r="M37" s="27"/>
      <x:c r="N37" s="27"/>
      <x:c r="O37" s="27"/>
      <x:c r="P37" s="21" t="str"/>
      <x:c r="Q37" s="21" t="str"/>
      <x:c r="R37" s="25"/>
      <x:c r="S37" s="21" t="str"/>
    </x:row>
    <x:row r="38">
      <x:c r="A38" s="21" t="str">
        <x:v>KB037</x:v>
      </x:c>
      <x:c r="B38" s="21" t="str">
        <x:v>Rovectin</x:v>
      </x:c>
      <x:c r="C38" s="27"/>
      <x:c r="D38" s="27"/>
      <x:c r="E38" s="27"/>
      <x:c r="F38" s="27"/>
      <x:c r="G38" s="27"/>
      <x:c r="H38" s="27"/>
      <x:c r="I38" s="27"/>
      <x:c r="J38" s="27"/>
      <x:c r="K38" s="27" t="str">
        <x:f>IF(COUNT(C38:J38)&lt;8,"",SUMPRODUCT(C38:J38,'12_Scoring_Criteria'!$C$5:$C$12)*10)</x:f>
      </x:c>
      <x:c r="L38" s="27" t="str">
        <x:f>IF(K38="","",IF(K38&gt;=80,"A",IF(K38&gt;=65,"B",IF(K38&gt;=50,"C",IF(K38&gt;=35,"D","E")))))</x:f>
      </x:c>
      <x:c r="M38" s="27"/>
      <x:c r="N38" s="27"/>
      <x:c r="O38" s="27"/>
      <x:c r="P38" s="21" t="str"/>
      <x:c r="Q38" s="21" t="str"/>
      <x:c r="R38" s="25"/>
      <x:c r="S38" s="21" t="str"/>
    </x:row>
    <x:row r="39">
      <x:c r="A39" s="21" t="str">
        <x:v>KB038</x:v>
      </x:c>
      <x:c r="B39" s="21" t="str">
        <x:v>Lilybyred</x:v>
      </x:c>
      <x:c r="C39" s="27"/>
      <x:c r="D39" s="27"/>
      <x:c r="E39" s="27"/>
      <x:c r="F39" s="27"/>
      <x:c r="G39" s="27"/>
      <x:c r="H39" s="27"/>
      <x:c r="I39" s="27"/>
      <x:c r="J39" s="27"/>
      <x:c r="K39" s="27" t="str">
        <x:f>IF(COUNT(C39:J39)&lt;8,"",SUMPRODUCT(C39:J39,'12_Scoring_Criteria'!$C$5:$C$12)*10)</x:f>
      </x:c>
      <x:c r="L39" s="27" t="str">
        <x:f>IF(K39="","",IF(K39&gt;=80,"A",IF(K39&gt;=65,"B",IF(K39&gt;=50,"C",IF(K39&gt;=35,"D","E")))))</x:f>
      </x:c>
      <x:c r="M39" s="27"/>
      <x:c r="N39" s="27"/>
      <x:c r="O39" s="27"/>
      <x:c r="P39" s="21" t="str"/>
      <x:c r="Q39" s="21" t="str"/>
      <x:c r="R39" s="25"/>
      <x:c r="S39" s="21" t="str"/>
    </x:row>
    <x:row r="40">
      <x:c r="A40" s="21" t="str">
        <x:v>KB039</x:v>
      </x:c>
      <x:c r="B40" s="21" t="str">
        <x:v>MISSHA</x:v>
      </x:c>
      <x:c r="C40" s="27"/>
      <x:c r="D40" s="27"/>
      <x:c r="E40" s="27"/>
      <x:c r="F40" s="27"/>
      <x:c r="G40" s="27"/>
      <x:c r="H40" s="27"/>
      <x:c r="I40" s="27"/>
      <x:c r="J40" s="27"/>
      <x:c r="K40" s="27" t="str">
        <x:f>IF(COUNT(C40:J40)&lt;8,"",SUMPRODUCT(C40:J40,'12_Scoring_Criteria'!$C$5:$C$12)*10)</x:f>
      </x:c>
      <x:c r="L40" s="27" t="str">
        <x:f>IF(K40="","",IF(K40&gt;=80,"A",IF(K40&gt;=65,"B",IF(K40&gt;=50,"C",IF(K40&gt;=35,"D","E")))))</x:f>
      </x:c>
      <x:c r="M40" s="27"/>
      <x:c r="N40" s="27"/>
      <x:c r="O40" s="27"/>
      <x:c r="P40" s="21" t="str"/>
      <x:c r="Q40" s="21" t="str"/>
      <x:c r="R40" s="25"/>
      <x:c r="S40" s="21" t="str"/>
    </x:row>
    <x:row r="41">
      <x:c r="A41" s="21" t="str">
        <x:v>KB040</x:v>
      </x:c>
      <x:c r="B41" s="21" t="str">
        <x:v>The Face Shop</x:v>
      </x:c>
      <x:c r="C41" s="27"/>
      <x:c r="D41" s="27"/>
      <x:c r="E41" s="27"/>
      <x:c r="F41" s="27"/>
      <x:c r="G41" s="27"/>
      <x:c r="H41" s="27"/>
      <x:c r="I41" s="27"/>
      <x:c r="J41" s="27"/>
      <x:c r="K41" s="27" t="str">
        <x:f>IF(COUNT(C41:J41)&lt;8,"",SUMPRODUCT(C41:J41,'12_Scoring_Criteria'!$C$5:$C$12)*10)</x:f>
      </x:c>
      <x:c r="L41" s="27" t="str">
        <x:f>IF(K41="","",IF(K41&gt;=80,"A",IF(K41&gt;=65,"B",IF(K41&gt;=50,"C",IF(K41&gt;=35,"D","E")))))</x:f>
      </x:c>
      <x:c r="M41" s="27"/>
      <x:c r="N41" s="27"/>
      <x:c r="O41" s="27"/>
      <x:c r="P41" s="21" t="str"/>
      <x:c r="Q41" s="21" t="str"/>
      <x:c r="R41" s="25"/>
      <x:c r="S41" s="21" t="str"/>
    </x:row>
    <x:row r="42">
      <x:c r="A42" s="21" t="str">
        <x:v>KB041</x:v>
      </x:c>
      <x:c r="B42" s="21" t="str">
        <x:v>fwee</x:v>
      </x:c>
      <x:c r="C42" s="27"/>
      <x:c r="D42" s="27"/>
      <x:c r="E42" s="27"/>
      <x:c r="F42" s="27"/>
      <x:c r="G42" s="27"/>
      <x:c r="H42" s="27"/>
      <x:c r="I42" s="27"/>
      <x:c r="J42" s="27"/>
      <x:c r="K42" s="27" t="str">
        <x:f>IF(COUNT(C42:J42)&lt;8,"",SUMPRODUCT(C42:J42,'12_Scoring_Criteria'!$C$5:$C$12)*10)</x:f>
      </x:c>
      <x:c r="L42" s="27" t="str">
        <x:f>IF(K42="","",IF(K42&gt;=80,"A",IF(K42&gt;=65,"B",IF(K42&gt;=50,"C",IF(K42&gt;=35,"D","E")))))</x:f>
      </x:c>
      <x:c r="M42" s="27"/>
      <x:c r="N42" s="27"/>
      <x:c r="O42" s="27"/>
      <x:c r="P42" s="21" t="str"/>
      <x:c r="Q42" s="21" t="str"/>
      <x:c r="R42" s="25"/>
      <x:c r="S42" s="21" t="str"/>
    </x:row>
    <x:row r="43">
      <x:c r="A43" s="21" t="str">
        <x:v>KB042</x:v>
      </x:c>
      <x:c r="B43" s="21" t="str">
        <x:v>Jung Saem mool</x:v>
      </x:c>
      <x:c r="C43" s="27"/>
      <x:c r="D43" s="27"/>
      <x:c r="E43" s="27"/>
      <x:c r="F43" s="27"/>
      <x:c r="G43" s="27"/>
      <x:c r="H43" s="27"/>
      <x:c r="I43" s="27"/>
      <x:c r="J43" s="27"/>
      <x:c r="K43" s="27" t="str">
        <x:f>IF(COUNT(C43:J43)&lt;8,"",SUMPRODUCT(C43:J43,'12_Scoring_Criteria'!$C$5:$C$12)*10)</x:f>
      </x:c>
      <x:c r="L43" s="27" t="str">
        <x:f>IF(K43="","",IF(K43&gt;=80,"A",IF(K43&gt;=65,"B",IF(K43&gt;=50,"C",IF(K43&gt;=35,"D","E")))))</x:f>
      </x:c>
      <x:c r="M43" s="27"/>
      <x:c r="N43" s="27"/>
      <x:c r="O43" s="27"/>
      <x:c r="P43" s="21" t="str"/>
      <x:c r="Q43" s="21" t="str"/>
      <x:c r="R43" s="25"/>
      <x:c r="S43" s="21" t="str"/>
    </x:row>
    <x:row r="44">
      <x:c r="A44" s="21" t="str">
        <x:v>KB043</x:v>
      </x:c>
      <x:c r="B44" s="21" t="str">
        <x:v>Medicube</x:v>
      </x:c>
      <x:c r="C44" s="27"/>
      <x:c r="D44" s="27"/>
      <x:c r="E44" s="27"/>
      <x:c r="F44" s="27"/>
      <x:c r="G44" s="27"/>
      <x:c r="H44" s="27"/>
      <x:c r="I44" s="27"/>
      <x:c r="J44" s="27"/>
      <x:c r="K44" s="27" t="str">
        <x:f>IF(COUNT(C44:J44)&lt;8,"",SUMPRODUCT(C44:J44,'12_Scoring_Criteria'!$C$5:$C$12)*10)</x:f>
      </x:c>
      <x:c r="L44" s="27" t="str">
        <x:f>IF(K44="","",IF(K44&gt;=80,"A",IF(K44&gt;=65,"B",IF(K44&gt;=50,"C",IF(K44&gt;=35,"D","E")))))</x:f>
      </x:c>
      <x:c r="M44" s="27"/>
      <x:c r="N44" s="27"/>
      <x:c r="O44" s="27"/>
      <x:c r="P44" s="21" t="str"/>
      <x:c r="Q44" s="21" t="str"/>
      <x:c r="R44" s="25"/>
      <x:c r="S44" s="21" t="str"/>
    </x:row>
    <x:row r="45">
      <x:c r="A45" s="21" t="str">
        <x:v>KB044</x:v>
      </x:c>
      <x:c r="B45" s="21" t="str">
        <x:v>Biodance</x:v>
      </x:c>
      <x:c r="C45" s="27"/>
      <x:c r="D45" s="27"/>
      <x:c r="E45" s="27"/>
      <x:c r="F45" s="27"/>
      <x:c r="G45" s="27"/>
      <x:c r="H45" s="27"/>
      <x:c r="I45" s="27"/>
      <x:c r="J45" s="27"/>
      <x:c r="K45" s="27" t="str">
        <x:f>IF(COUNT(C45:J45)&lt;8,"",SUMPRODUCT(C45:J45,'12_Scoring_Criteria'!$C$5:$C$12)*10)</x:f>
      </x:c>
      <x:c r="L45" s="27" t="str">
        <x:f>IF(K45="","",IF(K45&gt;=80,"A",IF(K45&gt;=65,"B",IF(K45&gt;=50,"C",IF(K45&gt;=35,"D","E")))))</x:f>
      </x:c>
      <x:c r="M45" s="27"/>
      <x:c r="N45" s="27"/>
      <x:c r="O45" s="27"/>
      <x:c r="P45" s="21" t="str"/>
      <x:c r="Q45" s="21" t="str"/>
      <x:c r="R45" s="25"/>
      <x:c r="S45" s="21" t="str"/>
    </x:row>
    <x:row r="46">
      <x:c r="A46" s="21" t="str">
        <x:v>KB045</x:v>
      </x:c>
      <x:c r="B46" s="21" t="str">
        <x:v>FULLY</x:v>
      </x:c>
      <x:c r="C46" s="27"/>
      <x:c r="D46" s="27"/>
      <x:c r="E46" s="27"/>
      <x:c r="F46" s="27"/>
      <x:c r="G46" s="27"/>
      <x:c r="H46" s="27"/>
      <x:c r="I46" s="27"/>
      <x:c r="J46" s="27"/>
      <x:c r="K46" s="27" t="str">
        <x:f>IF(COUNT(C46:J46)&lt;8,"",SUMPRODUCT(C46:J46,'12_Scoring_Criteria'!$C$5:$C$12)*10)</x:f>
      </x:c>
      <x:c r="L46" s="27" t="str">
        <x:f>IF(K46="","",IF(K46&gt;=80,"A",IF(K46&gt;=65,"B",IF(K46&gt;=50,"C",IF(K46&gt;=35,"D","E")))))</x:f>
      </x:c>
      <x:c r="M46" s="27"/>
      <x:c r="N46" s="27"/>
      <x:c r="O46" s="27"/>
      <x:c r="P46" s="21" t="str"/>
      <x:c r="Q46" s="21" t="str"/>
      <x:c r="R46" s="25"/>
      <x:c r="S46" s="21" t="str"/>
    </x:row>
    <x:row r="47">
      <x:c r="A47" s="21" t="str">
        <x:v>KB046</x:v>
      </x:c>
      <x:c r="B47" s="21" t="str">
        <x:v>Laka</x:v>
      </x:c>
      <x:c r="C47" s="27"/>
      <x:c r="D47" s="27"/>
      <x:c r="E47" s="27"/>
      <x:c r="F47" s="27"/>
      <x:c r="G47" s="27"/>
      <x:c r="H47" s="27"/>
      <x:c r="I47" s="27"/>
      <x:c r="J47" s="27"/>
      <x:c r="K47" s="27" t="str">
        <x:f>IF(COUNT(C47:J47)&lt;8,"",SUMPRODUCT(C47:J47,'12_Scoring_Criteria'!$C$5:$C$12)*10)</x:f>
      </x:c>
      <x:c r="L47" s="27" t="str">
        <x:f>IF(K47="","",IF(K47&gt;=80,"A",IF(K47&gt;=65,"B",IF(K47&gt;=50,"C",IF(K47&gt;=35,"D","E")))))</x:f>
      </x:c>
      <x:c r="M47" s="27"/>
      <x:c r="N47" s="27"/>
      <x:c r="O47" s="27"/>
      <x:c r="P47" s="21" t="str"/>
      <x:c r="Q47" s="21" t="str"/>
      <x:c r="R47" s="25"/>
      <x:c r="S47" s="21" t="str"/>
    </x:row>
    <x:row r="48">
      <x:c r="A48" s="21" t="str">
        <x:v>KB047</x:v>
      </x:c>
      <x:c r="B48" s="21" t="str">
        <x:v>Arencia</x:v>
      </x:c>
      <x:c r="C48" s="27"/>
      <x:c r="D48" s="27"/>
      <x:c r="E48" s="27"/>
      <x:c r="F48" s="27"/>
      <x:c r="G48" s="27"/>
      <x:c r="H48" s="27"/>
      <x:c r="I48" s="27"/>
      <x:c r="J48" s="27"/>
      <x:c r="K48" s="27" t="str">
        <x:f>IF(COUNT(C48:J48)&lt;8,"",SUMPRODUCT(C48:J48,'12_Scoring_Criteria'!$C$5:$C$12)*10)</x:f>
      </x:c>
      <x:c r="L48" s="27" t="str">
        <x:f>IF(K48="","",IF(K48&gt;=80,"A",IF(K48&gt;=65,"B",IF(K48&gt;=50,"C",IF(K48&gt;=35,"D","E")))))</x:f>
      </x:c>
      <x:c r="M48" s="27"/>
      <x:c r="N48" s="27"/>
      <x:c r="O48" s="27"/>
      <x:c r="P48" s="21" t="str"/>
      <x:c r="Q48" s="21" t="str"/>
      <x:c r="R48" s="25"/>
      <x:c r="S48" s="21" t="str"/>
    </x:row>
    <x:row r="49">
      <x:c r="A49" s="21" t="str">
        <x:v>KB048</x:v>
      </x:c>
      <x:c r="B49" s="21" t="str">
        <x:v>Asteura</x:v>
      </x:c>
      <x:c r="C49" s="27"/>
      <x:c r="D49" s="27"/>
      <x:c r="E49" s="27"/>
      <x:c r="F49" s="27"/>
      <x:c r="G49" s="27"/>
      <x:c r="H49" s="27"/>
      <x:c r="I49" s="27"/>
      <x:c r="J49" s="27"/>
      <x:c r="K49" s="27" t="str">
        <x:f>IF(COUNT(C49:J49)&lt;8,"",SUMPRODUCT(C49:J49,'12_Scoring_Criteria'!$C$5:$C$12)*10)</x:f>
      </x:c>
      <x:c r="L49" s="27" t="str">
        <x:f>IF(K49="","",IF(K49&gt;=80,"A",IF(K49&gt;=65,"B",IF(K49&gt;=50,"C",IF(K49&gt;=35,"D","E")))))</x:f>
      </x:c>
      <x:c r="M49" s="27"/>
      <x:c r="N49" s="27"/>
      <x:c r="O49" s="27"/>
      <x:c r="P49" s="21" t="str"/>
      <x:c r="Q49" s="21" t="str"/>
      <x:c r="R49" s="25"/>
      <x:c r="S49" s="21" t="str"/>
    </x:row>
  </x:sheetData>
  <x:dataValidations count="3">
    <x:dataValidation type="list" sqref="P2:P49">
      <x:formula1>"High,Medium,Low"</x:formula1>
    </x:dataValidation>
    <x:dataValidation type="whole" operator="between" sqref="C2:J49">
      <x:formula1>0</x:formula1>
      <x:formula2>10</x:formula2>
    </x:dataValidation>
    <x:dataValidation type="whole" operator="between" sqref="M2:O49">
      <x:formula1>0</x:formula1>
      <x:formula2>10</x:formula2>
    </x:dataValidation>
  </x:dataValidations>
  <x:pageMargins left="0.7" right="0.7" top="0.75" bottom="0.75" header="0.3" footer="0.3"/>
  <x:legacyDrawing xmlns:r="http://schemas.openxmlformats.org/officeDocument/2006/relationships" r:id="Rb7b77999c6c2494c"/>
  <x:tableParts count="1">
    <x:tablePart xmlns:r="http://schemas.openxmlformats.org/officeDocument/2006/relationships" r:id="R9c0cd5101d1d4ff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1" hidden="0" customWidth="1"/>
    <x:col min="5" max="5" width="30" hidden="0" customWidth="1"/>
    <x:col min="6" max="6" width="18" hidden="0" customWidth="1"/>
    <x:col min="7" max="7" width="34" hidden="0" customWidth="1"/>
    <x:col min="8" max="8" width="34" hidden="0" customWidth="1"/>
    <x:col min="9" max="9" width="12" hidden="0" customWidth="1"/>
    <x:col min="10" max="10" width="15" hidden="0" customWidth="1"/>
    <x:col min="11" max="11" width="15" hidden="0" customWidth="1"/>
    <x:col min="12" max="12" width="15" hidden="0" customWidth="1"/>
    <x:col min="13" max="13" width="15" hidden="0" customWidth="1"/>
    <x:col min="14" max="14" width="26" hidden="0" customWidth="1"/>
    <x:col min="15" max="15" width="15" hidden="0" customWidth="1"/>
    <x:col min="16" max="16" width="15" hidden="0" customWidth="1"/>
    <x:col min="17" max="17" width="34" hidden="0" customWidth="1"/>
    <x:col min="18" max="18" width="34" hidden="0" customWidth="1"/>
    <x:col min="19" max="19" width="34" hidden="0" customWidth="1"/>
    <x:col min="20" max="20" width="34" hidden="0" customWidth="1"/>
    <x:col min="21" max="21" width="34" hidden="0" customWidth="1"/>
    <x:col min="22" max="22" width="15" hidden="0" customWidth="1"/>
    <x:col min="23" max="23" width="24" hidden="0" customWidth="1"/>
    <x:col min="24" max="24" width="24" hidden="0" customWidth="1"/>
    <x:col min="25" max="25" width="24" hidden="0" customWidth="1"/>
    <x:col min="26" max="26" width="24" hidden="0" customWidth="1"/>
  </x:cols>
  <x:sheetData>
    <x:row r="1">
      <x:c r="A1" s="14" t="str">
        <x:v>Product_ID</x:v>
      </x:c>
      <x:c r="B1" s="14" t="str">
        <x:v>Brand_ID</x:v>
      </x:c>
      <x:c r="C1" s="14" t="str">
        <x:v>Brand Name</x:v>
      </x:c>
      <x:c r="D1" s="14" t="str">
        <x:v>Hero Rank</x:v>
      </x:c>
      <x:c r="E1" s="14" t="str">
        <x:v>Product Name</x:v>
      </x:c>
      <x:c r="F1" s="14" t="str">
        <x:v>Category</x:v>
      </x:c>
      <x:c r="G1" s="14" t="str">
        <x:v>Function / USP</x:v>
      </x:c>
      <x:c r="H1" s="14" t="str">
        <x:v>Key Ingredients</x:v>
      </x:c>
      <x:c r="I1" s="14" t="str">
        <x:v>Size</x:v>
      </x:c>
      <x:c r="J1" s="14" t="str">
        <x:v>Korea Price</x:v>
      </x:c>
      <x:c r="K1" s="14" t="str">
        <x:v>U.S. List Price</x:v>
      </x:c>
      <x:c r="L1" s="14" t="str">
        <x:v>Current U.S. Price</x:v>
      </x:c>
      <x:c r="M1" s="14" t="str">
        <x:v>Unit Price</x:v>
      </x:c>
      <x:c r="N1" s="14" t="str">
        <x:v>Key Channels</x:v>
      </x:c>
      <x:c r="O1" s="14" t="str">
        <x:v>Amazon Review Count</x:v>
      </x:c>
      <x:c r="P1" s="14" t="str">
        <x:v>Rating</x:v>
      </x:c>
      <x:c r="Q1" s="14" t="str">
        <x:v>TikTok Sales / Engagement Signal</x:v>
      </x:c>
      <x:c r="R1" s="14" t="str">
        <x:v>Positive Factors</x:v>
      </x:c>
      <x:c r="S1" s="14" t="str">
        <x:v>Negative Factors</x:v>
      </x:c>
      <x:c r="T1" s="14" t="str">
        <x:v>Primary Competing Product</x:v>
      </x:c>
      <x:c r="U1" s="14" t="str">
        <x:v>Differentiation</x:v>
      </x:c>
      <x:c r="V1" s="14" t="str">
        <x:v>Sales Potential</x:v>
      </x:c>
      <x:c r="W1" s="14" t="str">
        <x:v>Image_ID</x:v>
      </x:c>
      <x:c r="X1" s="14" t="str">
        <x:v>Product URL</x:v>
      </x:c>
      <x:c r="Y1" s="14" t="str">
        <x:v>Research Date</x:v>
      </x:c>
      <x:c r="Z1" s="14" t="str">
        <x:v>Source_ID</x:v>
      </x:c>
    </x:row>
    <x:row r="2" ht="96" customHeight="1">
      <x:c r="A2" s="20" t="str">
        <x:v>COSRX-P001</x:v>
      </x:c>
      <x:c r="B2" s="20" t="str">
        <x:v>KB001</x:v>
      </x:c>
      <x:c r="C2" s="20" t="str">
        <x:v>COSRX</x:v>
      </x:c>
      <x:c r="D2" s="20" t="n">
        <x:v>1</x:v>
      </x:c>
      <x:c r="E2" s="20" t="str">
        <x:v>Advanced Snail 96 Mucin Power Essence</x:v>
      </x:c>
      <x:c r="F2" s="20" t="str">
        <x:v>Essence / Serum</x:v>
      </x:c>
      <x:c r="G2" s="20" t="str">
        <x:v>Hydrating essence and texture/glow hero; 96% snail secretion filtrate.</x:v>
      </x:c>
      <x:c r="H2" s="20" t="str">
        <x:v>Snail secretion filtrate 96%, betaine, sodium hyaluronate, allantoin, panthenol</x:v>
      </x:c>
      <x:c r="I2" s="20" t="str">
        <x:v>100 mL / 3.38 fl oz</x:v>
      </x:c>
      <x:c r="J2" s="49" t="n">
        <x:v>23000</x:v>
      </x:c>
      <x:c r="K2" s="51" t="n">
        <x:v>25</x:v>
      </x:c>
      <x:c r="L2" s="51" t="n">
        <x:v>18.5</x:v>
      </x:c>
      <x:c r="M2" s="51" t="n">
        <x:v>0.185</x:v>
      </x:c>
      <x:c r="N2" s="20" t="str">
        <x:v>Official DTC; Amazon; TikTok Shop; Ulta; Target; Walmart</x:v>
      </x:c>
      <x:c r="O2" s="32" t="str">
        <x:v>105,965</x:v>
      </x:c>
      <x:c r="P2" s="26" t="n">
        <x:v>4.6</x:v>
      </x:c>
      <x:c r="Q2" s="20" t="str">
        <x:v>TikTok Shop listing displayed 43.9K sold; Snail line remains the main brand-awareness engine.</x:v>
      </x:c>
      <x:c r="R2" s="20" t="str">
        <x:v>High hydration/glow recognition; very high review volume; strong value per mL; broad retail availability.</x:v>
      </x:c>
      <x:c r="S2" s="20" t="str">
        <x:v>Sticky texture for some; individualized breakout/no-effect reports; animal-derived ingredient; heavy discounting.</x:v>
      </x:c>
      <x:c r="T2" s="20" t="str">
        <x:v>Peach Slices Snail Rescue Blemish Busting Toner</x:v>
      </x:c>
      <x:c r="U2" s="20" t="str">
        <x:v>Higher snail-filtrate concentration and iconic category awareness; competitor offers lower entry price.</x:v>
      </x:c>
      <x:c r="V2" s="20" t="str">
        <x:v>Very High</x:v>
      </x:c>
      <x:c r="W2" s="20" t="str">
        <x:v>IMG-COSRX-002</x:v>
      </x:c>
      <x:c r="X2" s="20" t="str">
        <x:v>https://www.cosrx.com/products/advanced-snail-96-mucin-power-essence</x:v>
      </x:c>
      <x:c r="Y2" s="24" t="str">
        <x:v>2026-07-29</x:v>
      </x:c>
      <x:c r="Z2" s="20" t="str">
        <x:v>SRC-COSRX-013,SRC-COSRX-005,SRC-COSRX-023,SRC-COSRX-026,SRC-COSRX-050</x:v>
      </x:c>
    </x:row>
    <x:row r="3" ht="96" customHeight="1">
      <x:c r="A3" s="21" t="str">
        <x:v>COSRX-P002</x:v>
      </x:c>
      <x:c r="B3" s="21" t="str">
        <x:v>KB001</x:v>
      </x:c>
      <x:c r="C3" s="21" t="str">
        <x:v>COSRX</x:v>
      </x:c>
      <x:c r="D3" s="21" t="n">
        <x:v>2</x:v>
      </x:c>
      <x:c r="E3" s="21" t="str">
        <x:v>Acne Pimple Master Patch</x:v>
      </x:c>
      <x:c r="F3" s="21" t="str">
        <x:v>Spot Care / Hydrocolloid Patch</x:v>
      </x:c>
      <x:c r="G3" s="21" t="str">
        <x:v>Hydrocolloid spot patch designed to absorb exudate and protect blemishes.</x:v>
      </x:c>
      <x:c r="H3" s="21" t="str">
        <x:v>Hydrocolloid</x:v>
      </x:c>
      <x:c r="I3" s="21" t="str">
        <x:v>24 patches</x:v>
      </x:c>
      <x:c r="J3" s="50" t="n">
        <x:v>3500</x:v>
      </x:c>
      <x:c r="K3" s="52" t="n">
        <x:v>6</x:v>
      </x:c>
      <x:c r="L3" s="52" t="n">
        <x:v>6</x:v>
      </x:c>
      <x:c r="M3" s="52" t="n">
        <x:v>0.25</x:v>
      </x:c>
      <x:c r="N3" s="21" t="str">
        <x:v>Official DTC; Amazon (48-count listing); Ulta; authorized U.S. retailers</x:v>
      </x:c>
      <x:c r="O3" s="33" t="str">
        <x:v>63,102</x:v>
      </x:c>
      <x:c r="P3" s="27" t="n">
        <x:v>4.5</x:v>
      </x:c>
      <x:c r="Q3" s="21" t="str">
        <x:v>Amazon 48-count listing displayed Amazon's Choice and 4K+ bought in the past month.</x:v>
      </x:c>
      <x:c r="R3" s="21" t="str">
        <x:v>Low entry price; recognizable original patch; effective consumer use case for surface/whitehead lesions.</x:v>
      </x:c>
      <x:c r="S3" s="21" t="str">
        <x:v>24-count official SKU differs from sampled 48-count Amazon listing; thick/visible or adhesion complaints; acne/healing claims require review.</x:v>
      </x:c>
      <x:c r="T3" s="21" t="str">
        <x:v>Hero Cosmetics Mighty Patch Original 36 ct</x:v>
      </x:c>
      <x:c r="U3" s="21" t="str">
        <x:v>Lower list price per pack and strong K-Beauty provenance; Hero has larger mainstream review base and medical-grade positioning.</x:v>
      </x:c>
      <x:c r="V3" s="21" t="str">
        <x:v>High</x:v>
      </x:c>
      <x:c r="W3" s="21" t="str">
        <x:v>IMG-COSRX-003</x:v>
      </x:c>
      <x:c r="X3" s="21" t="str">
        <x:v>https://www.cosrx.com/products/acne-pimple-master-patch</x:v>
      </x:c>
      <x:c r="Y3" s="25" t="str">
        <x:v>2026-07-29</x:v>
      </x:c>
      <x:c r="Z3" s="21" t="str">
        <x:v>SRC-COSRX-014,SRC-COSRX-007,SRC-COSRX-019,SRC-COSRX-027,SRC-COSRX-039,SRC-COSRX-051</x:v>
      </x:c>
    </x:row>
    <x:row r="4" ht="96" customHeight="1">
      <x:c r="A4" s="21" t="str">
        <x:v>COSRX-P003</x:v>
      </x:c>
      <x:c r="B4" s="21" t="str">
        <x:v>KB001</x:v>
      </x:c>
      <x:c r="C4" s="21" t="str">
        <x:v>COSRX</x:v>
      </x:c>
      <x:c r="D4" s="21" t="n">
        <x:v>3</x:v>
      </x:c>
      <x:c r="E4" s="21" t="str">
        <x:v>Low pH Good Morning Gel Cleanser</x:v>
      </x:c>
      <x:c r="F4" s="21" t="str">
        <x:v>Facial Cleanser</x:v>
      </x:c>
      <x:c r="G4" s="21" t="str">
        <x:v>Low-pH daily gel cleanser; official page reports pH 5.31 ± 1.</x:v>
      </x:c>
      <x:c r="H4" s="21" t="str">
        <x:v>Betaine salicylate, tea tree leaf oil; surfactant cleansing base</x:v>
      </x:c>
      <x:c r="I4" s="21" t="str">
        <x:v>150 mL / 5.07 fl oz</x:v>
      </x:c>
      <x:c r="J4" s="50" t="n">
        <x:v>9900</x:v>
      </x:c>
      <x:c r="K4" s="52" t="n">
        <x:v>14</x:v>
      </x:c>
      <x:c r="L4" s="52" t="n">
        <x:v>11.9</x:v>
      </x:c>
      <x:c r="M4" s="52" t="n">
        <x:v>0.0793</x:v>
      </x:c>
      <x:c r="N4" s="21" t="str">
        <x:v>Official DTC; Amazon; TikTok Shop; Ulta; authorized U.S. retailers</x:v>
      </x:c>
      <x:c r="O4" s="33" t="str">
        <x:v>21,110</x:v>
      </x:c>
      <x:c r="P4" s="27" t="n">
        <x:v>4.5</x:v>
      </x:c>
      <x:c r="Q4" s="21" t="str">
        <x:v>Amazon displayed 10K+ bought in the past month; TikTok Shop displayed 23.2K sold.</x:v>
      </x:c>
      <x:c r="R4" s="21" t="str">
        <x:v>Affordable, established, low-pH positioning; strong Amazon review depth.</x:v>
      </x:c>
      <x:c r="S4" s="21" t="str">
        <x:v>Tea-tree/chemical scent and dryness/stripping reports; may not fully remove makeup; TikTok discounting compresses price.</x:v>
      </x:c>
      <x:c r="T4" s="21" t="str">
        <x:v>CeraVe Foaming Facial Cleanser 12 oz</x:v>
      </x:c>
      <x:c r="U4" s="21" t="str">
        <x:v>Smaller, travel-friendly price point and K-Beauty routine fit; CeraVe has greater mass-market scale and lower unit cost.</x:v>
      </x:c>
      <x:c r="V4" s="21" t="str">
        <x:v>High</x:v>
      </x:c>
      <x:c r="W4" s="21" t="str">
        <x:v>IMG-COSRX-004</x:v>
      </x:c>
      <x:c r="X4" s="21" t="str">
        <x:v>https://www.cosrx.com/products/low-ph-good-morning-gel-cleanser/1000</x:v>
      </x:c>
      <x:c r="Y4" s="25" t="str">
        <x:v>2026-07-29</x:v>
      </x:c>
      <x:c r="Z4" s="21" t="str">
        <x:v>SRC-COSRX-015,SRC-COSRX-018,SRC-COSRX-024,SRC-COSRX-028,SRC-COSRX-040,SRC-COSRX-052</x:v>
      </x:c>
    </x:row>
    <x:row r="5" ht="96" customHeight="1">
      <x:c r="A5" s="21" t="str">
        <x:v>COSRX-P004</x:v>
      </x:c>
      <x:c r="B5" s="21" t="str">
        <x:v>KB001</x:v>
      </x:c>
      <x:c r="C5" s="21" t="str">
        <x:v>COSRX</x:v>
      </x:c>
      <x:c r="D5" s="21" t="n">
        <x:v>4</x:v>
      </x:c>
      <x:c r="E5" s="21" t="str">
        <x:v>The 6 Peptide Skin Booster Serum</x:v>
      </x:c>
      <x:c r="F5" s="21" t="str">
        <x:v>Booster / Serum</x:v>
      </x:c>
      <x:c r="G5" s="21" t="str">
        <x:v>First-step multi-peptide booster for hydration, radiance and elasticity appearance.</x:v>
      </x:c>
      <x:c r="H5" s="21" t="str">
        <x:v>Six peptides, niacinamide, N-acetyl glucosamine, hyaluronic acid</x:v>
      </x:c>
      <x:c r="I5" s="21" t="str">
        <x:v>150 mL / 5.07 fl oz</x:v>
      </x:c>
      <x:c r="J5" s="50" t="n">
        <x:v>23000</x:v>
      </x:c>
      <x:c r="K5" s="52" t="n">
        <x:v>25</x:v>
      </x:c>
      <x:c r="L5" s="52" t="n">
        <x:v>21</x:v>
      </x:c>
      <x:c r="M5" s="52" t="n">
        <x:v>0.14</x:v>
      </x:c>
      <x:c r="N5" s="21" t="str">
        <x:v>Official DTC; Amazon; TikTok Shop; Ulta; authorized U.S. retailers</x:v>
      </x:c>
      <x:c r="O5" s="33" t="str">
        <x:v>12,363</x:v>
      </x:c>
      <x:c r="P5" s="27" t="n">
        <x:v>4.6</x:v>
      </x:c>
      <x:c r="Q5" s="21" t="str">
        <x:v>TikTok Shop displayed 52.0K sold; TikTok campaign case study reported cross-platform lift and rapid sellouts during the activation.</x:v>
      </x:c>
      <x:c r="R5" s="21" t="str">
        <x:v>Large 150 mL format; lightweight layering; strong current social and retail review momentum.</x:v>
      </x:c>
      <x:c r="S5" s="21" t="str">
        <x:v>Some breakout/limited-effect reports; does not replace moisturizer; channel price inconsistency ($21 Amazon, $25 official list, $30 TikTok listing observed).</x:v>
      </x:c>
      <x:c r="T5" s="21" t="str">
        <x:v>The Ordinary Multi-Peptide + HA Serum 30 mL</x:v>
      </x:c>
      <x:c r="U5" s="21" t="str">
        <x:v>Five-times larger format and first-step booster positioning; The Ordinary has lower absolute price and more concentrated treatment framing.</x:v>
      </x:c>
      <x:c r="V5" s="21" t="str">
        <x:v>Very High</x:v>
      </x:c>
      <x:c r="W5" s="21" t="str">
        <x:v>IMG-COSRX-005</x:v>
      </x:c>
      <x:c r="X5" s="21" t="str">
        <x:v>https://www.cosrx.com/products/the-6-peptide-skin-booster-serum</x:v>
      </x:c>
      <x:c r="Y5" s="25" t="str">
        <x:v>2026-07-29</x:v>
      </x:c>
      <x:c r="Z5" s="21" t="str">
        <x:v>SRC-COSRX-016,SRC-COSRX-020,SRC-COSRX-023,SRC-COSRX-025,SRC-COSRX-029,SRC-COSRX-041,SRC-COSRX-053</x:v>
      </x:c>
    </x:row>
    <x:row r="6" ht="96" customHeight="1">
      <x:c r="A6" s="21" t="str">
        <x:v>COSRX-P005</x:v>
      </x:c>
      <x:c r="B6" s="21" t="str">
        <x:v>KB001</x:v>
      </x:c>
      <x:c r="C6" s="21" t="str">
        <x:v>COSRX</x:v>
      </x:c>
      <x:c r="D6" s="21" t="n">
        <x:v>5</x:v>
      </x:c>
      <x:c r="E6" s="21" t="str">
        <x:v>Advanced Snail 92 All In One Cream</x:v>
      </x:c>
      <x:c r="F6" s="21" t="str">
        <x:v>Face Moisturizer</x:v>
      </x:c>
      <x:c r="G6" s="21" t="str">
        <x:v>Snail-mucin moisturizer for hydration, soothing and barrier-support positioning.</x:v>
      </x:c>
      <x:c r="H6" s="21" t="str">
        <x:v>Snail secretion filtrate 92%, betaine, sodium hyaluronate, panthenol, allantoin, adenosine</x:v>
      </x:c>
      <x:c r="I6" s="21" t="str">
        <x:v>100 g / 3.52 oz</x:v>
      </x:c>
      <x:c r="J6" s="50" t="n">
        <x:v>23000</x:v>
      </x:c>
      <x:c r="K6" s="52" t="n">
        <x:v>26</x:v>
      </x:c>
      <x:c r="L6" s="52" t="n">
        <x:v>19.99</x:v>
      </x:c>
      <x:c r="M6" s="52" t="n">
        <x:v>0.1999</x:v>
      </x:c>
      <x:c r="N6" s="21" t="str">
        <x:v>Official DTC; Amazon; TikTok Shop; Ulta; authorized U.S. retailers</x:v>
      </x:c>
      <x:c r="O6" s="33" t="str">
        <x:v>61,571</x:v>
      </x:c>
      <x:c r="P6" s="27" t="n">
        <x:v>4.5</x:v>
      </x:c>
      <x:c r="Q6" s="21" t="str">
        <x:v>Amazon displayed 10K+ bought in the past month; TikTok Shop displayed 24.6K sold.</x:v>
      </x:c>
      <x:c r="R6" s="21" t="str">
        <x:v>Large review base; strong cross-sell with Snail Essence; accessible price per gram.</x:v>
      </x:c>
      <x:c r="S6" s="21" t="str">
        <x:v>Slimy/goopy texture for some; tightness, dryness or breakout reports; heavy marketplace discounting.</x:v>
      </x:c>
      <x:c r="T6" s="21" t="str">
        <x:v>Peach Slices Snail Rescue All-In-One Deep Moisture Cream 80 g</x:v>
      </x:c>
      <x:c r="U6" s="21" t="str">
        <x:v>Higher snail-filtrate concentration and much larger awareness base; Peach Slices is cheaper and U.S.-native retail friendly.</x:v>
      </x:c>
      <x:c r="V6" s="21" t="str">
        <x:v>Very High</x:v>
      </x:c>
      <x:c r="W6" s="21" t="str">
        <x:v>IMG-COSRX-006</x:v>
      </x:c>
      <x:c r="X6" s="21" t="str">
        <x:v>https://www.cosrx.com/products/advanced-snail-92-all-in-one-cream</x:v>
      </x:c>
      <x:c r="Y6" s="25" t="str">
        <x:v>2026-07-29</x:v>
      </x:c>
      <x:c r="Z6" s="21" t="str">
        <x:v>SRC-COSRX-017,SRC-COSRX-021,SRC-COSRX-023,SRC-COSRX-030,SRC-COSRX-042,SRC-COSRX-050</x:v>
      </x:c>
    </x:row>
    <x:row r="7" ht="102" customHeight="1">
      <x:c r="A7" s="21" t="str">
        <x:v>BOJ-P001</x:v>
      </x:c>
      <x:c r="B7" s="21" t="str">
        <x:v>KB002</x:v>
      </x:c>
      <x:c r="C7" s="21" t="str">
        <x:v>Beauty of Joseon</x:v>
      </x:c>
      <x:c r="D7" s="21" t="n">
        <x:v>1</x:v>
      </x:c>
      <x:c r="E7" s="21" t="str">
        <x:v>Daily Relief Sunscreen SPF 40</x:v>
      </x:c>
      <x:c r="F7" s="21" t="str">
        <x:v>U.S. OTC Sunscreen</x:v>
      </x:c>
      <x:c r="G7" s="21" t="str">
        <x:v>U.S.-specific broad-spectrum sunscreen with lightweight, moisturizing rice-extract positioning and zero-white-cast claim.</x:v>
      </x:c>
      <x:c r="H7" s="21" t="str">
        <x:v>Avobenzone 2.7%, homosalate 9%, octisalate 4.5%, octocrylene 5%; rice extract</x:v>
      </x:c>
      <x:c r="I7" s="21" t="str">
        <x:v>50 mL / 1.69 fl oz</x:v>
      </x:c>
      <x:c r="J7" s="50"/>
      <x:c r="K7" s="52" t="n">
        <x:v>18</x:v>
      </x:c>
      <x:c r="L7" s="52" t="n">
        <x:v>14.4</x:v>
      </x:c>
      <x:c r="M7" s="52" t="n">
        <x:v>0.288</x:v>
      </x:c>
      <x:c r="N7" s="21" t="str">
        <x:v>Official DTC; official Amazon U.S. sunscreen policy references this SKU; other authorized U.S. retailers</x:v>
      </x:c>
      <x:c r="O7" s="33" t="str">
        <x:v>Not located in current official Amazon search</x:v>
      </x:c>
      <x:c r="P7" s="27" t="n">
        <x:v>4.7</x:v>
      </x:c>
      <x:c r="Q7" s="21" t="str">
        <x:v>Official DTC displayed 487 reviews and 92% recommendation; current public TikTok Shop exact-SKU sold count was not independently confirmed.</x:v>
      </x:c>
      <x:c r="R7" s="21" t="str">
        <x:v>Iconic Relief Sun halo; U.S.-specific active ingredients and labeling path; lightweight/no-white-cast positioning; accessible $18 list price.</x:v>
      </x:c>
      <x:c r="S7" s="21" t="str">
        <x:v>Official DTC was sold out; exact current official Amazon listing was not located; sunscreen OTC-drug file and market-specific SKU controls are mandatory; strong price competition.</x:v>
      </x:c>
      <x:c r="T7" s="21" t="str">
        <x:v>e.l.f. Suntouchable Invisible Sunscreen SPF 35</x:v>
      </x:c>
      <x:c r="U7" s="21" t="str">
        <x:v>Hanbang/rice skincare story and K-Beauty halo; e.l.f. has lower $15 list price, broader mass availability and far larger Ulta review volume.</x:v>
      </x:c>
      <x:c r="V7" s="21" t="str">
        <x:v>Medium-High</x:v>
      </x:c>
      <x:c r="W7" s="21" t="str">
        <x:v>IMG-BOJ-002</x:v>
      </x:c>
      <x:c r="X7" s="21" t="str">
        <x:v>https://beautyofjoseon.com/products/daily-relief-sunscreen</x:v>
      </x:c>
      <x:c r="Y7" s="25" t="str">
        <x:v>2026-07-29</x:v>
      </x:c>
      <x:c r="Z7" s="21" t="str">
        <x:v>SRC-BOJ-007,SRC-BOJ-013,SRC-BOJ-014,SRC-BOJ-032,SRC-BOJ-038,SRC-BOJ-039</x:v>
      </x:c>
    </x:row>
    <x:row r="8" ht="102" customHeight="1">
      <x:c r="A8" s="21" t="str">
        <x:v>BOJ-P002</x:v>
      </x:c>
      <x:c r="B8" s="21" t="str">
        <x:v>KB002</x:v>
      </x:c>
      <x:c r="C8" s="21" t="str">
        <x:v>Beauty of Joseon</x:v>
      </x:c>
      <x:c r="D8" s="21" t="n">
        <x:v>2</x:v>
      </x:c>
      <x:c r="E8" s="21" t="str">
        <x:v>Revive Eye Serum: Ginseng + Retinal</x:v>
      </x:c>
      <x:c r="F8" s="21" t="str">
        <x:v>Eye Serum / Retinal Treatment</x:v>
      </x:c>
      <x:c r="G8" s="21" t="str">
        <x:v>Lightweight eye serum for the appearance of wrinkles, firmness, brightness and hydration; current strongest verified Amazon hero.</x:v>
      </x:c>
      <x:c r="H8" s="21" t="str">
        <x:v>Ginseng root extract, retinal liposome, niacinamide, ceramide NP, hyaluronic acid</x:v>
      </x:c>
      <x:c r="I8" s="21" t="str">
        <x:v>30 mL / 1.01 fl oz</x:v>
      </x:c>
      <x:c r="J8" s="50" t="n">
        <x:v>17000</x:v>
      </x:c>
      <x:c r="K8" s="52" t="n">
        <x:v>17</x:v>
      </x:c>
      <x:c r="L8" s="52" t="n">
        <x:v>17</x:v>
      </x:c>
      <x:c r="M8" s="52" t="n">
        <x:v>0.5667</x:v>
      </x:c>
      <x:c r="N8" s="21" t="str">
        <x:v>Official DTC; Amazon U.S.; TikTok Shop; Sephora; authorized U.S. retailers</x:v>
      </x:c>
      <x:c r="O8" s="33" t="str">
        <x:v>20,037</x:v>
      </x:c>
      <x:c r="P8" s="27" t="n">
        <x:v>4.3</x:v>
      </x:c>
      <x:c r="Q8" s="21" t="str">
        <x:v>Official TikTok Shop carries the serum and the related Revive Under Eye Patch displayed 8.2K sold; social interest is strong.</x:v>
      </x:c>
      <x:c r="R8" s="21" t="str">
        <x:v>50K+ bought/month on Amazon; #2 Eye Treatment Serums; affordable versus prestige retinol eye care; high repeat/value signal.</x:v>
      </x:c>
      <x:c r="S8" s="21" t="str">
        <x:v>Retinal can sting, peel, dry or swell sensitive eye areas; gradual introduction and U.S.-compliant cosmetic claims are important.</x:v>
      </x:c>
      <x:c r="T8" s="21" t="str">
        <x:v>RoC Retinol Line Smoothing Eye Cream</x:v>
      </x:c>
      <x:c r="U8" s="21" t="str">
        <x:v>Larger 30 mL format and $17 price; RoC has established retinol equity and broader drugstore recognition but costs $29.99 for 0.5 oz.</x:v>
      </x:c>
      <x:c r="V8" s="21" t="str">
        <x:v>Very High</x:v>
      </x:c>
      <x:c r="W8" s="21" t="str">
        <x:v>IMG-BOJ-003</x:v>
      </x:c>
      <x:c r="X8" s="21" t="str">
        <x:v>https://beautyofjoseon.com/products/revive-eye-serum-ginseng-retinal</x:v>
      </x:c>
      <x:c r="Y8" s="25" t="str">
        <x:v>2026-07-29</x:v>
      </x:c>
      <x:c r="Z8" s="21" t="str">
        <x:v>SRC-BOJ-009,SRC-BOJ-015,SRC-BOJ-020,SRC-BOJ-026,SRC-BOJ-033</x:v>
      </x:c>
    </x:row>
    <x:row r="9" ht="102" customHeight="1">
      <x:c r="A9" s="21" t="str">
        <x:v>BOJ-P003</x:v>
      </x:c>
      <x:c r="B9" s="21" t="str">
        <x:v>KB002</x:v>
      </x:c>
      <x:c r="C9" s="21" t="str">
        <x:v>Beauty of Joseon</x:v>
      </x:c>
      <x:c r="D9" s="21" t="n">
        <x:v>3</x:v>
      </x:c>
      <x:c r="E9" s="21" t="str">
        <x:v>Glow Serum: Propolis + Niacinamide</x:v>
      </x:c>
      <x:c r="F9" s="21" t="str">
        <x:v>Facial Serum</x:v>
      </x:c>
      <x:c r="G9" s="21" t="str">
        <x:v>Hydrating and balancing glow serum with 60% propolis extract, 2% niacinamide and BHA.</x:v>
      </x:c>
      <x:c r="H9" s="21" t="str">
        <x:v>Propolis extract 60%, niacinamide 2%, betaine salicylate, sodium hyaluronate</x:v>
      </x:c>
      <x:c r="I9" s="21" t="str">
        <x:v>30 mL / 1.01 fl oz</x:v>
      </x:c>
      <x:c r="J9" s="50" t="n">
        <x:v>17000</x:v>
      </x:c>
      <x:c r="K9" s="52" t="n">
        <x:v>17</x:v>
      </x:c>
      <x:c r="L9" s="52" t="n">
        <x:v>14.5</x:v>
      </x:c>
      <x:c r="M9" s="52" t="n">
        <x:v>0.4833</x:v>
      </x:c>
      <x:c r="N9" s="21" t="str">
        <x:v>Official DTC; Amazon U.S.; TikTok Shop; authorized U.S. retailers</x:v>
      </x:c>
      <x:c r="O9" s="33" t="str">
        <x:v>1,571</x:v>
      </x:c>
      <x:c r="P9" s="27" t="n">
        <x:v>4.6</x:v>
      </x:c>
      <x:c r="Q9" s="21" t="str">
        <x:v>TikTok Shop assortment validates strong serum demand, though an exact current Glow Serum sold count was not independently captured.</x:v>
      </x:c>
      <x:c r="R9" s="21" t="str">
        <x:v>6K+ bought/month on Amazon; strong soothing/glow story; accessible list price; official DTC displayed 1,842 aggregate product reviews.</x:v>
      </x:c>
      <x:c r="S9" s="21" t="str">
        <x:v>Propolis is animal-derived and may not fit vegan programs; some consumers report stickiness or dryness; 50% DTC promotion creates price compression.</x:v>
      </x:c>
      <x:c r="T9" s="21" t="str">
        <x:v>Anua Niacinamide 10 + TXA 4 Serum</x:v>
      </x:c>
      <x:c r="U9" s="21" t="str">
        <x:v>Gentler 2% niacinamide/propolis soothing story and lower $17 list price; Anua offers stronger dark-spot actives and much higher current Amazon velocity.</x:v>
      </x:c>
      <x:c r="V9" s="21" t="str">
        <x:v>High</x:v>
      </x:c>
      <x:c r="W9" s="21" t="str">
        <x:v>IMG-BOJ-004</x:v>
      </x:c>
      <x:c r="X9" s="21" t="str">
        <x:v>https://beautyofjoseon.com/products/glow-serum-propolis-niacinamide</x:v>
      </x:c>
      <x:c r="Y9" s="25" t="str">
        <x:v>2026-07-29</x:v>
      </x:c>
      <x:c r="Z9" s="21" t="str">
        <x:v>SRC-BOJ-010,SRC-BOJ-016,SRC-BOJ-024,SRC-BOJ-030,SRC-BOJ-034</x:v>
      </x:c>
    </x:row>
    <x:row r="10" ht="102" customHeight="1">
      <x:c r="A10" s="21" t="str">
        <x:v>BOJ-P004</x:v>
      </x:c>
      <x:c r="B10" s="21" t="str">
        <x:v>KB002</x:v>
      </x:c>
      <x:c r="C10" s="21" t="str">
        <x:v>Beauty of Joseon</x:v>
      </x:c>
      <x:c r="D10" s="21" t="n">
        <x:v>4</x:v>
      </x:c>
      <x:c r="E10" s="21" t="str">
        <x:v>Dynasty Cream</x:v>
      </x:c>
      <x:c r="F10" s="21" t="str">
        <x:v>Face Moisturizer</x:v>
      </x:c>
      <x:c r="G10" s="21" t="str">
        <x:v>First-ever Beauty of Joseon launch; nourishing rice/ginseng/squalane/niacinamide cream for hydration and dewy glow.</x:v>
      </x:c>
      <x:c r="H10" s="21" t="str">
        <x:v>Rice bran water, ginseng root water, squalane, niacinamide, honey extract, ceramide NP</x:v>
      </x:c>
      <x:c r="I10" s="21" t="str">
        <x:v>50 mL / 1.69 fl oz</x:v>
      </x:c>
      <x:c r="J10" s="50" t="n">
        <x:v>24000</x:v>
      </x:c>
      <x:c r="K10" s="52" t="n">
        <x:v>24</x:v>
      </x:c>
      <x:c r="L10" s="52" t="n">
        <x:v>24</x:v>
      </x:c>
      <x:c r="M10" s="52" t="n">
        <x:v>0.48</x:v>
      </x:c>
      <x:c r="N10" s="21" t="str">
        <x:v>Official DTC; Amazon U.S.; Sephora; TikTok Shop; authorized U.S. retailers</x:v>
      </x:c>
      <x:c r="O10" s="33" t="str">
        <x:v>7,719</x:v>
      </x:c>
      <x:c r="P10" s="27" t="n">
        <x:v>4.5</x:v>
      </x:c>
      <x:c r="Q10" s="21" t="str">
        <x:v>Featured in official TikTok Shop routines and sets; exact current single-SKU sold count was not independently captured.</x:v>
      </x:c>
      <x:c r="R10" s="21" t="str">
        <x:v>6K+ bought/month on Amazon; iconic brand-history product; premium-feeling texture at accessible $24 list.</x:v>
      </x:c>
      <x:c r="S10" s="21" t="str">
        <x:v>Richer/dewier texture can be heavy for oily skin; contains honey; Amazon and DTC promotions can undercut channel MSRP.</x:v>
      </x:c>
      <x:c r="T10" s="21" t="str">
        <x:v>COSRX Advanced Snail 92 All In One Cream</x:v>
      </x:c>
      <x:c r="U10" s="21" t="str">
        <x:v>Hanbang/rice/ginseng story and elegant cream texture; COSRX offers double the format at a lower current Amazon price and far larger review base.</x:v>
      </x:c>
      <x:c r="V10" s="21" t="str">
        <x:v>High</x:v>
      </x:c>
      <x:c r="W10" s="21" t="str">
        <x:v>IMG-BOJ-005</x:v>
      </x:c>
      <x:c r="X10" s="21" t="str">
        <x:v>https://beautyofjoseon.com/products/dynasty-cream</x:v>
      </x:c>
      <x:c r="Y10" s="25" t="str">
        <x:v>2026-07-29</x:v>
      </x:c>
      <x:c r="Z10" s="21" t="str">
        <x:v>SRC-BOJ-011,SRC-BOJ-017,SRC-BOJ-024,SRC-BOJ-035</x:v>
      </x:c>
    </x:row>
    <x:row r="11" ht="102" customHeight="1">
      <x:c r="A11" s="21" t="str">
        <x:v>BOJ-P005</x:v>
      </x:c>
      <x:c r="B11" s="21" t="str">
        <x:v>KB002</x:v>
      </x:c>
      <x:c r="C11" s="21" t="str">
        <x:v>Beauty of Joseon</x:v>
      </x:c>
      <x:c r="D11" s="21" t="n">
        <x:v>5</x:v>
      </x:c>
      <x:c r="E11" s="21" t="str">
        <x:v>Green Plum Refreshing Cleanser</x:v>
      </x:c>
      <x:c r="F11" s="21" t="str">
        <x:v>Facial Cleanser</x:v>
      </x:c>
      <x:c r="G11" s="21" t="str">
        <x:v>pH-balanced gentle gel cleanser with plum water and mung bean for cleansing without stripping the moisture barrier.</x:v>
      </x:c>
      <x:c r="H11" s="21" t="str">
        <x:v>Plum water, mung bean extract, glycerin; mild surfactant base</x:v>
      </x:c>
      <x:c r="I11" s="21" t="str">
        <x:v>100 mL / 3.38 fl oz</x:v>
      </x:c>
      <x:c r="J11" s="50" t="n">
        <x:v>13000</x:v>
      </x:c>
      <x:c r="K11" s="52" t="n">
        <x:v>13</x:v>
      </x:c>
      <x:c r="L11" s="52" t="n">
        <x:v>13</x:v>
      </x:c>
      <x:c r="M11" s="52" t="n">
        <x:v>0.13</x:v>
      </x:c>
      <x:c r="N11" s="21" t="str">
        <x:v>Official DTC; Amazon U.S.; Sephora; TikTok Shop; authorized U.S. retailers</x:v>
      </x:c>
      <x:c r="O11" s="33" t="str">
        <x:v>6,406</x:v>
      </x:c>
      <x:c r="P11" s="27" t="n">
        <x:v>4.6</x:v>
      </x:c>
      <x:c r="Q11" s="21" t="str">
        <x:v>Official TikTok Shop public display showed 8.0K sold.</x:v>
      </x:c>
      <x:c r="R11" s="21" t="str">
        <x:v>10K+ bought/month on Amazon; strong $13 value; gentle routine-entry SKU; broad Sephora/Amazon/TikTok validation.</x:v>
      </x:c>
      <x:c r="S11" s="21" t="str">
        <x:v>Smaller than some competing cleansers; water-based formula is not intended to remove makeup alone; crowded low-pH cleanser category.</x:v>
      </x:c>
      <x:c r="T11" s="21" t="str">
        <x:v>COSRX Low pH Good Morning Gel Cleanser</x:v>
      </x:c>
      <x:c r="U11" s="21" t="str">
        <x:v>Softer plum/mung-bean Hanbang story and fragrance-free positioning; COSRX has a larger 150 mL format, lower current Amazon price and much larger review base.</x:v>
      </x:c>
      <x:c r="V11" s="21" t="str">
        <x:v>Very High</x:v>
      </x:c>
      <x:c r="W11" s="21" t="str">
        <x:v>IMG-BOJ-006</x:v>
      </x:c>
      <x:c r="X11" s="21" t="str">
        <x:v>https://beautyofjoseon.com/products/green-plum-refreshing-cleanser</x:v>
      </x:c>
      <x:c r="Y11" s="25" t="str">
        <x:v>2026-07-29</x:v>
      </x:c>
      <x:c r="Z11" s="21" t="str">
        <x:v>SRC-BOJ-012,SRC-BOJ-018,SRC-BOJ-019,SRC-BOJ-023,SRC-BOJ-036</x:v>
      </x:c>
    </x:row>
    <x:row r="12" ht="106" customHeight="1">
      <x:c r="A12" s="21" t="str">
        <x:v>ANUA-P001</x:v>
      </x:c>
      <x:c r="B12" s="21" t="str">
        <x:v>KB003</x:v>
      </x:c>
      <x:c r="C12" s="21" t="str">
        <x:v>Anua</x:v>
      </x:c>
      <x:c r="D12" s="21" t="n">
        <x:v>1</x:v>
      </x:c>
      <x:c r="E12" s="21" t="str">
        <x:v>Heartleaf Quercetinol Pore Deep Cleansing Foam</x:v>
      </x:c>
      <x:c r="F12" s="21" t="str">
        <x:v>Facial Cleanser</x:v>
      </x:c>
      <x:c r="G12" s="21" t="str">
        <x:v>Foaming second cleanser positioned for pore impurities, excess sebum and a soft finish; strongest sampled Amazon cleanser signal.</x:v>
      </x:c>
      <x:c r="H12" s="21" t="str">
        <x:v>Heartleaf extract/powder, quercetin-related complex, salicylic acid, hyaluronic-acid humectants</x:v>
      </x:c>
      <x:c r="I12" s="21" t="str">
        <x:v>150 mL / 5.07 fl oz</x:v>
      </x:c>
      <x:c r="J12" s="50" t="n">
        <x:v>14000</x:v>
      </x:c>
      <x:c r="K12" s="52" t="n">
        <x:v>20</x:v>
      </x:c>
      <x:c r="L12" s="52" t="n">
        <x:v>13</x:v>
      </x:c>
      <x:c r="M12" s="52" t="n">
        <x:v>0.0867</x:v>
      </x:c>
      <x:c r="N12" s="21" t="str">
        <x:v>Official DTC; Amazon U.S.; TikTok Shop; Ulta</x:v>
      </x:c>
      <x:c r="O12" s="33" t="str">
        <x:v>20,358</x:v>
      </x:c>
      <x:c r="P12" s="27" t="n">
        <x:v>4.6</x:v>
      </x:c>
      <x:c r="Q12" s="21" t="str">
        <x:v>Featured in double-cleansing routines; official TikTok Shop's Double Cleansing Duo displayed 39.9K sold.</x:v>
      </x:c>
      <x:c r="R12" s="21" t="str">
        <x:v>60K+ bought/month; #7 Facial Cleansing Washes; very low current price and strong routine-entry use case.</x:v>
      </x:c>
      <x:c r="S12" s="21" t="str">
        <x:v>Amazon was 35% below official list; strong cleansing/pore language needs substantiation; salicylic acid and foam feel may be drying for some.</x:v>
      </x:c>
      <x:c r="T12" s="21" t="str">
        <x:v>COSRX Low pH Good Morning Gel Cleanser</x:v>
      </x:c>
      <x:c r="U12" s="21" t="str">
        <x:v>Anua has substantially higher current monthly-purchase signal and a stronger pore/double-cleanse story; COSRX is a long-established low-pH benchmark with lower price and larger category history.</x:v>
      </x:c>
      <x:c r="V12" s="21" t="str">
        <x:v>Very High</x:v>
      </x:c>
      <x:c r="W12" s="21" t="str">
        <x:v>IMG-ANUA-002</x:v>
      </x:c>
      <x:c r="X12" s="21" t="str">
        <x:v>https://anua.com/products/heartleaf-quercetinol-pore-deep-cleansing-foam</x:v>
      </x:c>
      <x:c r="Y12" s="25" t="str">
        <x:v>2026-07-29</x:v>
      </x:c>
      <x:c r="Z12" s="21" t="str">
        <x:v>SRC-ANUA-007,SRC-ANUA-013,SRC-ANUA-021,SRC-ANUA-041</x:v>
      </x:c>
    </x:row>
    <x:row r="13" ht="106" customHeight="1">
      <x:c r="A13" s="21" t="str">
        <x:v>ANUA-P002</x:v>
      </x:c>
      <x:c r="B13" s="21" t="str">
        <x:v>KB003</x:v>
      </x:c>
      <x:c r="C13" s="21" t="str">
        <x:v>Anua</x:v>
      </x:c>
      <x:c r="D13" s="21" t="n">
        <x:v>2</x:v>
      </x:c>
      <x:c r="E13" s="21" t="str">
        <x:v>Azelaic Acid 10 Hyaluron Redness Soothing Serum</x:v>
      </x:c>
      <x:c r="F13" s="21" t="str">
        <x:v>Facial Serum</x:v>
      </x:c>
      <x:c r="G13" s="21" t="str">
        <x:v>Water-light 10% azelaic-acid serum positioned for uneven-looking tone, redness and blemish-prone routines.</x:v>
      </x:c>
      <x:c r="H13" s="21" t="str">
        <x:v>Azelaic acid 10%, hyaluronic-acid complex, niacinamide, soothing humectants</x:v>
      </x:c>
      <x:c r="I13" s="21" t="str">
        <x:v>30 mL / 1.01 fl oz</x:v>
      </x:c>
      <x:c r="J13" s="50"/>
      <x:c r="K13" s="52" t="n">
        <x:v>24</x:v>
      </x:c>
      <x:c r="L13" s="52" t="n">
        <x:v>22</x:v>
      </x:c>
      <x:c r="M13" s="52" t="n">
        <x:v>0.7333</x:v>
      </x:c>
      <x:c r="N13" s="21" t="str">
        <x:v>Official DTC; Amazon U.S.; TikTok Shop; Ulta</x:v>
      </x:c>
      <x:c r="O13" s="33" t="str">
        <x:v>5,623</x:v>
      </x:c>
      <x:c r="P13" s="27" t="n">
        <x:v>4.6</x:v>
      </x:c>
      <x:c r="Q13" s="21" t="str">
        <x:v>Strong social/search momentum; exact current single-SKU TikTok sold count was not independently captured.</x:v>
      </x:c>
      <x:c r="R13" s="21" t="str">
        <x:v>70K+ bought/month; #6 Facial Serums; fastest sampled Amazon purchase badge; high relevance to redness/blemish routines.</x:v>
      </x:c>
      <x:c r="S13" s="21" t="str">
        <x:v>Strong-active tolerance varies; redness, acne and blemish claims require U.S. intended-use review; Amazon discounting pressures margin.</x:v>
      </x:c>
      <x:c r="T13" s="21" t="str">
        <x:v>The Ordinary Azelaic Acid Suspension 10%</x:v>
      </x:c>
      <x:c r="U13" s="21" t="str">
        <x:v>Anua offers a lighter serum format and K-Beauty hydration story; The Ordinary costs $12.20 and has much lower price friction plus broad Ulta awareness.</x:v>
      </x:c>
      <x:c r="V13" s="21" t="str">
        <x:v>Very High</x:v>
      </x:c>
      <x:c r="W13" s="21" t="str">
        <x:v>IMG-ANUA-003</x:v>
      </x:c>
      <x:c r="X13" s="21" t="str">
        <x:v>https://anua.com/products/azelaic-acid-10-hyaluron-redness-soothing-serum</x:v>
      </x:c>
      <x:c r="Y13" s="25" t="str">
        <x:v>2026-07-29</x:v>
      </x:c>
      <x:c r="Z13" s="21" t="str">
        <x:v>SRC-ANUA-008,SRC-ANUA-014,SRC-ANUA-042</x:v>
      </x:c>
    </x:row>
    <x:row r="14" ht="106" customHeight="1">
      <x:c r="A14" s="21" t="str">
        <x:v>ANUA-P003</x:v>
      </x:c>
      <x:c r="B14" s="21" t="str">
        <x:v>KB003</x:v>
      </x:c>
      <x:c r="C14" s="21" t="str">
        <x:v>Anua</x:v>
      </x:c>
      <x:c r="D14" s="21" t="n">
        <x:v>3</x:v>
      </x:c>
      <x:c r="E14" s="21" t="str">
        <x:v>Heartleaf Pore Control Cleansing Oil</x:v>
      </x:c>
      <x:c r="F14" s="21" t="str">
        <x:v>Cleansing Oil</x:v>
      </x:c>
      <x:c r="G14" s="21" t="str">
        <x:v>First-step oil cleanser for makeup, sunscreen and excess sebum within Anua's viral double-cleansing routine.</x:v>
      </x:c>
      <x:c r="H14" s="21" t="str">
        <x:v>Heartleaf extract; lightweight plant-derived oils and emulsifying cleansing base</x:v>
      </x:c>
      <x:c r="I14" s="21" t="str">
        <x:v>200 mL / 6.76 fl oz</x:v>
      </x:c>
      <x:c r="J14" s="50" t="n">
        <x:v>17000</x:v>
      </x:c>
      <x:c r="K14" s="52" t="n">
        <x:v>22</x:v>
      </x:c>
      <x:c r="L14" s="52" t="n">
        <x:v>17</x:v>
      </x:c>
      <x:c r="M14" s="52" t="n">
        <x:v>0.085</x:v>
      </x:c>
      <x:c r="N14" s="21" t="str">
        <x:v>Official DTC; Amazon U.S.; TikTok Shop; Ulta; selected mass listings</x:v>
      </x:c>
      <x:c r="O14" s="33" t="str">
        <x:v>28,272</x:v>
      </x:c>
      <x:c r="P14" s="27" t="n">
        <x:v>4.4</x:v>
      </x:c>
      <x:c r="Q14" s="21" t="str">
        <x:v>Double Cleansing Duo displayed 39.9K sold on the official U.S. TikTok Shop.</x:v>
      </x:c>
      <x:c r="R14" s="21" t="str">
        <x:v>50K+ bought/month; #1 Makeup Cleansing Oils; largest sampled cumulative review base; strong routine attachment.</x:v>
      </x:c>
      <x:c r="S14" s="21" t="str">
        <x:v>Amazon was about 23% below list; oil cleansers are polarizing for acne-prone users; counterfeit/third-party seller risk is material.</x:v>
      </x:c>
      <x:c r="T14" s="21" t="str">
        <x:v>SKIN1004 Madagascar Centella Light Cleansing Oil</x:v>
      </x:c>
      <x:c r="U14" s="21" t="str">
        <x:v>Anua is cheaper at $22 list and has much larger current Amazon signals; SKIN1004 has a $25 Ulta price, centella story and 4.5/980 Ulta reviews.</x:v>
      </x:c>
      <x:c r="V14" s="21" t="str">
        <x:v>Very High</x:v>
      </x:c>
      <x:c r="W14" s="21" t="str">
        <x:v>IMG-ANUA-004</x:v>
      </x:c>
      <x:c r="X14" s="21" t="str">
        <x:v>https://anua.com/products/heartleaf-pore-control-cleansing-oil-200ml</x:v>
      </x:c>
      <x:c r="Y14" s="25" t="str">
        <x:v>2026-07-29</x:v>
      </x:c>
      <x:c r="Z14" s="21" t="str">
        <x:v>SRC-ANUA-009,SRC-ANUA-015,SRC-ANUA-021,SRC-ANUA-043</x:v>
      </x:c>
    </x:row>
    <x:row r="15" ht="106" customHeight="1">
      <x:c r="A15" s="21" t="str">
        <x:v>ANUA-P004</x:v>
      </x:c>
      <x:c r="B15" s="21" t="str">
        <x:v>KB003</x:v>
      </x:c>
      <x:c r="C15" s="21" t="str">
        <x:v>Anua</x:v>
      </x:c>
      <x:c r="D15" s="21" t="n">
        <x:v>4</x:v>
      </x:c>
      <x:c r="E15" s="21" t="str">
        <x:v>Niacinamide 10 TXA 4 Serum</x:v>
      </x:c>
      <x:c r="F15" s="21" t="str">
        <x:v>Facial Serum</x:v>
      </x:c>
      <x:c r="G15" s="21" t="str">
        <x:v>High-active dark-spot/uneven-tone serum combining niacinamide, tranexamic acid and arbutin in a lightweight K-Beauty format.</x:v>
      </x:c>
      <x:c r="H15" s="21" t="str">
        <x:v>Niacinamide 10%, tranexamic acid 4%, arbutin 2%, multi-weight hyaluronic acid</x:v>
      </x:c>
      <x:c r="I15" s="21" t="str">
        <x:v>30 mL / 1.01 fl oz</x:v>
      </x:c>
      <x:c r="J15" s="50" t="n">
        <x:v>23000</x:v>
      </x:c>
      <x:c r="K15" s="52" t="n">
        <x:v>24</x:v>
      </x:c>
      <x:c r="L15" s="52" t="n">
        <x:v>21.85</x:v>
      </x:c>
      <x:c r="M15" s="52" t="n">
        <x:v>0.7283</x:v>
      </x:c>
      <x:c r="N15" s="21" t="str">
        <x:v>Official DTC; Amazon U.S.; TikTok Shop; Ulta</x:v>
      </x:c>
      <x:c r="O15" s="33" t="str">
        <x:v>16,354</x:v>
      </x:c>
      <x:c r="P15" s="27" t="n">
        <x:v>4.5</x:v>
      </x:c>
      <x:c r="Q15" s="21" t="str">
        <x:v>Official U.S. TikTok Shop product display showed 96.4K sold.</x:v>
      </x:c>
      <x:c r="R15" s="21" t="str">
        <x:v>30K+ bought/month; very large review base; strong recognizable-active story and cross-platform validation.</x:v>
      </x:c>
      <x:c r="S15" s="21" t="str">
        <x:v>10% niacinamide/4% TXA can irritate sensitive skin; sticky-texture reports recur; Amazon/TikTok promotions pressure MSRP.</x:v>
      </x:c>
      <x:c r="T15" s="21" t="str">
        <x:v>Good Molecules Discoloration Correcting Serum</x:v>
      </x:c>
      <x:c r="U15" s="21" t="str">
        <x:v>Anua has stronger active percentages, viral K-Beauty demand and far higher price; Good Molecules is $12 with 4.2/4,538 Ulta reviews and broad value positioning.</x:v>
      </x:c>
      <x:c r="V15" s="21" t="str">
        <x:v>Very High</x:v>
      </x:c>
      <x:c r="W15" s="21" t="str">
        <x:v>IMG-ANUA-005</x:v>
      </x:c>
      <x:c r="X15" s="21" t="str">
        <x:v>https://anua.com/products/niacinamide-10-txa-4-serum-2</x:v>
      </x:c>
      <x:c r="Y15" s="25" t="str">
        <x:v>2026-07-29</x:v>
      </x:c>
      <x:c r="Z15" s="21" t="str">
        <x:v>SRC-ANUA-010,SRC-ANUA-016,SRC-ANUA-021,SRC-ANUA-035,SRC-ANUA-044</x:v>
      </x:c>
    </x:row>
    <x:row r="16" ht="106" customHeight="1">
      <x:c r="A16" s="21" t="str">
        <x:v>ANUA-P005</x:v>
      </x:c>
      <x:c r="B16" s="21" t="str">
        <x:v>KB003</x:v>
      </x:c>
      <x:c r="C16" s="21" t="str">
        <x:v>Anua</x:v>
      </x:c>
      <x:c r="D16" s="21" t="n">
        <x:v>5</x:v>
      </x:c>
      <x:c r="E16" s="21" t="str">
        <x:v>Heartleaf 77 Soothing Toner</x:v>
      </x:c>
      <x:c r="F16" s="21" t="str">
        <x:v>Facial Toner</x:v>
      </x:c>
      <x:c r="G16" s="21" t="str">
        <x:v>Legacy viral hero built around a high-level heartleaf story, watery layering and gentle soothing/hydration positioning.</x:v>
      </x:c>
      <x:c r="H16" s="21" t="str">
        <x:v>Heartleaf extract 77%, panthenol and humectant/soothing support ingredients</x:v>
      </x:c>
      <x:c r="I16" s="21" t="str">
        <x:v>250 mL / 8.45 fl oz</x:v>
      </x:c>
      <x:c r="J16" s="50" t="n">
        <x:v>20000</x:v>
      </x:c>
      <x:c r="K16" s="52" t="n">
        <x:v>23</x:v>
      </x:c>
      <x:c r="L16" s="52" t="n">
        <x:v>19.69</x:v>
      </x:c>
      <x:c r="M16" s="52" t="n">
        <x:v>0.0788</x:v>
      </x:c>
      <x:c r="N16" s="21" t="str">
        <x:v>Official DTC; Amazon U.S.; TikTok Shop; Ulta; cross-border K-Beauty retailers</x:v>
      </x:c>
      <x:c r="O16" s="33" t="str">
        <x:v>14,779</x:v>
      </x:c>
      <x:c r="P16" s="27" t="n">
        <x:v>4.5</x:v>
      </x:c>
      <x:c r="Q16" s="21" t="str">
        <x:v>Legacy social-awareness anchor; current shop scale is now distributed across newer routines and actives.</x:v>
      </x:c>
      <x:c r="R16" s="21" t="str">
        <x:v>10K+ bought/month and durable name recognition; large format and accessible price; official DTC 4.7/455.</x:v>
      </x:c>
      <x:c r="S16" s="21" t="str">
        <x:v>Current Amazon rank was #16 Facial Toners, not the official page's #1 claim; consumer results are polarized; no-effect/breakout anecdotes and price compression.</x:v>
      </x:c>
      <x:c r="T16" s="21" t="str">
        <x:v>I'm From Rice Toner</x:v>
      </x:c>
      <x:c r="U16" s="21" t="str">
        <x:v>Anua is $5 cheaper with much larger Amazon scale and heartleaf awareness; I'm From offers a rice/niacinamide hydration story and 4.9/522 Ulta reviews.</x:v>
      </x:c>
      <x:c r="V16" s="21" t="str">
        <x:v>High</x:v>
      </x:c>
      <x:c r="W16" s="21" t="str">
        <x:v>IMG-ANUA-006</x:v>
      </x:c>
      <x:c r="X16" s="21" t="str">
        <x:v>https://anua.com/products/heartleaf-77-soothing-toner</x:v>
      </x:c>
      <x:c r="Y16" s="25" t="str">
        <x:v>2026-07-29</x:v>
      </x:c>
      <x:c r="Z16" s="21" t="str">
        <x:v>SRC-ANUA-011,SRC-ANUA-017,SRC-ANUA-023,SRC-ANUA-028,SRC-ANUA-045</x:v>
      </x:c>
    </x:row>
    <x:row r="17" ht="110" customHeight="1">
      <x:c r="A17" s="21" t="str">
        <x:v>LAN-P001</x:v>
      </x:c>
      <x:c r="B17" s="21" t="str">
        <x:v>KB005</x:v>
      </x:c>
      <x:c r="C17" s="21" t="str">
        <x:v>Laneige</x:v>
      </x:c>
      <x:c r="D17" s="21" t="n">
        <x:v>1</x:v>
      </x:c>
      <x:c r="E17" s="21" t="str">
        <x:v>Lip Sleeping Mask</x:v>
      </x:c>
      <x:c r="F17" s="21" t="str">
        <x:v>Lip Treatment / Overnight Mask</x:v>
      </x:c>
      <x:c r="G17" s="21" t="str">
        <x:v>Iconic leave-on lip mask positioned for overnight nourishment, softness and visible smoothing; the brand's primary global awareness anchor.</x:v>
      </x:c>
      <x:c r="H17" s="21" t="str">
        <x:v>Berry Fruit Complex, vitamin C, coconut oil, shea butter and murumuru seed butter</x:v>
      </x:c>
      <x:c r="I17" s="21" t="str">
        <x:v>20 g / 0.7 oz</x:v>
      </x:c>
      <x:c r="J17" s="50"/>
      <x:c r="K17" s="52" t="n">
        <x:v>24</x:v>
      </x:c>
      <x:c r="L17" s="52" t="n">
        <x:v>19.2</x:v>
      </x:c>
      <x:c r="M17" s="52" t="n">
        <x:v>0.96</x:v>
      </x:c>
      <x:c r="N17" s="21" t="str">
        <x:v>Official DTC; Amazon U.S.; TikTok Shop; Sephora; Kohl's</x:v>
      </x:c>
      <x:c r="O17" s="33" t="str">
        <x:v>37,110</x:v>
      </x:c>
      <x:c r="P17" s="27" t="n">
        <x:v>4.6</x:v>
      </x:c>
      <x:c r="Q17" s="21" t="str">
        <x:v>Official TikTok Shop displayed 4.4K sold for the core product; gift/flavor launches extend the franchise.</x:v>
      </x:c>
      <x:c r="R17" s="21" t="str">
        <x:v>10K+ bought/month; #7 Lip Balms &amp; Moisturizers; #268 Beauty &amp; Personal Care; major Sephora review base.</x:v>
      </x:c>
      <x:c r="S17" s="21" t="str">
        <x:v>Fragrance/flavor sensitivity, perceived drying or ordinary-balm performance, jar hygiene and 20% Amazon discounting.</x:v>
      </x:c>
      <x:c r="T17" s="21" t="str">
        <x:v>Tatcha The Kissu Lip Mask</x:v>
      </x:c>
      <x:c r="U17" s="21" t="str">
        <x:v>Laneige is $9.80 less at the sampled Amazon price and has much larger review/velocity signals; Tatcha offers a smaller premium gel mask at $29.</x:v>
      </x:c>
      <x:c r="V17" s="21" t="str">
        <x:v>Very High</x:v>
      </x:c>
      <x:c r="W17" s="21" t="str">
        <x:v>IMG-LAN-002</x:v>
      </x:c>
      <x:c r="X17" s="21" t="str">
        <x:v>https://us.laneige.com/products/lip-sleeping-mask</x:v>
      </x:c>
      <x:c r="Y17" s="25" t="str">
        <x:v>2026-07-30</x:v>
      </x:c>
      <x:c r="Z17" s="21" t="str">
        <x:v>SRC-LAN-004,SRC-LAN-012,SRC-LAN-021,SRC-LAN-034,SRC-LAN-043</x:v>
      </x:c>
    </x:row>
    <x:row r="18" ht="110" customHeight="1">
      <x:c r="A18" s="21" t="str">
        <x:v>LAN-P002</x:v>
      </x:c>
      <x:c r="B18" s="21" t="str">
        <x:v>KB005</x:v>
      </x:c>
      <x:c r="C18" s="21" t="str">
        <x:v>Laneige</x:v>
      </x:c>
      <x:c r="D18" s="21" t="n">
        <x:v>2</x:v>
      </x:c>
      <x:c r="E18" s="21" t="str">
        <x:v>Lip Glowy Balm</x:v>
      </x:c>
      <x:c r="F18" s="21" t="str">
        <x:v>Lip Balm / Gloss</x:v>
      </x:c>
      <x:c r="G18" s="21" t="str">
        <x:v>Portable glossy daytime balm that extends the Lip Sleeping Mask franchise into on-the-go hydration and flavor collecting.</x:v>
      </x:c>
      <x:c r="H18" s="21" t="str">
        <x:v>Shea butter, murumuru seed butter and emollient glossy balm base</x:v>
      </x:c>
      <x:c r="I18" s="21" t="str">
        <x:v>10 g / 0.35 oz</x:v>
      </x:c>
      <x:c r="J18" s="50"/>
      <x:c r="K18" s="52" t="n">
        <x:v>19</x:v>
      </x:c>
      <x:c r="L18" s="52" t="n">
        <x:v>15.2</x:v>
      </x:c>
      <x:c r="M18" s="52" t="n">
        <x:v>1.52</x:v>
      </x:c>
      <x:c r="N18" s="21" t="str">
        <x:v>Official DTC; Amazon U.S.; TikTok Shop; Sephora; Kohl's</x:v>
      </x:c>
      <x:c r="O18" s="33" t="str">
        <x:v>37,449</x:v>
      </x:c>
      <x:c r="P18" s="27" t="n">
        <x:v>4.7</x:v>
      </x:c>
      <x:c r="Q18" s="21" t="str">
        <x:v>Official TikTok Shop displayed 5.9K sold; social content benefits from flavor, shine and gifting.</x:v>
      </x:c>
      <x:c r="R18" s="21" t="str">
        <x:v>9K+ bought/month; #10 Lip Balms &amp; Moisturizers; #488 Beauty &amp; Personal Care; strongest sampled Amazon rating.</x:v>
      </x:c>
      <x:c r="S18" s="21" t="str">
        <x:v>Premium price per gram, sticky/gloss texture for some users, fragrance/flavor sensitivity and 20% Amazon discounting.</x:v>
      </x:c>
      <x:c r="T18" s="21" t="str">
        <x:v>Summer Fridays Lip Butter Balm</x:v>
      </x:c>
      <x:c r="U18" s="21" t="str">
        <x:v>Laneige is $8.80 cheaper at the sampled Amazon price and has broader K-Beauty lip-franchise equity; Summer Fridays is a larger 15 g viral prestige balm with 17.7K Sephora reviews.</x:v>
      </x:c>
      <x:c r="V18" s="21" t="str">
        <x:v>Very High</x:v>
      </x:c>
      <x:c r="W18" s="21" t="str">
        <x:v>IMG-LAN-003</x:v>
      </x:c>
      <x:c r="X18" s="21" t="str">
        <x:v>https://us.laneige.com/products/lip-glowy-balm</x:v>
      </x:c>
      <x:c r="Y18" s="25" t="str">
        <x:v>2026-07-30</x:v>
      </x:c>
      <x:c r="Z18" s="21" t="str">
        <x:v>SRC-LAN-013,SRC-LAN-017,SRC-LAN-022,SRC-LAN-045</x:v>
      </x:c>
    </x:row>
    <x:row r="19" ht="110" customHeight="1">
      <x:c r="A19" s="21" t="str">
        <x:v>LAN-P003</x:v>
      </x:c>
      <x:c r="B19" s="21" t="str">
        <x:v>KB005</x:v>
      </x:c>
      <x:c r="C19" s="21" t="str">
        <x:v>Laneige</x:v>
      </x:c>
      <x:c r="D19" s="21" t="n">
        <x:v>3</x:v>
      </x:c>
      <x:c r="E19" s="21" t="str">
        <x:v>Cream Skin Toner &amp; Moisturizer</x:v>
      </x:c>
      <x:c r="F19" s="21" t="str">
        <x:v>Milky Toner / Moisturizer</x:v>
      </x:c>
      <x:c r="G19" s="21" t="str">
        <x:v>Refillable milky toner-moisturizer hybrid for barrier comfort, hydration and a soft glow; viral facial-care franchise beyond lip.</x:v>
      </x:c>
      <x:c r="H19" s="21" t="str">
        <x:v>Cerapeptide complex, ceramide and peptide-focused moisturizing system</x:v>
      </x:c>
      <x:c r="I19" s="21" t="str">
        <x:v>170 mL / 5.7 fl oz</x:v>
      </x:c>
      <x:c r="J19" s="50"/>
      <x:c r="K19" s="52" t="n">
        <x:v>36</x:v>
      </x:c>
      <x:c r="L19" s="52" t="n">
        <x:v>36</x:v>
      </x:c>
      <x:c r="M19" s="52" t="n">
        <x:v>0.2118</x:v>
      </x:c>
      <x:c r="N19" s="21" t="str">
        <x:v>Official DTC; Amazon U.S.; TikTok Shop; Sephora; Kohl's</x:v>
      </x:c>
      <x:c r="O19" s="33" t="str">
        <x:v>1,849</x:v>
      </x:c>
      <x:c r="P19" s="27" t="n">
        <x:v>4.6</x:v>
      </x:c>
      <x:c r="Q19" s="21" t="str">
        <x:v>Official TikTok Shop displayed 7.2K sold for a Cream Skin offer; social feedback highlights mist/spray use.</x:v>
      </x:c>
      <x:c r="R19" s="21" t="str">
        <x:v>2K+ bought/month; #22 Facial Toners &amp; Astringents; durable prestige-toner demand.</x:v>
      </x:c>
      <x:c r="S19" s="21" t="str">
        <x:v>May not replace moisturizer for dry skin; fragrance/texture fit varies; refill and mini/full-size price comparisons can confuse shoppers.</x:v>
      </x:c>
      <x:c r="T19" s="21" t="str">
        <x:v>Rhode Glazing Milk</x:v>
      </x:c>
      <x:c r="U19" s="21" t="str">
        <x:v>Laneige offers a larger 170 mL toner-moisturizer at $36; Rhode is $32 for 124 mL with a strong U.S. celebrity-brand audience and similar milky barrier-prep use.</x:v>
      </x:c>
      <x:c r="V19" s="21" t="str">
        <x:v>High</x:v>
      </x:c>
      <x:c r="W19" s="21" t="str">
        <x:v>IMG-LAN-004</x:v>
      </x:c>
      <x:c r="X19" s="21" t="str">
        <x:v>https://us.laneige.com/products/cream-skin-toner-moisturizer</x:v>
      </x:c>
      <x:c r="Y19" s="25" t="str">
        <x:v>2026-07-30</x:v>
      </x:c>
      <x:c r="Z19" s="21" t="str">
        <x:v>SRC-LAN-014,SRC-LAN-018,SRC-LAN-023,SRC-LAN-038,SRC-LAN-045</x:v>
      </x:c>
    </x:row>
    <x:row r="20" ht="110" customHeight="1">
      <x:c r="A20" s="21" t="str">
        <x:v>LAN-P004</x:v>
      </x:c>
      <x:c r="B20" s="21" t="str">
        <x:v>KB005</x:v>
      </x:c>
      <x:c r="C20" s="21" t="str">
        <x:v>Laneige</x:v>
      </x:c>
      <x:c r="D20" s="21" t="n">
        <x:v>4</x:v>
      </x:c>
      <x:c r="E20" s="21" t="str">
        <x:v>Water Bank Blue Hyaluronic Cream Moisturizer</x:v>
      </x:c>
      <x:c r="F20" s="21" t="str">
        <x:v>Face Moisturizer</x:v>
      </x:c>
      <x:c r="G20" s="21" t="str">
        <x:v>Hydration-focused facial cream built around Laneige's Blue Hyaluronic Acid technology and prestige moisturizer positioning.</x:v>
      </x:c>
      <x:c r="H20" s="21" t="str">
        <x:v>Blue Hyaluronic Acid and barrier-supporting moisturizing complex</x:v>
      </x:c>
      <x:c r="I20" s="21" t="str">
        <x:v>50 mL / 1.6 fl oz</x:v>
      </x:c>
      <x:c r="J20" s="50"/>
      <x:c r="K20" s="52" t="n">
        <x:v>38</x:v>
      </x:c>
      <x:c r="L20" s="52" t="n">
        <x:v>38</x:v>
      </x:c>
      <x:c r="M20" s="52" t="n">
        <x:v>0.76</x:v>
      </x:c>
      <x:c r="N20" s="21" t="str">
        <x:v>Official DTC; Amazon U.S.; Sephora; Kohl's</x:v>
      </x:c>
      <x:c r="O20" s="33" t="str">
        <x:v>2,400+ Sephora reviews</x:v>
      </x:c>
      <x:c r="P20" s="27" t="n">
        <x:v>4.5</x:v>
      </x:c>
      <x:c r="Q20" s="21" t="str">
        <x:v>AMOREPACIFIC reports continued Water Bank portfolio expansion in the Americas.</x:v>
      </x:c>
      <x:c r="R20" s="21" t="str">
        <x:v>3K+ bought/month; #165 Face Moisturizers; established Water Bank franchise and strong Sephora social proof.</x:v>
      </x:c>
      <x:c r="S20" s="21" t="str">
        <x:v>Fragrance can be polarizing; premium price versus mass K-Beauty; exact Amazon main review count did not render consistently.</x:v>
      </x:c>
      <x:c r="T20" s="21" t="str">
        <x:v>belif The True Cream Aqua Bomb</x:v>
      </x:c>
      <x:c r="U20" s="21" t="str">
        <x:v>Laneige is $2 less and positioned around Blue Hyaluronic Acid; belif is a close Korean prestige hydration benchmark at $40/50 mL with Ulta distribution.</x:v>
      </x:c>
      <x:c r="V20" s="21" t="str">
        <x:v>High</x:v>
      </x:c>
      <x:c r="W20" s="21" t="str">
        <x:v>IMG-LAN-005</x:v>
      </x:c>
      <x:c r="X20" s="21" t="str">
        <x:v>https://us.laneige.com/products/water-bank-blue-hyaluronic-cream-moisturizer</x:v>
      </x:c>
      <x:c r="Y20" s="25" t="str">
        <x:v>2026-07-30</x:v>
      </x:c>
      <x:c r="Z20" s="21" t="str">
        <x:v>SRC-LAN-008,SRC-LAN-015,SRC-LAN-019,SRC-LAN-024,SRC-LAN-039,SRC-LAN-046</x:v>
      </x:c>
    </x:row>
    <x:row r="21" ht="110" customHeight="1">
      <x:c r="A21" s="21" t="str">
        <x:v>LAN-P005</x:v>
      </x:c>
      <x:c r="B21" s="21" t="str">
        <x:v>KB005</x:v>
      </x:c>
      <x:c r="C21" s="21" t="str">
        <x:v>Laneige</x:v>
      </x:c>
      <x:c r="D21" s="21" t="n">
        <x:v>5</x:v>
      </x:c>
      <x:c r="E21" s="21" t="str">
        <x:v>Bouncy &amp; Firm Sleeping Mask</x:v>
      </x:c>
      <x:c r="F21" s="21" t="str">
        <x:v>Overnight Face Mask</x:v>
      </x:c>
      <x:c r="G21" s="21" t="str">
        <x:v>Overnight gel mask positioned for plumper-looking, firmer-feeling and more radiant skin by morning.</x:v>
      </x:c>
      <x:c r="H21" s="21" t="str">
        <x:v>Peony and collagen-supporting/firming-positioned moisturizing complex</x:v>
      </x:c>
      <x:c r="I21" s="21" t="str">
        <x:v>60 mL / 2.0 fl oz</x:v>
      </x:c>
      <x:c r="J21" s="50"/>
      <x:c r="K21" s="52" t="n">
        <x:v>36</x:v>
      </x:c>
      <x:c r="L21" s="52" t="n">
        <x:v>36</x:v>
      </x:c>
      <x:c r="M21" s="52" t="n">
        <x:v>0.6</x:v>
      </x:c>
      <x:c r="N21" s="21" t="str">
        <x:v>Official DTC; Amazon U.S.; Sephora; Kohl's</x:v>
      </x:c>
      <x:c r="O21" s="33" t="str">
        <x:v>1,559</x:v>
      </x:c>
      <x:c r="P21" s="27" t="n">
        <x:v>4.6</x:v>
      </x:c>
      <x:c r="Q21" s="21" t="str">
        <x:v>Newer facial-sleeping-mask innovation extends Laneige's overnight-treatment authority beyond lips.</x:v>
      </x:c>
      <x:c r="R21" s="21" t="str">
        <x:v>1K+ bought/month; #88 Facial Masks; 1.2K Sephora reviews and continued corporate portfolio support.</x:v>
      </x:c>
      <x:c r="S21" s="21" t="str">
        <x:v>Strong floral scent, sticky feel for some users, and firming/plumping wording needs substantiation and careful cosmetic framing.</x:v>
      </x:c>
      <x:c r="T21" s="21" t="str">
        <x:v>Glow Recipe Watermelon Glow AHA Night Treatment</x:v>
      </x:c>
      <x:c r="U21" s="21" t="str">
        <x:v>Laneige is $18 less and emphasizes bounce/firmness; Glow Recipe is a $54 exfoliating overnight treatment with a different AHA renewal proposition.</x:v>
      </x:c>
      <x:c r="V21" s="21" t="str">
        <x:v>High</x:v>
      </x:c>
      <x:c r="W21" s="21" t="str">
        <x:v>IMG-LAN-006</x:v>
      </x:c>
      <x:c r="X21" s="21" t="str">
        <x:v>https://us.laneige.com/products/bouncy-firm-sleeping-mask</x:v>
      </x:c>
      <x:c r="Y21" s="25" t="str">
        <x:v>2026-07-30</x:v>
      </x:c>
      <x:c r="Z21" s="21" t="str">
        <x:v>SRC-LAN-009,SRC-LAN-016,SRC-LAN-020,SRC-LAN-025,SRC-LAN-041,SRC-LAN-047</x:v>
      </x:c>
    </x:row>
    <x:row r="22" ht="116" customHeight="1">
      <x:c r="A22" s="21" t="str">
        <x:v>SKN-P001</x:v>
      </x:c>
      <x:c r="B22" s="21" t="str">
        <x:v>KB004</x:v>
      </x:c>
      <x:c r="C22" s="21" t="str">
        <x:v>SKIN1004</x:v>
      </x:c>
      <x:c r="D22" s="21" t="n">
        <x:v>1</x:v>
      </x:c>
      <x:c r="E22" s="21" t="str">
        <x:v>Madagascar Centella Ampoule</x:v>
      </x:c>
      <x:c r="F22" s="21" t="str">
        <x:v>Soothing Ampoule / Facial Serum</x:v>
      </x:c>
      <x:c r="G22" s="21" t="str">
        <x:v>Signature watery ampoule built around Madagascar Centella positioning for lightweight soothing, hydration and barrier-comfort routines.</x:v>
      </x:c>
      <x:c r="H22" s="21" t="str">
        <x:v>Centella Asiatica extract; water-light humectant base</x:v>
      </x:c>
      <x:c r="I22" s="21" t="str">
        <x:v>100 mL / 3.38 fl oz</x:v>
      </x:c>
      <x:c r="J22" s="50"/>
      <x:c r="K22" s="52" t="n">
        <x:v>25</x:v>
      </x:c>
      <x:c r="L22" s="52" t="n">
        <x:v>14.85</x:v>
      </x:c>
      <x:c r="M22" s="52" t="n">
        <x:v>0.1485</x:v>
      </x:c>
      <x:c r="N22" s="21" t="str">
        <x:v>Official DTC; Amazon U.S.; TikTok Shop; Ulta; Target; authorized specialty</x:v>
      </x:c>
      <x:c r="O22" s="33" t="str">
        <x:v>9,278</x:v>
      </x:c>
      <x:c r="P22" s="27" t="n">
        <x:v>4.7</x:v>
      </x:c>
      <x:c r="Q22" s="21" t="str">
        <x:v>Core creator and consumer awareness anchor; recurring Reddit discussion and official Hudson's Pick promotion.</x:v>
      </x:c>
      <x:c r="R22" s="21" t="str">
        <x:v>10K+ bought/month; #249 Beauty &amp; Personal Care; #11 Facial Serums; in stock; sold by SKIN1004 US and shipped by Amazon.</x:v>
      </x:c>
      <x:c r="S22" s="21" t="str">
        <x:v>Some users report no visible change, inadequate hydration alone, bumps, oiliness or breakouts; Amazon price is 41% below Ulta MSRP.</x:v>
      </x:c>
      <x:c r="T22" s="21" t="str">
        <x:v>PURITO Wonder Releaf Centella Serum Unscented</x:v>
      </x:c>
      <x:c r="U22" s="21" t="str">
        <x:v>SKIN1004 offers 100 mL and a much lower sampled Amazon unit cost; PURITO adds a more complex centella/barrier-serum formula in a smaller format.</x:v>
      </x:c>
      <x:c r="V22" s="21" t="str">
        <x:v>Very High</x:v>
      </x:c>
      <x:c r="W22" s="21" t="str">
        <x:v>IMG-SKN-002</x:v>
      </x:c>
      <x:c r="X22" s="21" t="str">
        <x:v>https://www.skin1004.com/products/skin1004-madagascar-centella-ampoule</x:v>
      </x:c>
      <x:c r="Y22" s="25" t="str">
        <x:v>2026-07-30</x:v>
      </x:c>
      <x:c r="Z22" s="21" t="str">
        <x:v>SRC-SKN-014,SRC-SKN-019,SRC-SKN-025,SRC-SKN-040,SRC-SKN-041,SRC-SKN-049</x:v>
      </x:c>
    </x:row>
    <x:row r="23" ht="116" customHeight="1">
      <x:c r="A23" s="21" t="str">
        <x:v>SKN-P002</x:v>
      </x:c>
      <x:c r="B23" s="21" t="str">
        <x:v>KB004</x:v>
      </x:c>
      <x:c r="C23" s="21" t="str">
        <x:v>SKIN1004</x:v>
      </x:c>
      <x:c r="D23" s="21" t="n">
        <x:v>2</x:v>
      </x:c>
      <x:c r="E23" s="21" t="str">
        <x:v>Madagascar Centella Light Cleansing Oil</x:v>
      </x:c>
      <x:c r="F23" s="21" t="str">
        <x:v>Oil Cleanser / Makeup Remover</x:v>
      </x:c>
      <x:c r="G23" s="21" t="str">
        <x:v>Light first-cleanse oil for makeup, sunscreen and sebum removal, central to SKIN1004's double-cleansing value proposition.</x:v>
      </x:c>
      <x:c r="H23" s="21" t="str">
        <x:v>Centella Asiatica extract in a lightweight oil-emulsifier cleansing base</x:v>
      </x:c>
      <x:c r="I23" s="21" t="str">
        <x:v>200 mL / 6.76 fl oz</x:v>
      </x:c>
      <x:c r="J23" s="50"/>
      <x:c r="K23" s="52" t="n">
        <x:v>25</x:v>
      </x:c>
      <x:c r="L23" s="52" t="n">
        <x:v>13.17</x:v>
      </x:c>
      <x:c r="M23" s="52" t="n">
        <x:v>0.0659</x:v>
      </x:c>
      <x:c r="N23" s="21" t="str">
        <x:v>Official DTC; Amazon U.S.; TikTok Shop; Ulta; Target; authorized specialty</x:v>
      </x:c>
      <x:c r="O23" s="33" t="str">
        <x:v>13,226</x:v>
      </x:c>
      <x:c r="P23" s="27" t="n">
        <x:v>4.6</x:v>
      </x:c>
      <x:c r="Q23" s="21" t="str">
        <x:v>High visibility in double-cleansing content and the official TikTok pore-care assortment.</x:v>
      </x:c>
      <x:c r="R23" s="21" t="str">
        <x:v>10K+ bought/month; #1,043 Beauty &amp; Personal Care; #2 Makeup Cleansing Oils; in stock; sold by SKIN1004 US and shipped by Amazon.</x:v>
      </x:c>
      <x:c r="S23" s="21" t="str">
        <x:v>Minority breakout/clogging reports even with emulsification; oil cleansing requires usage education; Amazon is 47% below Ulta MSRP.</x:v>
      </x:c>
      <x:c r="T23" s="21" t="str">
        <x:v>Anua Heartleaf Pore Control Cleansing Oil</x:v>
      </x:c>
      <x:c r="U23" s="21" t="str">
        <x:v>Both are 200 mL viral Korean oil cleansers; SKIN1004 was about $1.82 cheaper than Anua's sampled $14.99 Amazon/Woot offer and has a centella-led brand story.</x:v>
      </x:c>
      <x:c r="V23" s="21" t="str">
        <x:v>Very High</x:v>
      </x:c>
      <x:c r="W23" s="21" t="str">
        <x:v>IMG-SKN-003</x:v>
      </x:c>
      <x:c r="X23" s="21" t="str">
        <x:v>https://www.skin1004.com/products/skin1004-madagascar-centella-light-cleansing-oil</x:v>
      </x:c>
      <x:c r="Y23" s="25" t="str">
        <x:v>2026-07-30</x:v>
      </x:c>
      <x:c r="Z23" s="21" t="str">
        <x:v>SRC-SKN-015,SRC-SKN-020,SRC-SKN-026,SRC-SKN-042,SRC-SKN-050</x:v>
      </x:c>
    </x:row>
    <x:row r="24" ht="116" customHeight="1">
      <x:c r="A24" s="21" t="str">
        <x:v>SKN-P003</x:v>
      </x:c>
      <x:c r="B24" s="21" t="str">
        <x:v>KB004</x:v>
      </x:c>
      <x:c r="C24" s="21" t="str">
        <x:v>SKIN1004</x:v>
      </x:c>
      <x:c r="D24" s="21" t="n">
        <x:v>3</x:v>
      </x:c>
      <x:c r="E24" s="21" t="str">
        <x:v>Poremizing Quick Clay Stick Mask</x:v>
      </x:c>
      <x:c r="F24" s="21" t="str">
        <x:v>Clay Mask Stick / Pore Care</x:v>
      </x:c>
      <x:c r="G24" s="21" t="str">
        <x:v>Convenient 27 g clay-stick format designed for quick application, visible oil absorption and social-media-friendly pore-care demonstrations.</x:v>
      </x:c>
      <x:c r="H24" s="21" t="str">
        <x:v>18% kaolin; Centella Asiatica extract; red bean powder; bentonite, illite, montmorillonite and calamine</x:v>
      </x:c>
      <x:c r="I24" s="21" t="str">
        <x:v>27 g / 0.95 oz</x:v>
      </x:c>
      <x:c r="J24" s="50"/>
      <x:c r="K24" s="52" t="n">
        <x:v>25</x:v>
      </x:c>
      <x:c r="L24" s="52" t="n">
        <x:v>13.88</x:v>
      </x:c>
      <x:c r="M24" s="52" t="n">
        <x:v>0.5141</x:v>
      </x:c>
      <x:c r="N24" s="21" t="str">
        <x:v>Official DTC; Amazon U.S.; TikTok Shop; Ulta; authorized specialty</x:v>
      </x:c>
      <x:c r="O24" s="33" t="str">
        <x:v>7,956</x:v>
      </x:c>
      <x:c r="P24" s="27" t="n">
        <x:v>4.6</x:v>
      </x:c>
      <x:c r="Q24" s="21" t="str">
        <x:v>Strong short-form demonstration format; official Hudson's Pick and pore-routine merchandising support virality.</x:v>
      </x:c>
      <x:c r="R24" s="21" t="str">
        <x:v>10K+ bought/month; #2,027 Beauty &amp; Personal Care; #9 Facial Masks; in stock; sold by SKIN1004 US and shipped by Amazon.</x:v>
      </x:c>
      <x:c r="S24" s="21" t="str">
        <x:v>Pore-size benefits are cosmetic/temporary; clay can feel drying; small format; Amazon is 44% below Ulta MSRP; avoid overstated pore-minimizing claims.</x:v>
      </x:c>
      <x:c r="T24" s="21" t="str">
        <x:v>medicube Zero Pore Blackhead Mud Mask</x:v>
      </x:c>
      <x:c r="U24" s="21" t="str">
        <x:v>SKIN1004 offers a mess-minimizing stick and centella positioning; medicube offers a larger 100 g fast-dry mud mask with AHA/BHA/PHA and stronger exfoliation framing.</x:v>
      </x:c>
      <x:c r="V24" s="21" t="str">
        <x:v>Very High</x:v>
      </x:c>
      <x:c r="W24" s="21" t="str">
        <x:v>IMG-SKN-004</x:v>
      </x:c>
      <x:c r="X24" s="21" t="str">
        <x:v>https://www.skin1004.com/products/poremizing-quick-clay-stick-mask</x:v>
      </x:c>
      <x:c r="Y24" s="25" t="str">
        <x:v>2026-07-30</x:v>
      </x:c>
      <x:c r="Z24" s="21" t="str">
        <x:v>SRC-SKN-016,SRC-SKN-021,SRC-SKN-027,SRC-SKN-046,SRC-SKN-051</x:v>
      </x:c>
    </x:row>
    <x:row r="25" ht="116" customHeight="1">
      <x:c r="A25" s="21" t="str">
        <x:v>SKN-P004</x:v>
      </x:c>
      <x:c r="B25" s="21" t="str">
        <x:v>KB004</x:v>
      </x:c>
      <x:c r="C25" s="21" t="str">
        <x:v>SKIN1004</x:v>
      </x:c>
      <x:c r="D25" s="21" t="n">
        <x:v>4</x:v>
      </x:c>
      <x:c r="E25" s="21" t="str">
        <x:v>Madagascar Centella Ampoule Foam</x:v>
      </x:c>
      <x:c r="F25" s="21" t="str">
        <x:v>Foam Cleanser</x:v>
      </x:c>
      <x:c r="G25" s="21" t="str">
        <x:v>Low-pH foaming second cleanse positioned to remove residual makeup and impurities without stripping, completing the brand's double-cleansing routine.</x:v>
      </x:c>
      <x:c r="H25" s="21" t="str">
        <x:v>Centella Asiatica extract in a pH-balanced surfactant/foam base</x:v>
      </x:c>
      <x:c r="I25" s="21" t="str">
        <x:v>125 mL / 4.23 fl oz</x:v>
      </x:c>
      <x:c r="J25" s="50"/>
      <x:c r="K25" s="52" t="n">
        <x:v>18</x:v>
      </x:c>
      <x:c r="L25" s="52" t="n">
        <x:v>9.54</x:v>
      </x:c>
      <x:c r="M25" s="52" t="n">
        <x:v>0.0763</x:v>
      </x:c>
      <x:c r="N25" s="21" t="str">
        <x:v>Official DTC; Amazon U.S.; TikTok Shop; Ulta; Target; authorized specialty</x:v>
      </x:c>
      <x:c r="O25" s="33" t="str">
        <x:v>10,260</x:v>
      </x:c>
      <x:c r="P25" s="27" t="n">
        <x:v>4.7</x:v>
      </x:c>
      <x:c r="Q25" s="21" t="str">
        <x:v>Routine pairing with Light Cleansing Oil supports bundles and creator demonstrations.</x:v>
      </x:c>
      <x:c r="R25" s="21" t="str">
        <x:v>9K+ bought/month; in stock; sold by SKIN1004 US and shipped by Amazon; review depth exceeds 10K.</x:v>
      </x:c>
      <x:c r="S25" s="21" t="str">
        <x:v>Some sensitive users describe tightness, inflamed pimples or breakouts; cleansing intensity and frequency need education; Amazon is 47% below Ulta MSRP.</x:v>
      </x:c>
      <x:c r="T25" s="21" t="str">
        <x:v>Anua Heartleaf Quercetinol Pore Deep Cleansing Foam</x:v>
      </x:c>
      <x:c r="U25" s="21" t="str">
        <x:v>Both compete in affordable K-Beauty foam cleansing; SKIN1004 is anchored to a centella double-cleanse pair, while Anua has stronger heartleaf/pore-search visibility.</x:v>
      </x:c>
      <x:c r="V25" s="21" t="str">
        <x:v>Very High</x:v>
      </x:c>
      <x:c r="W25" s="21" t="str">
        <x:v>IMG-SKN-005</x:v>
      </x:c>
      <x:c r="X25" s="21" t="str">
        <x:v>https://www.skin1004.com/products/skin1004-madagascar-centella-ampoule-foam</x:v>
      </x:c>
      <x:c r="Y25" s="25" t="str">
        <x:v>2026-07-30</x:v>
      </x:c>
      <x:c r="Z25" s="21" t="str">
        <x:v>SRC-SKN-017,SRC-SKN-022,SRC-SKN-028,SRC-SKN-043</x:v>
      </x:c>
    </x:row>
    <x:row r="26" ht="116" customHeight="1">
      <x:c r="A26" s="21" t="str">
        <x:v>SKN-P005</x:v>
      </x:c>
      <x:c r="B26" s="21" t="str">
        <x:v>KB004</x:v>
      </x:c>
      <x:c r="C26" s="21" t="str">
        <x:v>SKIN1004</x:v>
      </x:c>
      <x:c r="D26" s="21" t="n">
        <x:v>5</x:v>
      </x:c>
      <x:c r="E26" s="21" t="str">
        <x:v>Madagascar Centella Hyalu-Cica Water-Fit Sun Serum UV SPF 50 — U.S. Formula</x:v>
      </x:c>
      <x:c r="F26" s="21" t="str">
        <x:v>U.S. OTC Sunscreen / Sun Serum</x:v>
      </x:c>
      <x:c r="G26" s="21" t="str">
        <x:v>U.S.-specific broad-spectrum SPF 50 sun serum with a hydrating, no-white-cast positioning. It is legally and formulation-wise distinct from the Korean/global PA++++ product.</x:v>
      </x:c>
      <x:c r="H26" s="21" t="str">
        <x:v>Avobenzone 2.7%; homosalate 13.6%; octisalate 4.5%; octocrylene 9%; panthenol, centella and hyaluronic-acid ingredients</x:v>
      </x:c>
      <x:c r="I26" s="21" t="str">
        <x:v>50 mL / 1.69 fl oz</x:v>
      </x:c>
      <x:c r="J26" s="50"/>
      <x:c r="K26" s="52" t="n">
        <x:v>26</x:v>
      </x:c>
      <x:c r="L26" s="52" t="n">
        <x:v>18.46</x:v>
      </x:c>
      <x:c r="M26" s="52" t="n">
        <x:v>0.3692</x:v>
      </x:c>
      <x:c r="N26" s="21" t="str">
        <x:v>Amazon U.S.; Ulta; official U.S. distribution context</x:v>
      </x:c>
      <x:c r="O26" s="33" t="str">
        <x:v>1,321 Amazon; 622 Ulta</x:v>
      </x:c>
      <x:c r="P26" s="27" t="n">
        <x:v>4.5</x:v>
      </x:c>
      <x:c r="Q26" s="21" t="str">
        <x:v>30K+ Amazon purchase badge and large current Ulta review base make it the strongest observed U.S. velocity hero; texture/no-white-cast content remains highly shareable.</x:v>
      </x:c>
      <x:c r="R26" s="21" t="str">
        <x:v>30K+ bought/month on Amazon at $18.46; 4.5/1,321; in stock; sold by CRC COMPANY and shipped by Amazon. Ulta displayed $26, 4.7/622 and in stock.</x:v>
      </x:c>
      <x:c r="S26" s="21" t="str">
        <x:v>Different filters/feel from the Korean/global sunscreen can disappoint repeat users; chemical-filter smell, eye sting or greasiness for some; full OTC file and current Drug Facts control are mandatory.</x:v>
      </x:c>
      <x:c r="T26" s="21" t="str">
        <x:v>Beauty of Joseon Daily Relief Sunscreen SPF 40</x:v>
      </x:c>
      <x:c r="U26" s="21" t="str">
        <x:v>Both are U.S.-specific K-Beauty OTC sunscreens created for U.S. rules. SKIN1004 is SPF 50 with stronger current Amazon velocity; BOJ is SPF 40 and carries a separate U.S.-formula education burden.</x:v>
      </x:c>
      <x:c r="V26" s="21" t="str">
        <x:v>Exceptional</x:v>
      </x:c>
      <x:c r="W26" s="21" t="str">
        <x:v>IMG-SKN-006</x:v>
      </x:c>
      <x:c r="X26" s="21" t="str">
        <x:v>https://www.ulta.com/p/madagascar-centella-hyalu-cica-water-fit-sun-serum-uv-spf50-pimprod2055614?sku=2650029</x:v>
      </x:c>
      <x:c r="Y26" s="25" t="str">
        <x:v>2026-07-30</x:v>
      </x:c>
      <x:c r="Z26" s="21" t="str">
        <x:v>SRC-SKN-018,SRC-SKN-023,SRC-SKN-029,SRC-SKN-030,SRC-SKN-044,SRC-SKN-048,SRC-SKN-052</x:v>
      </x:c>
    </x:row>
    <x:row r="27" ht="122" customHeight="1">
      <x:c r="A27" s="21" t="str">
        <x:v>TIR-P001</x:v>
      </x:c>
      <x:c r="B27" s="21" t="str">
        <x:v>KB006</x:v>
      </x:c>
      <x:c r="C27" s="21" t="str">
        <x:v>TIRTIR</x:v>
      </x:c>
      <x:c r="D27" s="21" t="n">
        <x:v>1</x:v>
      </x:c>
      <x:c r="E27" s="21" t="str">
        <x:v>Mask Fit Red Cushion</x:v>
      </x:c>
      <x:c r="F27" s="21" t="str">
        <x:v>Cushion Foundation</x:v>
      </x:c>
      <x:c r="G27" s="21" t="str">
        <x:v>Signature 40-shade high-coverage cushion with satin-glow finish, portable application and strong inclusive K-Beauty recognition.</x:v>
      </x:c>
      <x:c r="H27" s="21" t="str">
        <x:v>Niacinamide; hibiscus, propolis and white-water-lily extracts; silicone/pigment complexion base</x:v>
      </x:c>
      <x:c r="I27" s="21" t="str">
        <x:v>18 g / 0.63 fl oz</x:v>
      </x:c>
      <x:c r="J27" s="50"/>
      <x:c r="K27" s="52" t="n">
        <x:v>25</x:v>
      </x:c>
      <x:c r="L27" s="52" t="n">
        <x:v>18.75</x:v>
      </x:c>
      <x:c r="M27" s="52" t="n">
        <x:v>1.0417</x:v>
      </x:c>
      <x:c r="N27" s="21" t="str">
        <x:v>Official DTC; Amazon U.S.; TikTok Shop; Ulta; YesStyle; Walmart marketplace</x:v>
      </x:c>
      <x:c r="O27" s="33" t="str">
        <x:v>7,927 Amazon; 308 Ulta</x:v>
      </x:c>
      <x:c r="P27" s="27" t="n">
        <x:v>4.3</x:v>
      </x:c>
      <x:c r="Q27" s="21" t="str">
        <x:v>TikTok Shop displayed 64.2K sold; 2026 Allure Favorite K-Beauty Product; 40-shade expansion and creator swatches remain the core viral engine.</x:v>
      </x:c>
      <x:c r="R27" s="21" t="str">
        <x:v>Exceptional coverage, recognizable compact, broad 40-shade range, good oily/combination-skin wear, strong ratings across official and retail channels.</x:v>
      </x:c>
      <x:c r="S27" s="21" t="str">
        <x:v>Oxidation/orange shift, online shade-match returns, dry-skin texture/caking when over-applied, transfer for some users, and imported SPF-labeled versions create education/compliance risk.</x:v>
      </x:c>
      <x:c r="T27" s="21" t="str">
        <x:v>CLIO Kill Cover Mesh Glow Cushion Set</x:v>
      </x:c>
      <x:c r="U27" s="21" t="str">
        <x:v>TIRTIR has 40 shades and mass U.S. recognition; CLIO's sampled set includes a refill and has a narrower shade range with a more explicitly glowy K-Beauty position.</x:v>
      </x:c>
      <x:c r="V27" s="21" t="str">
        <x:v>Very High</x:v>
      </x:c>
      <x:c r="W27" s="21" t="str">
        <x:v>IMG-TIR-002</x:v>
      </x:c>
      <x:c r="X27" s="21" t="str">
        <x:v>https://tirtir.global/collections/cushion/products/mask-fit-red-cushion</x:v>
      </x:c>
      <x:c r="Y27" s="25" t="str">
        <x:v>2026-07-30</x:v>
      </x:c>
      <x:c r="Z27" s="21" t="str">
        <x:v>SRC-TIR-010,SRC-TIR-011,SRC-TIR-019,SRC-TIR-022,SRC-TIR-032,SRC-TIR-040,SRC-TIR-041,SRC-TIR-045,SRC-TIR-048</x:v>
      </x:c>
    </x:row>
    <x:row r="28" ht="122" customHeight="1">
      <x:c r="A28" s="21" t="str">
        <x:v>TIR-P002</x:v>
      </x:c>
      <x:c r="B28" s="21" t="str">
        <x:v>KB006</x:v>
      </x:c>
      <x:c r="C28" s="21" t="str">
        <x:v>TIRTIR</x:v>
      </x:c>
      <x:c r="D28" s="21" t="n">
        <x:v>2</x:v>
      </x:c>
      <x:c r="E28" s="21" t="str">
        <x:v>Mask Fit AI Filter Cushion</x:v>
      </x:c>
      <x:c r="F28" s="21" t="str">
        <x:v>Matte Cushion Foundation</x:v>
      </x:c>
      <x:c r="G28" s="21" t="str">
        <x:v>ThinTech-powered high-coverage satin-matte cushion for pore blurring, shine control and a light filter-like finish, offered in 30 current shades.</x:v>
      </x:c>
      <x:c r="H28" s="21" t="str">
        <x:v>Ultra-fine powder/film-former complexion base; niacinamide; vitamin C; kumquat-derived probiotic ingredients</x:v>
      </x:c>
      <x:c r="I28" s="21" t="str">
        <x:v>18 g / 0.63 fl oz</x:v>
      </x:c>
      <x:c r="J28" s="50"/>
      <x:c r="K28" s="52" t="n">
        <x:v>25</x:v>
      </x:c>
      <x:c r="L28" s="52" t="n">
        <x:v>18.75</x:v>
      </x:c>
      <x:c r="M28" s="52" t="n">
        <x:v>1.0417</x:v>
      </x:c>
      <x:c r="N28" s="21" t="str">
        <x:v>Official DTC; Amazon U.S.; TikTok Shop; Ulta</x:v>
      </x:c>
      <x:c r="O28" s="33" t="str">
        <x:v>Varies by shade/ASIN; official page 317 reviews</x:v>
      </x:c>
      <x:c r="P28" s="27" t="n">
        <x:v>4.2</x:v>
      </x:c>
      <x:c r="Q28" s="21" t="str">
        <x:v>TikTok Shop displayed 169.5K sold, the highest current product signal in the official shop. Amazon shade listings showed 200–300+ bought/month on sampled variants.</x:v>
      </x:c>
      <x:c r="R28" s="21" t="str">
        <x:v>Strong current momentum, matte/blurring proposition, 30 shades, high official-site recommendation rate, and oily/combination-skin relevance.</x:v>
      </x:c>
      <x:c r="S28" s="21" t="str">
        <x:v>Newer Amazon review base is shallower and fragmented by shade; recent anecdotal reports include dryness/cakiness and some oxidation; claims such as pore strengthening and 72-hour wear require substantiation.</x:v>
      </x:c>
      <x:c r="T28" s="21" t="str">
        <x:v>CLIO Kill Cover Mesh Blur Cushion Set</x:v>
      </x:c>
      <x:c r="U28" s="21" t="str">
        <x:v>TIRTIR offers substantially more shades and stronger U.S. social-commerce momentum; CLIO offers a cushion-plus-refill value set and established matte K-makeup competition.</x:v>
      </x:c>
      <x:c r="V28" s="21" t="str">
        <x:v>Very High</x:v>
      </x:c>
      <x:c r="W28" s="21" t="str">
        <x:v>IMG-TIR-003</x:v>
      </x:c>
      <x:c r="X28" s="21" t="str">
        <x:v>https://tirtir.global/collections/la-pop-up/products/mask-fit-ai-filter-cushion</x:v>
      </x:c>
      <x:c r="Y28" s="25" t="str">
        <x:v>2026-07-30</x:v>
      </x:c>
      <x:c r="Z28" s="21" t="str">
        <x:v>SRC-TIR-004,SRC-TIR-023,SRC-TIR-027,SRC-TIR-049</x:v>
      </x:c>
    </x:row>
    <x:row r="29" ht="122" customHeight="1">
      <x:c r="A29" s="21" t="str">
        <x:v>TIR-P003</x:v>
      </x:c>
      <x:c r="B29" s="21" t="str">
        <x:v>KB006</x:v>
      </x:c>
      <x:c r="C29" s="21" t="str">
        <x:v>TIRTIR</x:v>
      </x:c>
      <x:c r="D29" s="21" t="n">
        <x:v>3</x:v>
      </x:c>
      <x:c r="E29" s="21" t="str">
        <x:v>Mask Fit Waterproof Setting Spray</x:v>
      </x:c>
      <x:c r="F29" s="21" t="str">
        <x:v>Waterproof Setting Spray</x:v>
      </x:c>
      <x:c r="G29" s="21" t="str">
        <x:v>Ethanol-free, semi-matte ultra-fine mist positioned as waterproof, sweat-proof, transfer-proof and chlorine-resistant for long-wear makeup.</x:v>
      </x:c>
      <x:c r="H29" s="21" t="str">
        <x:v>PVP and acrylate film formers; glycerin; botanical extracts; ethanol-free formula</x:v>
      </x:c>
      <x:c r="I29" s="21" t="str">
        <x:v>80 mL / 2.7 fl oz</x:v>
      </x:c>
      <x:c r="J29" s="50"/>
      <x:c r="K29" s="52" t="n">
        <x:v>15</x:v>
      </x:c>
      <x:c r="L29" s="52" t="n">
        <x:v>12.75</x:v>
      </x:c>
      <x:c r="M29" s="52" t="n">
        <x:v>0.1594</x:v>
      </x:c>
      <x:c r="N29" s="21" t="str">
        <x:v>Official DTC; Amazon U.S.; TikTok Shop; Ulta</x:v>
      </x:c>
      <x:c r="O29" s="33" t="str">
        <x:v>1,416 Amazon; 134 official</x:v>
      </x:c>
      <x:c r="P29" s="27" t="n">
        <x:v>4.4</x:v>
      </x:c>
      <x:c r="Q29" s="21" t="str">
        <x:v>TikTok Shop displayed 91.0K sold; Amazon showed 20K+ bought/month, Amazon's Choice and #313 Beauty.</x:v>
      </x:c>
      <x:c r="R29" s="21" t="str">
        <x:v>Best observed Amazon velocity in the brand, accessible price, strong official-site satisfaction, and clear performance/value contrast with prestige setting sprays.</x:v>
      </x:c>
      <x:c r="S29" s="21" t="str">
        <x:v>Amazon category mapping to Foundation Primers is imperfect; performance claims need support; removal requires thorough cleansing; promotion frequency can compress margin.</x:v>
      </x:c>
      <x:c r="T29" s="21" t="str">
        <x:v>Urban Decay All Nighter Waterproof Makeup Setting Spray</x:v>
      </x:c>
      <x:c r="U29" s="21" t="str">
        <x:v>TIRTIR is $19 cheaper at MSRP, ethanol-free and 2.7 fl oz; Urban Decay provides a 4.0 fl oz prestige benchmark with far deeper Ulta review history.</x:v>
      </x:c>
      <x:c r="V29" s="21" t="str">
        <x:v>Exceptional</x:v>
      </x:c>
      <x:c r="W29" s="21" t="str">
        <x:v>IMG-TIR-004</x:v>
      </x:c>
      <x:c r="X29" s="21" t="str">
        <x:v>https://tirtir.global/products/mask-fit-waterproof-setting-spray</x:v>
      </x:c>
      <x:c r="Y29" s="25" t="str">
        <x:v>2026-07-30</x:v>
      </x:c>
      <x:c r="Z29" s="21" t="str">
        <x:v>SRC-TIR-016,SRC-TIR-024,SRC-TIR-027,SRC-TIR-050</x:v>
      </x:c>
    </x:row>
    <x:row r="30" ht="122" customHeight="1">
      <x:c r="A30" s="21" t="str">
        <x:v>TIR-P004</x:v>
      </x:c>
      <x:c r="B30" s="21" t="str">
        <x:v>KB006</x:v>
      </x:c>
      <x:c r="C30" s="21" t="str">
        <x:v>TIRTIR</x:v>
      </x:c>
      <x:c r="D30" s="21" t="n">
        <x:v>4</x:v>
      </x:c>
      <x:c r="E30" s="21" t="str">
        <x:v>Glide &amp; Hide Blurring Concealer</x:v>
      </x:c>
      <x:c r="F30" s="21" t="str">
        <x:v>Dual-Ended Concealer / Foundcealer</x:v>
      </x:c>
      <x:c r="G30" s="21" t="str">
        <x:v>Two-in-one stick and liquid concealer for targeted blurring, under-eye brightening, spot coverage and lightweight foundcealer use.</x:v>
      </x:c>
      <x:c r="H30" s="21" t="str">
        <x:v>Silicone/film-former pigment systems; hyaluronic-acid ingredients; separate liquid and balm-stick formulas</x:v>
      </x:c>
      <x:c r="I30" s="21" t="str">
        <x:v>0.28 fl oz total</x:v>
      </x:c>
      <x:c r="J30" s="50"/>
      <x:c r="K30" s="52" t="n">
        <x:v>16</x:v>
      </x:c>
      <x:c r="L30" s="52" t="n">
        <x:v>16</x:v>
      </x:c>
      <x:c r="M30" s="52" t="n">
        <x:v>57.1429</x:v>
      </x:c>
      <x:c r="N30" s="21" t="str">
        <x:v>Official DTC; TikTok Shop; Ulta; Amazon visibility</x:v>
      </x:c>
      <x:c r="O30" s="33" t="str">
        <x:v>255 official; 158 Ulta</x:v>
      </x:c>
      <x:c r="P30" s="27" t="n">
        <x:v>4.6</x:v>
      </x:c>
      <x:c r="Q30" s="21" t="str">
        <x:v>TikTok Shop displayed 128.3K sold; official page showed 4.8/255 and 23 variants, while Ulta displayed 20 colors and 4.6/158.</x:v>
      </x:c>
      <x:c r="R30" s="21" t="str">
        <x:v>Innovative two-format convenience, accessible price, 20+ shades, portable multi-use coverage and strong current TikTok conversion.</x:v>
      </x:c>
      <x:c r="S30" s="21" t="str">
        <x:v>Liquid compartment can look small; shade/finish selection is complex; blurring formats may cling to dry patches; ratings and color counts differ by channel/variant.</x:v>
      </x:c>
      <x:c r="T30" s="21" t="str">
        <x:v>NYX Bare With Me Hydrating Face &amp; Body Concealer Serum</x:v>
      </x:c>
      <x:c r="U30" s="21" t="str">
        <x:v>TIRTIR adds a solid stick, higher coverage and multi-zone use at $4 more; NYX has a larger U.S. review base and a simpler hydrating-serum proposition.</x:v>
      </x:c>
      <x:c r="V30" s="21" t="str">
        <x:v>Very High</x:v>
      </x:c>
      <x:c r="W30" s="21" t="str">
        <x:v>IMG-TIR-005</x:v>
      </x:c>
      <x:c r="X30" s="21" t="str">
        <x:v>https://tirtir.global/collections/la-pop-up/products/glide-hide-blurring-concealer</x:v>
      </x:c>
      <x:c r="Y30" s="25" t="str">
        <x:v>2026-07-30</x:v>
      </x:c>
      <x:c r="Z30" s="21" t="str">
        <x:v>SRC-TIR-004,SRC-TIR-025,SRC-TIR-046,SRC-TIR-051</x:v>
      </x:c>
    </x:row>
    <x:row r="31" ht="122" customHeight="1">
      <x:c r="A31" s="21" t="str">
        <x:v>TIR-P005</x:v>
      </x:c>
      <x:c r="B31" s="21" t="str">
        <x:v>KB006</x:v>
      </x:c>
      <x:c r="C31" s="21" t="str">
        <x:v>TIRTIR</x:v>
      </x:c>
      <x:c r="D31" s="21" t="n">
        <x:v>5</x:v>
      </x:c>
      <x:c r="E31" s="21" t="str">
        <x:v>Milk Skin Toner</x:v>
      </x:c>
      <x:c r="F31" s="21" t="str">
        <x:v>Milky Hydrating Toner</x:v>
      </x:c>
      <x:c r="G31" s="21" t="str">
        <x:v>Hydrating, brightening toner with a silky milk texture for glow and barrier-comfort routines; available in 20, 50 and 150 mL sizes.</x:v>
      </x:c>
      <x:c r="H31" s="21" t="str">
        <x:v>2% niacinamide; rice bran; ceramide NP; panthenol; centella; witch hazel; botanical extracts</x:v>
      </x:c>
      <x:c r="I31" s="21" t="str">
        <x:v>150 mL / 5.07 fl oz</x:v>
      </x:c>
      <x:c r="J31" s="50"/>
      <x:c r="K31" s="52" t="n">
        <x:v>25</x:v>
      </x:c>
      <x:c r="L31" s="52" t="n">
        <x:v>20</x:v>
      </x:c>
      <x:c r="M31" s="52" t="n">
        <x:v>0.1333</x:v>
      </x:c>
      <x:c r="N31" s="21" t="str">
        <x:v>Official DTC; Amazon U.S.; TikTok Shop; Ulta; iHerb</x:v>
      </x:c>
      <x:c r="O31" s="33" t="str">
        <x:v>8,107 Amazon; ~2,005 iHerb</x:v>
      </x:c>
      <x:c r="P31" s="27" t="n">
        <x:v>4.6</x:v>
      </x:c>
      <x:c r="Q31" s="21" t="str">
        <x:v>TikTok Shop displayed 31.3K sold; Amazon showed 9K+ bought/month and #14 Facial Toners; iHerb showed 1K+ sold in 30 days.</x:v>
      </x:c>
      <x:c r="R31" s="21" t="str">
        <x:v>High review depth, strong hydration/glow praise, large format, accessible unit value and makeup-prep cross-sell.</x:v>
      </x:c>
      <x:c r="S31" s="21" t="str">
        <x:v>Some consumers report stickiness, greasy film, burning, rough texture or breakouts; niacinamide, witch hazel and botanicals can be sensitivity points; Amazon is 20% below MSRP.</x:v>
      </x:c>
      <x:c r="T31" s="21" t="str">
        <x:v>LANEIGE Cream Skin Milky Toner with Ceramides &amp; Peptides</x:v>
      </x:c>
      <x:c r="U31" s="21" t="str">
        <x:v>TIRTIR is $11 cheaper and has stronger captured Amazon unit signals; LANEIGE offers prestige Sephora distribution, refill options and established ceramide/peptide positioning.</x:v>
      </x:c>
      <x:c r="V31" s="21" t="str">
        <x:v>Very High</x:v>
      </x:c>
      <x:c r="W31" s="21" t="str">
        <x:v>IMG-TIR-006</x:v>
      </x:c>
      <x:c r="X31" s="21" t="str">
        <x:v>https://tirtir.global/products/milk-skin-toner</x:v>
      </x:c>
      <x:c r="Y31" s="25" t="str">
        <x:v>2026-07-30</x:v>
      </x:c>
      <x:c r="Z31" s="21" t="str">
        <x:v>SRC-TIR-018,SRC-TIR-026,SRC-TIR-031,SRC-TIR-042,SRC-TIR-043,SRC-TIR-044,SRC-TIR-047,SRC-TIR-052</x:v>
      </x:c>
    </x:row>
    <x:row r="32" ht="128" customHeight="1">
      <x:c r="A32" s="21" t="str">
        <x:v>VT-P001</x:v>
      </x:c>
      <x:c r="B32" s="21" t="str">
        <x:v>KB007</x:v>
      </x:c>
      <x:c r="C32" s="21" t="str">
        <x:v>VT Cosmetics</x:v>
      </x:c>
      <x:c r="D32" s="21" t="n">
        <x:v>1</x:v>
      </x:c>
      <x:c r="E32" s="21" t="str">
        <x:v>Reedle Shot 100</x:v>
      </x:c>
      <x:c r="F32" s="21" t="str">
        <x:v>Spicule Skin Booster / Facial Serum</x:v>
      </x:c>
      <x:c r="G32" s="21" t="str">
        <x:v>Daily step-zero facial booster using mineral-derived silica spicules and centella-based soothing ingredients to create a distinctive prickly texture-refining ritual.</x:v>
      </x:c>
      <x:c r="H32" s="21" t="str">
        <x:v>Silica; Centella asiatica extract; niacinamide; hyaluronic acid; propolis; amino acids</x:v>
      </x:c>
      <x:c r="I32" s="21" t="str">
        <x:v>50 mL / 1.69 fl oz</x:v>
      </x:c>
      <x:c r="J32" s="50"/>
      <x:c r="K32" s="52" t="n">
        <x:v>26</x:v>
      </x:c>
      <x:c r="L32" s="52" t="n">
        <x:v>20.34</x:v>
      </x:c>
      <x:c r="M32" s="52" t="n">
        <x:v>12.0355</x:v>
      </x:c>
      <x:c r="N32" s="21" t="str">
        <x:v>Official DTC; Amazon U.S.; TikTok Shop; Ulta; Target; Nordstrom; Costco; iHerb; authorized cross-border; Walmart marketplace</x:v>
      </x:c>
      <x:c r="O32" s="33" t="str">
        <x:v>12,535 Amazon; 535 Ulta</x:v>
      </x:c>
      <x:c r="P32" s="27" t="n">
        <x:v>4.5</x:v>
      </x:c>
      <x:c r="Q32" s="21" t="str">
        <x:v>Amazon showed 10K+ bought/month, #746 Beauty and #27 Facial Serums; Ulta showed 4.8/535; Costco and Target carry distinct sizes/bundles.</x:v>
      </x:c>
      <x:c r="R32" s="21" t="str">
        <x:v>Category-defining sensory ritual, large review base, strong repeat visibility, multiple intensity levels, affordable MSRP and powerful demonstration content.</x:v>
      </x:c>
      <x:c r="S32" s="21" t="str">
        <x:v>Prickling, redness, irritation and breakouts can occur; avoid aggressive active stacking; official acne/pustule, microneedling, penetration/absorption, regeneration and repair language needs U.S. legal review.</x:v>
      </x:c>
      <x:c r="T32" s="21" t="str">
        <x:v>Medicube One Day Exosome Shot 2000</x:v>
      </x:c>
      <x:c r="U32" s="21" t="str">
        <x:v>Both use hydrolyzed-sponge/spicule stories and at-home pore/texture positioning. VT has much deeper captured U.S. reviews and broader mainstream distribution; Medicube offers a directly comparable exosome-spicule alternative at a similar price.</x:v>
      </x:c>
      <x:c r="V32" s="21" t="str">
        <x:v>Exceptional</x:v>
      </x:c>
      <x:c r="W32" s="21" t="str">
        <x:v>IMG-VT-002</x:v>
      </x:c>
      <x:c r="X32" s="21" t="str">
        <x:v>https://globalvt-cosmetics.com/products/vt-reedle-shot-100</x:v>
      </x:c>
      <x:c r="Y32" s="25" t="str">
        <x:v>2026-07-30</x:v>
      </x:c>
      <x:c r="Z32" s="21" t="str">
        <x:v>SRC-VT-017,SRC-VT-021,SRC-VT-026,SRC-VT-029,SRC-VT-030,SRC-VT-031,SRC-VT-032,SRC-VT-039,SRC-VT-040,SRC-VT-041,SRC-VT-042,SRC-VT-045</x:v>
      </x:c>
    </x:row>
    <x:row r="33" ht="128" customHeight="1">
      <x:c r="A33" s="21" t="str">
        <x:v>VT-P002</x:v>
      </x:c>
      <x:c r="B33" s="21" t="str">
        <x:v>KB007</x:v>
      </x:c>
      <x:c r="C33" s="21" t="str">
        <x:v>VT Cosmetics</x:v>
      </x:c>
      <x:c r="D33" s="21" t="n">
        <x:v>2</x:v>
      </x:c>
      <x:c r="E33" s="21" t="str">
        <x:v>PDRN Essence 100</x:v>
      </x:c>
      <x:c r="F33" s="21" t="str">
        <x:v>PDRN Facial Essence / Serum</x:v>
      </x:c>
      <x:c r="G33" s="21" t="str">
        <x:v>Milky hydrating essence built around 100,000 ppm plant-derived PHYTO PDRN from Korean ginseng, ceramide complex and glow/elasticity positioning.</x:v>
      </x:c>
      <x:c r="H33" s="21" t="str">
        <x:v>Plant-derived PDRN from Korean ginseng; ceramide complex; panthenol; squalane; allantoin; polyglucuronic acid</x:v>
      </x:c>
      <x:c r="I33" s="21" t="str">
        <x:v>30 mL / 1.01 fl oz</x:v>
      </x:c>
      <x:c r="J33" s="50"/>
      <x:c r="K33" s="52" t="n">
        <x:v>28</x:v>
      </x:c>
      <x:c r="L33" s="52" t="n">
        <x:v>22.1</x:v>
      </x:c>
      <x:c r="M33" s="52" t="n">
        <x:v>21.8812</x:v>
      </x:c>
      <x:c r="N33" s="21" t="str">
        <x:v>Official DTC; Amazon U.S.; Ulta; Target assortment visibility; Nordstrom; TikTok Shop; authorized K-Beauty retailers</x:v>
      </x:c>
      <x:c r="O33" s="33" t="str">
        <x:v>2,506 Amazon; 527 Ulta</x:v>
      </x:c>
      <x:c r="P33" s="27" t="n">
        <x:v>4.6</x:v>
      </x:c>
      <x:c r="Q33" s="21" t="str">
        <x:v>Amazon showed 10K+ bought/month, 1K+ in the past week, #2,245 Beauty and #68 Facial Serums; Ulta showed 4.9/527.</x:v>
      </x:c>
      <x:c r="R33" s="21" t="str">
        <x:v>Strong current Amazon acceleration, very positive Ulta aggregate, differentiated vegan/ginseng PDRN story, lightweight glow and hydration appeal.</x:v>
      </x:c>
      <x:c r="S33" s="21" t="str">
        <x:v>Topical PDRN evidence and mechanism are debated; official fine-line, restoration, regeneration, repair and elasticity language needs substantiation; some users dislike bottle/pump or residue.</x:v>
      </x:c>
      <x:c r="T33" s="21" t="str">
        <x:v>Medicube PDRN Pink Peptide Serum</x:v>
      </x:c>
      <x:c r="U33" s="21" t="str">
        <x:v>VT uses ginseng-derived PDRN and a milky ceramide/glow format at $28; Medicube uses salmon PDRN plus peptides at $21 and already competes in the same Ulta/Amazon trend space.</x:v>
      </x:c>
      <x:c r="V33" s="21" t="str">
        <x:v>Exceptional</x:v>
      </x:c>
      <x:c r="W33" s="21" t="str">
        <x:v>IMG-VT-003</x:v>
      </x:c>
      <x:c r="X33" s="21" t="str">
        <x:v>https://globalvt-cosmetics.com/products/pdrn-essence-100</x:v>
      </x:c>
      <x:c r="Y33" s="25" t="str">
        <x:v>2026-07-30</x:v>
      </x:c>
      <x:c r="Z33" s="21" t="str">
        <x:v>SRC-VT-018,SRC-VT-022,SRC-VT-027,SRC-VT-035,SRC-VT-036,SRC-VT-046</x:v>
      </x:c>
    </x:row>
    <x:row r="34" ht="128" customHeight="1">
      <x:c r="A34" s="21" t="str">
        <x:v>VT-P003</x:v>
      </x:c>
      <x:c r="B34" s="21" t="str">
        <x:v>KB007</x:v>
      </x:c>
      <x:c r="C34" s="21" t="str">
        <x:v>VT Cosmetics</x:v>
      </x:c>
      <x:c r="D34" s="21" t="n">
        <x:v>3</x:v>
      </x:c>
      <x:c r="E34" s="21" t="str">
        <x:v>PDRN Capsule Cream 100</x:v>
      </x:c>
      <x:c r="F34" s="21" t="str">
        <x:v>Gel-Cream Moisturizer</x:v>
      </x:c>
      <x:c r="G34" s="21" t="str">
        <x:v>Lightweight dual-texture gel cream with visible capsules, plant-derived PDRN, hyaluronic-acid, panthenol, ceramide and peptide positioning for dewy hydration.</x:v>
      </x:c>
      <x:c r="H34" s="21" t="str">
        <x:v>100,000 ppm PHYTO PDRN Panax; multiple hyaluronic acids; panthenol; ceramides; peptides</x:v>
      </x:c>
      <x:c r="I34" s="21" t="str">
        <x:v>50 mL / 1.69 fl oz</x:v>
      </x:c>
      <x:c r="J34" s="50"/>
      <x:c r="K34" s="52" t="n">
        <x:v>20</x:v>
      </x:c>
      <x:c r="L34" s="52" t="n">
        <x:v>20</x:v>
      </x:c>
      <x:c r="M34" s="52" t="n">
        <x:v>11.8343</x:v>
      </x:c>
      <x:c r="N34" s="21" t="str">
        <x:v>Official DTC; Amazon U.S.; TikTok Shop; Ulta; Nordstrom; Walmart marketplace; authorized K-Beauty retailers</x:v>
      </x:c>
      <x:c r="O34" s="33" t="str">
        <x:v>35 Ulta; Amazon review count not captured</x:v>
      </x:c>
      <x:c r="P34" s="27" t="n">
        <x:v>4.9</x:v>
      </x:c>
      <x:c r="Q34" s="21" t="str">
        <x:v>Amazon showed 10K+ bought/month, #5,231 Beauty and #145 Face Moisturizers; TikTok Shop previously displayed 1.5K sold; Ulta showed 4.9/35.</x:v>
      </x:c>
      <x:c r="R34" s="21" t="str">
        <x:v>Accessible $20 price, high current Amazon badge, distinctive capsule texture, lightweight hydration and routine-friendly PDRN cross-sell.</x:v>
      </x:c>
      <x:c r="S34" s="21" t="str">
        <x:v>Newer review base is shallow outside Amazon's purchase badge; regeneration/repair claims need review; tub/capsule consistency and packaging need stability/quality controls.</x:v>
      </x:c>
      <x:c r="T34" s="21" t="str">
        <x:v>Anua PDRN Hyaluronic Acid Capsule 100 Serum</x:v>
      </x:c>
      <x:c r="U34" s="21" t="str">
        <x:v>Both use highly visible capsule/PDRN/hyaluronic concepts and glass-skin hydration. VT is an affordable moisturizer at $20; Anua is a $28 serum with a larger current Ulta review base.</x:v>
      </x:c>
      <x:c r="V34" s="21" t="str">
        <x:v>Very High</x:v>
      </x:c>
      <x:c r="W34" s="21" t="str">
        <x:v>IMG-VT-004</x:v>
      </x:c>
      <x:c r="X34" s="21" t="str">
        <x:v>https://globalvt-cosmetics.com/products/pdrn-capsule-cream-100</x:v>
      </x:c>
      <x:c r="Y34" s="25" t="str">
        <x:v>2026-07-30</x:v>
      </x:c>
      <x:c r="Z34" s="21" t="str">
        <x:v>SRC-VT-019,SRC-VT-023,SRC-VT-028,SRC-VT-037,SRC-VT-047</x:v>
      </x:c>
    </x:row>
    <x:row r="35" ht="128" customHeight="1">
      <x:c r="A35" s="21" t="str">
        <x:v>VT-P004</x:v>
      </x:c>
      <x:c r="B35" s="21" t="str">
        <x:v>KB007</x:v>
      </x:c>
      <x:c r="C35" s="21" t="str">
        <x:v>VT Cosmetics</x:v>
      </x:c>
      <x:c r="D35" s="21" t="n">
        <x:v>4</x:v>
      </x:c>
      <x:c r="E35" s="21" t="str">
        <x:v>Reedle Shot Lip Plumper Expert</x:v>
      </x:c>
      <x:c r="F35" s="21" t="str">
        <x:v>Intense Lip Plumper Gloss</x:v>
      </x:c>
      <x:c r="G35" s="21" t="str">
        <x:v>High-shine clear gloss using silica, menthyl lactate and vanillyl butyl ether for an intense tingling/burning plumping sensation and viral before/after content.</x:v>
      </x:c>
      <x:c r="H35" s="21" t="str">
        <x:v>Silica; menthyl lactate; vanillyl butyl ether; centella; jojoba oil; vitamin E; hyaluronic acid</x:v>
      </x:c>
      <x:c r="I35" s="21" t="str">
        <x:v>4.3 g / 0.15 oz</x:v>
      </x:c>
      <x:c r="J35" s="50"/>
      <x:c r="K35" s="52" t="n">
        <x:v>16</x:v>
      </x:c>
      <x:c r="L35" s="52" t="n">
        <x:v>16</x:v>
      </x:c>
      <x:c r="M35" s="52" t="n">
        <x:v>106.6667</x:v>
      </x:c>
      <x:c r="N35" s="21" t="str">
        <x:v>Official DTC; TikTok Shop U.S.; Ulta; Nordstrom; authorized K-Beauty retailers</x:v>
      </x:c>
      <x:c r="O35" s="33" t="str">
        <x:v>17.8K TikTok Shop; 48 Ulta</x:v>
      </x:c>
      <x:c r="P35" s="27" t="n">
        <x:v>3.8</x:v>
      </x:c>
      <x:c r="Q35" s="21" t="str">
        <x:v>Official TikTok Shop displayed 187.9K sold at 3.8; Ulta displayed 4.6/48 at $16.</x:v>
      </x:c>
      <x:c r="R35" s="21" t="str">
        <x:v>Exceptional TikTok conversion, immediate demonstration, low entry price, clear Beginner/Expert ladder and high visual virality.</x:v>
      </x:c>
      <x:c r="S35" s="21" t="str">
        <x:v>Polarizing pain/burning, 3.8 TikTok rating, sensitive/chapped-lip exclusions, return/adverse-event risk and circulation/volume/mechanism claims require careful wording.</x:v>
      </x:c>
      <x:c r="T35" s="21" t="str">
        <x:v>NYX Duck Plump Plumping Lip Gloss</x:v>
      </x:c>
      <x:c r="U35" s="21" t="str">
        <x:v>Both sell a hot/tingling mass plumper around $13–$16. VT has much stronger captured TikTok velocity and a K-Beauty spicule story; NYX has broader drug/mass distribution and a lower $13 entry price.</x:v>
      </x:c>
      <x:c r="V35" s="21" t="str">
        <x:v>Exceptional / Polarized</x:v>
      </x:c>
      <x:c r="W35" s="21" t="str">
        <x:v>IMG-VT-005</x:v>
      </x:c>
      <x:c r="X35" s="21" t="str">
        <x:v>https://globalvt-cosmetics.com/products/reedle-shot-lip-plumper_expert</x:v>
      </x:c>
      <x:c r="Y35" s="25" t="str">
        <x:v>2026-07-30</x:v>
      </x:c>
      <x:c r="Z35" s="21" t="str">
        <x:v>SRC-VT-007,SRC-VT-024,SRC-VT-038,SRC-VT-048</x:v>
      </x:c>
    </x:row>
    <x:row r="36" ht="128" customHeight="1">
      <x:c r="A36" s="21" t="str">
        <x:v>VT-P005</x:v>
      </x:c>
      <x:c r="B36" s="21" t="str">
        <x:v>KB007</x:v>
      </x:c>
      <x:c r="C36" s="21" t="str">
        <x:v>VT Cosmetics</x:v>
      </x:c>
      <x:c r="D36" s="21" t="n">
        <x:v>5</x:v>
      </x:c>
      <x:c r="E36" s="21" t="str">
        <x:v>Cica Daily Soothing Mask - 30pcs</x:v>
      </x:c>
      <x:c r="F36" s="21" t="str">
        <x:v>Daily Sheet-Mask Pack</x:v>
      </x:c>
      <x:c r="G36" s="21" t="str">
        <x:v>Thirty-sheet tub positioned for quick daily soothing, hydration and skin-balance routines with centella and hyaluronic-acid support.</x:v>
      </x:c>
      <x:c r="H36" s="21" t="str">
        <x:v>Centella asiatica complex; hyaluronic-acid ingredients; humectant essence</x:v>
      </x:c>
      <x:c r="I36" s="21" t="str">
        <x:v>350 g / 30 sheets</x:v>
      </x:c>
      <x:c r="J36" s="50"/>
      <x:c r="K36" s="52" t="n">
        <x:v>21.12</x:v>
      </x:c>
      <x:c r="L36" s="52" t="n">
        <x:v>21.12</x:v>
      </x:c>
      <x:c r="M36" s="52" t="n">
        <x:v>0.704</x:v>
      </x:c>
      <x:c r="N36" s="21" t="str">
        <x:v>Official DTC; TikTok Shop mask family; authorized global retailers; Amazon visibility not quantified; Sephora community legacy; specialty K-Beauty</x:v>
      </x:c>
      <x:c r="O36" s="33" t="str">
        <x:v>Current direct U.S. review count not established</x:v>
      </x:c>
      <x:c r="P36" s="27"/>
      <x:c r="Q36" s="21" t="str">
        <x:v>Official storefront carries 30 sheets at $21.12; the controlling source cites strong mask visibility, while current direct Amazon category-rank evidence was not established.</x:v>
      </x:c>
      <x:c r="R36" s="21" t="str">
        <x:v>Excellent per-use value, convenient daily ritual, strong legacy Cica recognition, large pack and low-sensation counterbalance to Reedle heroes.</x:v>
      </x:c>
      <x:c r="S36" s="21" t="str">
        <x:v>Bulky tub, hygiene/evaporation controls, daily-mask overuse concerns, regional/marketplace price pressure and weaker current U.S. direct sales evidence than Reedle/PDRN.</x:v>
      </x:c>
      <x:c r="T36" s="21" t="str">
        <x:v>MEDIHEAL Madecassoside Essential Mask 4ct</x:v>
      </x:c>
      <x:c r="U36" s="21" t="str">
        <x:v>Both emphasize centella/madecassoside-style soothing in accessible K-Beauty masks. VT offers 30 daily sheets at roughly $0.70 each; MEDIHEAL offers a smaller four-pack with a much deeper current Ulta review base.</x:v>
      </x:c>
      <x:c r="V36" s="21" t="str">
        <x:v>High / Needs Sales Verification</x:v>
      </x:c>
      <x:c r="W36" s="21" t="str">
        <x:v>IMG-VT-006</x:v>
      </x:c>
      <x:c r="X36" s="21" t="str">
        <x:v>https://globalvt-cosmetics.com/products/vt-cica-daily-soothing-mask-30pcs</x:v>
      </x:c>
      <x:c r="Y36" s="25" t="str">
        <x:v>2026-07-30</x:v>
      </x:c>
      <x:c r="Z36" s="21" t="str">
        <x:v>SRC-VT-025,SRC-VT-037,SRC-VT-049</x:v>
      </x:c>
    </x:row>
    <x:row r="37" ht="148" customHeight="1">
      <x:c r="A37" s="21" t="str">
        <x:v>RL-P001</x:v>
      </x:c>
      <x:c r="B37" s="21" t="str">
        <x:v>KB008</x:v>
      </x:c>
      <x:c r="C37" s="21" t="str">
        <x:v>Round Lab</x:v>
      </x:c>
      <x:c r="D37" s="21" t="n">
        <x:v>1</x:v>
      </x:c>
      <x:c r="E37" s="21" t="str">
        <x:v>Birch Juice Moisturizing UVLock Sunscreen SPF45 Broad Spectrum</x:v>
      </x:c>
      <x:c r="F37" s="21" t="str">
        <x:v>U.S. OTC Chemical Sunscreen</x:v>
      </x:c>
      <x:c r="G37" s="21" t="str">
        <x:v>Moisturizer-like broad-spectrum daily sunscreen formulated specifically for the U.S. market, positioned for hydration, easy layering and little/no white cast.</x:v>
      </x:c>
      <x:c r="H37" s="21" t="str">
        <x:v>Avobenzone 2.7%; homosalate 13.5%; octisalate 4.5%; birch sap; humectants</x:v>
      </x:c>
      <x:c r="I37" s="21" t="str">
        <x:v>50 mL / 1.69 fl oz</x:v>
      </x:c>
      <x:c r="J37" s="31"/>
      <x:c r="K37" s="31" t="n">
        <x:v>24.99</x:v>
      </x:c>
      <x:c r="L37" s="31" t="n">
        <x:v>22.22</x:v>
      </x:c>
      <x:c r="M37" s="31" t="n">
        <x:v>13.1479</x:v>
      </x:c>
      <x:c r="N37" s="21" t="str">
        <x:v>Official U.S. DTC; Amazon U.S.; TikTok Shop; Ulta; Target; Costco; iHerb</x:v>
      </x:c>
      <x:c r="O37" s="33" t="str">
        <x:v>2,100 Amazon; 625 Target; 527 Ulta snapshot</x:v>
      </x:c>
      <x:c r="P37" s="27" t="n">
        <x:v>4.4</x:v>
      </x:c>
      <x:c r="Q37" s="21" t="str">
        <x:v>Amazon showed 10K+ bought/month, #1,255 Beauty and #23 Facial Sunscreens; official site says 20M+ sunscreen units sold worldwide; NBC selected it as the top facial sunscreen in a 2025 test.</x:v>
      </x:c>
      <x:c r="R37" s="21" t="str">
        <x:v>High velocity, strong media validation, mainstream distribution, accessible MSRP, hydrating texture and clear U.S.-specific OTC compliance pathway.</x:v>
      </x:c>
      <x:c r="S37" s="21" t="str">
        <x:v>No featured Amazon offer when checked; U.S. versus Korean formula/scent/filter differences confuse consumers; some report greasiness, stinging or rash; strict OTC formula/artwork control required.</x:v>
      </x:c>
      <x:c r="T37" s="21" t="str">
        <x:v>Beauty of Joseon Daily Relief Sunscreen SPF40</x:v>
      </x:c>
      <x:c r="U37" s="21" t="str">
        <x:v>Both translate a Korean sunscreen feel into a U.S.-compliant OTC chemical sunscreen. Round Lab carries a higher $24.99 MSRP but broader current mass-retail evidence and a very strong live Amazon rank.</x:v>
      </x:c>
      <x:c r="V37" s="21" t="str">
        <x:v>Exceptional</x:v>
      </x:c>
      <x:c r="W37" s="21" t="str">
        <x:v>IMG-RL-002</x:v>
      </x:c>
      <x:c r="X37" s="21" t="str">
        <x:v>https://roundlab.com/products/birch-moisturizing-uv-sunscreen</x:v>
      </x:c>
      <x:c r="Y37" s="25" t="str">
        <x:v>2026-07-30</x:v>
      </x:c>
      <x:c r="Z37" s="21" t="str">
        <x:v>SRC-RL-007,SRC-RL-013,SRC-RL-015,SRC-RL-019,SRC-RL-020,SRC-RL-032</x:v>
      </x:c>
    </x:row>
    <x:row r="38" ht="148" customHeight="1">
      <x:c r="A38" s="21" t="str">
        <x:v>RL-P002</x:v>
      </x:c>
      <x:c r="B38" s="21" t="str">
        <x:v>KB008</x:v>
      </x:c>
      <x:c r="C38" s="21" t="str">
        <x:v>Round Lab</x:v>
      </x:c>
      <x:c r="D38" s="21" t="n">
        <x:v>2</x:v>
      </x:c>
      <x:c r="E38" s="21" t="str">
        <x:v>1025 Dokdo Toner</x:v>
      </x:c>
      <x:c r="F38" s="21" t="str">
        <x:v>Hydrating / Gentle Exfoliating Toner</x:v>
      </x:c>
      <x:c r="G38" s="21" t="str">
        <x:v>Watery, unscented daily toner using deep seawater, humectants and enzyme/sugarcane support for light hydration, residue-free layering and gentle surface exfoliation.</x:v>
      </x:c>
      <x:c r="H38" s="21" t="str">
        <x:v>Deep seawater; betaine; panthenol; allantoin; Chondrus crispus; sugarcane extract; protease</x:v>
      </x:c>
      <x:c r="I38" s="21" t="str">
        <x:v>200 mL / 6.76 fl oz</x:v>
      </x:c>
      <x:c r="J38" s="31"/>
      <x:c r="K38" s="31" t="n">
        <x:v>16.99</x:v>
      </x:c>
      <x:c r="L38" s="31" t="n">
        <x:v>11.69</x:v>
      </x:c>
      <x:c r="M38" s="31" t="n">
        <x:v>1.7293</x:v>
      </x:c>
      <x:c r="N38" s="21" t="str">
        <x:v>Official U.S. DTC; Amazon U.S.; Ulta; Target; iHerb; Olive Young and authorized cross-border retailers</x:v>
      </x:c>
      <x:c r="O38" s="33" t="str">
        <x:v>1,842 Amazon; 270 Ulta; 264 Target</x:v>
      </x:c>
      <x:c r="P38" s="27" t="n">
        <x:v>4.7</x:v>
      </x:c>
      <x:c r="Q38" s="21" t="str">
        <x:v>Amazon showed 7K+ bought/month and #44 Toners; Target displayed 5K+ bought last month; official brand content says 2M+ users and Korea's No.1 toner for four years.</x:v>
      </x:c>
      <x:c r="R38" s="21" t="str">
        <x:v>Strong cross-channel reviews, low unit cost, simple sensitive-skin-friendly routine role, high repeat potential and durable Korean hero equity.</x:v>
      </x:c>
      <x:c r="S38" s="21" t="str">
        <x:v>Some consumers find it too basic, not exfoliating or hydrating enough, or drying without multiple layers; occasional irritation/breakouts; aggressive eczema/cell-turnover language must not be reused.</x:v>
      </x:c>
      <x:c r="T38" s="21" t="str">
        <x:v>Anua Rice 70 Glow Milky Toner</x:v>
      </x:c>
      <x:c r="U38" s="21" t="str">
        <x:v>Round Lab is a lighter, watery mineral/humectant toner at a lower current shelf price; Anua is a richer 8.45 oz milky ceramide/niacinamide toner at $21 with stronger glass-skin positioning.</x:v>
      </x:c>
      <x:c r="V38" s="21" t="str">
        <x:v>Exceptional</x:v>
      </x:c>
      <x:c r="W38" s="21" t="str">
        <x:v>IMG-RL-003</x:v>
      </x:c>
      <x:c r="X38" s="21" t="str">
        <x:v>https://roundlab.com/products/1025-dokdo-toner</x:v>
      </x:c>
      <x:c r="Y38" s="25" t="str">
        <x:v>2026-07-30</x:v>
      </x:c>
      <x:c r="Z38" s="21" t="str">
        <x:v>SRC-RL-008,SRC-RL-016,SRC-RL-021,SRC-RL-029,SRC-RL-033,SRC-RL-034</x:v>
      </x:c>
    </x:row>
    <x:row r="39" ht="148" customHeight="1">
      <x:c r="A39" s="21" t="str">
        <x:v>RL-P003</x:v>
      </x:c>
      <x:c r="B39" s="21" t="str">
        <x:v>KB008</x:v>
      </x:c>
      <x:c r="C39" s="21" t="str">
        <x:v>Round Lab</x:v>
      </x:c>
      <x:c r="D39" s="21" t="n">
        <x:v>3</x:v>
      </x:c>
      <x:c r="E39" s="21" t="str">
        <x:v>1025 Dokdo Cleanser</x:v>
      </x:c>
      <x:c r="F39" s="21" t="str">
        <x:v>Low-pH Foaming Facial Cleanser</x:v>
      </x:c>
      <x:c r="G39" s="21" t="str">
        <x:v>Creamy low-pH daily cleanser positioned to remove impurities and excess sebum without over-drying, with soothing and barrier-support ingredients.</x:v>
      </x:c>
      <x:c r="H39" s="21" t="str">
        <x:v>Deep seawater; panthenol; allantoin; ceramide NP; glycerin; mild surfactant system</x:v>
      </x:c>
      <x:c r="I39" s="21" t="str">
        <x:v>150 mL / 5.07 fl oz</x:v>
      </x:c>
      <x:c r="J39" s="31"/>
      <x:c r="K39" s="31" t="n">
        <x:v>17</x:v>
      </x:c>
      <x:c r="L39" s="31" t="n">
        <x:v>11.39</x:v>
      </x:c>
      <x:c r="M39" s="31" t="n">
        <x:v>2.2465</x:v>
      </x:c>
      <x:c r="N39" s="21" t="str">
        <x:v>Official U.S. DTC; Amazon U.S.; Ulta; Target; iHerb; authorized K-Beauty retailers</x:v>
      </x:c>
      <x:c r="O39" s="33" t="str">
        <x:v>1,761 Amazon bundle constituent; 318 Target; 236 Ulta</x:v>
      </x:c>
      <x:c r="P39" s="27" t="n">
        <x:v>4.8</x:v>
      </x:c>
      <x:c r="Q39" s="21" t="str">
        <x:v>Official site displayed 466 reviews; Target showed 4.8/318 and Ulta 4.8/236; an Amazon bundle page showed 1,761 reviews for the constituent cleanser.</x:v>
      </x:c>
      <x:c r="R39" s="21" t="str">
        <x:v>Affordable, broad availability, low-pH positioning, soft foam, strong retailer aggregates and natural cross-sell with Dokdo Toner.</x:v>
      </x:c>
      <x:c r="S39" s="21" t="str">
        <x:v>Some Reddit users report tightness, dryness, itching, redness or eye irritation; formula/packaging must be matched by lot and market; disease-treatment claims require review.</x:v>
      </x:c>
      <x:c r="T39" s="21" t="str">
        <x:v>COSRX Low pH Good Morning Gel Cleanser</x:v>
      </x:c>
      <x:c r="U39" s="21" t="str">
        <x:v>Both are low-pH affordable K-Beauty cleansers. Round Lab is creamier and fragrance-free-positioned with Dokdo hydration; COSRX is a tea-tree/betaine-salicylate gel at a lower $14 list price.</x:v>
      </x:c>
      <x:c r="V39" s="21" t="str">
        <x:v>Very High</x:v>
      </x:c>
      <x:c r="W39" s="21" t="str">
        <x:v>IMG-RL-004</x:v>
      </x:c>
      <x:c r="X39" s="21" t="str">
        <x:v>https://roundlab.com/products/1025-dokdo-cleanser</x:v>
      </x:c>
      <x:c r="Y39" s="25" t="str">
        <x:v>2026-07-30</x:v>
      </x:c>
      <x:c r="Z39" s="21" t="str">
        <x:v>SRC-RL-022,SRC-RL-029,SRC-RL-035,SRC-RL-036,SRC-RL-037</x:v>
      </x:c>
    </x:row>
    <x:row r="40" ht="148" customHeight="1">
      <x:c r="A40" s="21" t="str">
        <x:v>RL-P004</x:v>
      </x:c>
      <x:c r="B40" s="21" t="str">
        <x:v>KB008</x:v>
      </x:c>
      <x:c r="C40" s="21" t="str">
        <x:v>Round Lab</x:v>
      </x:c>
      <x:c r="D40" s="21" t="n">
        <x:v>4</x:v>
      </x:c>
      <x:c r="E40" s="21" t="str">
        <x:v>Birch Moisturizing Cream</x:v>
      </x:c>
      <x:c r="F40" s="21" t="str">
        <x:v>Hydrating Gel-Cream Moisturizer</x:v>
      </x:c>
      <x:c r="G40" s="21" t="str">
        <x:v>Lightweight, unscented birch-sap moisturizer positioned to hydrate, support the moisture barrier and layer comfortably across sensitive-skin routines.</x:v>
      </x:c>
      <x:c r="H40" s="21" t="str">
        <x:v>Birch sap 10,000 ppm; panthenol; glyceryl glucoside; jojoba esters; sodium hyaluronate; hyaluronic acid</x:v>
      </x:c>
      <x:c r="I40" s="21" t="str">
        <x:v>80 mL / 2.70 fl oz</x:v>
      </x:c>
      <x:c r="J40" s="31"/>
      <x:c r="K40" s="31" t="n">
        <x:v>36</x:v>
      </x:c>
      <x:c r="L40" s="31" t="n">
        <x:v>25.99</x:v>
      </x:c>
      <x:c r="M40" s="31" t="n">
        <x:v>9.6259</x:v>
      </x:c>
      <x:c r="N40" s="21" t="str">
        <x:v>Official U.S. DTC; Ulta; Target; iHerb; authorized K-Beauty retailers</x:v>
      </x:c>
      <x:c r="O40" s="33" t="str">
        <x:v>674 Target; 153 Ulta; 95 official DTC</x:v>
      </x:c>
      <x:c r="P40" s="27" t="n">
        <x:v>4.8</x:v>
      </x:c>
      <x:c r="Q40" s="21" t="str">
        <x:v>Target showed 4.8/674 and Ulta 4.8/153; official DTC lists $36 before promotions and a 95-review aggregate.</x:v>
      </x:c>
      <x:c r="R40" s="21" t="str">
        <x:v>Large current retailer review base, accessible mass/specialty price, light texture, barrier-routine cross-sell and strong Birch franchise recognition.</x:v>
      </x:c>
      <x:c r="S40" s="21" t="str">
        <x:v>Can look shiny or feel insufficient for very dry skin; official inflammation, pigmentation, collagen, detox and hair-loss language creates U.S. claim risk; DTC/Target price spread compresses margin.</x:v>
      </x:c>
      <x:c r="T40" s="21" t="str">
        <x:v>Dr.G R.E.D Blemish Clear Soothing Cream</x:v>
      </x:c>
      <x:c r="U40" s="21" t="str">
        <x:v>Both are Korean soothing gel-creams around 70–80 mL. Round Lab emphasizes birch hydration and has strong U.S. mass-retail validation; Dr.G emphasizes cica soothing at a similar $34.95 list price.</x:v>
      </x:c>
      <x:c r="V40" s="21" t="str">
        <x:v>Very High</x:v>
      </x:c>
      <x:c r="W40" s="21" t="str">
        <x:v>IMG-RL-005</x:v>
      </x:c>
      <x:c r="X40" s="21" t="str">
        <x:v>https://roundlab.com/products/birch-moisturizing-cream</x:v>
      </x:c>
      <x:c r="Y40" s="25" t="str">
        <x:v>2026-07-30</x:v>
      </x:c>
      <x:c r="Z40" s="21" t="str">
        <x:v>SRC-RL-023,SRC-RL-029,SRC-RL-038,SRC-RL-047</x:v>
      </x:c>
    </x:row>
    <x:row r="41" ht="148" customHeight="1">
      <x:c r="A41" s="21" t="str">
        <x:v>RL-P005</x:v>
      </x:c>
      <x:c r="B41" s="21" t="str">
        <x:v>KB008</x:v>
      </x:c>
      <x:c r="C41" s="21" t="str">
        <x:v>Round Lab</x:v>
      </x:c>
      <x:c r="D41" s="21" t="n">
        <x:v>5</x:v>
      </x:c>
      <x:c r="E41" s="21" t="str">
        <x:v>Birch Juice Mild-Up UVLock Sunscreen SPF50 Broad Spectrum</x:v>
      </x:c>
      <x:c r="F41" s="21" t="str">
        <x:v>U.S. OTC Mineral Sunscreen</x:v>
      </x:c>
      <x:c r="G41" s="21" t="str">
        <x:v>Zinc-oxide mineral broad-spectrum sunscreen positioned for sensitive skin, tone-up, hydration and a soft finish.</x:v>
      </x:c>
      <x:c r="H41" s="21" t="str">
        <x:v>Zinc oxide 17%; birch sap; hyaluronic acid; glyceryl glucoside; vitamin E</x:v>
      </x:c>
      <x:c r="I41" s="21" t="str">
        <x:v>50 mL / 1.69 fl oz</x:v>
      </x:c>
      <x:c r="J41" s="31"/>
      <x:c r="K41" s="31" t="n">
        <x:v>24.99</x:v>
      </x:c>
      <x:c r="L41" s="31" t="n">
        <x:v>24.99</x:v>
      </x:c>
      <x:c r="M41" s="31" t="n">
        <x:v>14.787</x:v>
      </x:c>
      <x:c r="N41" s="21" t="str">
        <x:v>Official U.S. DTC; Amazon U.S.; TikTok Shop; Ulta; Target; iHerb</x:v>
      </x:c>
      <x:c r="O41" s="33" t="str">
        <x:v>614 Amazon snapshot; 51 Ulta</x:v>
      </x:c>
      <x:c r="P41" s="27" t="n">
        <x:v>4.3</x:v>
      </x:c>
      <x:c r="Q41" s="21" t="str">
        <x:v>Amazon showed 3K+ bought/month and #89 Facial Sunscreens; Ulta listed 4.0/51; official DTC and Ulta anchored price at $24.99.</x:v>
      </x:c>
      <x:c r="R41" s="21" t="str">
        <x:v>Mineral-filter alternative within the same Birch franchise, strong purchase badge, sensitive-skin/tone-up story and mainstream distribution.</x:v>
      </x:c>
      <x:c r="S41" s="21" t="str">
        <x:v>Mineral white cast/tone-up and herbal/wood scent can polarize; current Amazon price was cart-hidden; exact zinc-oxide Drug Facts, NDC and label controls are mandatory.</x:v>
      </x:c>
      <x:c r="T41" s="21" t="str">
        <x:v>SKIN1004 Hyalu-Cica Water-Fit Sun Serum UV SPF50</x:v>
      </x:c>
      <x:c r="U41" s="21" t="str">
        <x:v>Both are hydrating U.S.-market K-Beauty sunscreens, but Round Lab Mild-Up is a mineral zinc-oxide tone-up formula while SKIN1004 is positioned as a lightweight serum texture at a lower $19 list price.</x:v>
      </x:c>
      <x:c r="V41" s="21" t="str">
        <x:v>High</x:v>
      </x:c>
      <x:c r="W41" s="21" t="str">
        <x:v>IMG-RL-006</x:v>
      </x:c>
      <x:c r="X41" s="21" t="str">
        <x:v>https://roundlab.com/products/birch-juice-mild-up-uvlock-sunscreen</x:v>
      </x:c>
      <x:c r="Y41" s="25" t="str">
        <x:v>2026-07-30</x:v>
      </x:c>
      <x:c r="Z41" s="21" t="str">
        <x:v>SRC-RL-017,SRC-RL-024,SRC-RL-025</x:v>
      </x:c>
    </x:row>
    <x:row r="42" ht="154" customHeight="1">
      <x:c r="A42" s="21" t="str">
        <x:v>MED-P001</x:v>
      </x:c>
      <x:c r="B42" s="21" t="str">
        <x:v>KB009</x:v>
      </x:c>
      <x:c r="C42" s="21" t="str">
        <x:v>Mediheal</x:v>
      </x:c>
      <x:c r="D42" s="21" t="n">
        <x:v>1</x:v>
      </x:c>
      <x:c r="E42" s="21" t="str">
        <x:v>Madecassoside Blemish Pad</x:v>
      </x:c>
      <x:c r="F42" s="21" t="str">
        <x:v>Calming / Blemish-Care Toner Pads</x:v>
      </x:c>
      <x:c r="G42" s="21" t="str">
        <x:v>Large gauze-style toner pads used either to swipe after cleansing or as targeted mini masks for hydration, visible redness and uneven-tone care.</x:v>
      </x:c>
      <x:c r="H42" s="21" t="str">
        <x:v>Niacinamide; Centella asiatica; madecassoside; allantoin; glycerin; essential oils</x:v>
      </x:c>
      <x:c r="I42" s="21" t="str">
        <x:v>100 pads / 170 mL</x:v>
      </x:c>
      <x:c r="J42" s="31"/>
      <x:c r="K42" s="31" t="n">
        <x:v>26.4</x:v>
      </x:c>
      <x:c r="L42" s="31" t="n">
        <x:v>16.8</x:v>
      </x:c>
      <x:c r="M42" s="31" t="n">
        <x:v>0.168</x:v>
      </x:c>
      <x:c r="N42" s="21" t="str">
        <x:v>Official DTC; Amazon; TikTok Shop; Ulta; Target; Costco; iHerb; Olive Young</x:v>
      </x:c>
      <x:c r="O42" s="33" t="str">
        <x:v>10,184 Amazon parent/variant family; 5,264 official DTC; 3,064 Ulta</x:v>
      </x:c>
      <x:c r="P42" s="27" t="n">
        <x:v>4.6</x:v>
      </x:c>
      <x:c r="Q42" s="21" t="str">
        <x:v>Amazon displayed 4K+ bought/month at $16.80, implying at least $67,200/month for the distinct ASIN; Target and iHerb add material offline/retailer evidence.</x:v>
      </x:c>
      <x:c r="R42" s="21" t="str">
        <x:v>Largest captured Amazon toner-pad velocity; powerful Madecassoside equity; 100-pad value; mini-mask versatility; refill availability; high review depth; mass/specialty/club access.</x:v>
      </x:c>
      <x:c r="S42" s="21" t="str">
        <x:v>Amazon deal price is about 36% below current $26.40 DTC/Ulta MSRP; some users report stinging, breakouts or scent sensitivity; bulky jar/dry-out risk; gray-market and renewed-formula confusion.</x:v>
      </x:c>
      <x:c r="T42" s="21" t="str">
        <x:v>Anua Heartleaf 77 Clear Pad</x:v>
      </x:c>
      <x:c r="U42" s="21" t="str">
        <x:v>Both target calming and gentle daily use. Mediheal supplies 100 pads, much deeper Amazon review/velocity and stronger multi-retailer evidence; Anua offers 70 pads at $22 with heartleaf/PHA positioning.</x:v>
      </x:c>
      <x:c r="V42" s="21" t="str">
        <x:v>Exceptional</x:v>
      </x:c>
      <x:c r="W42" s="21" t="str">
        <x:v>IMG-MED-002</x:v>
      </x:c>
      <x:c r="X42" s="21" t="str">
        <x:v>https://mediheal.com/products/madecassoside-blemish-pad</x:v>
      </x:c>
      <x:c r="Y42" s="25" t="str">
        <x:v>2026-07-30</x:v>
      </x:c>
      <x:c r="Z42" s="21" t="str">
        <x:v>SRC-MED-007,SRC-MED-022,SRC-MED-029,SRC-MED-034,SRC-MED-037</x:v>
      </x:c>
    </x:row>
    <x:row r="43" ht="154" customHeight="1">
      <x:c r="A43" s="21" t="str">
        <x:v>MED-P002</x:v>
      </x:c>
      <x:c r="B43" s="21" t="str">
        <x:v>KB009</x:v>
      </x:c>
      <x:c r="C43" s="21" t="str">
        <x:v>Mediheal</x:v>
      </x:c>
      <x:c r="D43" s="21" t="n">
        <x:v>2</x:v>
      </x:c>
      <x:c r="E43" s="21" t="str">
        <x:v>Teatree Trouble Pad</x:v>
      </x:c>
      <x:c r="F43" s="21" t="str">
        <x:v>Calming / Oil-Balancing Toner Pads</x:v>
      </x:c>
      <x:c r="G43" s="21" t="str">
        <x:v>Tea-tree-focused square pads positioned to calm visible irritation, rebalance oil and provide lightweight hydration, with swipe or mini-mask use.</x:v>
      </x:c>
      <x:c r="H43" s="21" t="str">
        <x:v>Tea tree leaf water/oil/extract; Lactobacillus ferment; allantoin; glycerin</x:v>
      </x:c>
      <x:c r="I43" s="21" t="str">
        <x:v>100 pads</x:v>
      </x:c>
      <x:c r="J43" s="31"/>
      <x:c r="K43" s="31" t="n">
        <x:v>26.4</x:v>
      </x:c>
      <x:c r="L43" s="31" t="n">
        <x:v>16.8</x:v>
      </x:c>
      <x:c r="M43" s="31" t="n">
        <x:v>0.168</x:v>
      </x:c>
      <x:c r="N43" s="21" t="str">
        <x:v>Official DTC; Amazon; TikTok Shop; Ulta; Target; iHerb; Olive Young</x:v>
      </x:c>
      <x:c r="O43" s="33" t="str">
        <x:v>10,184 Amazon parent/variant family; 6,178 official DTC; 3,929 Ulta</x:v>
      </x:c>
      <x:c r="P43" s="27" t="n">
        <x:v>4.6</x:v>
      </x:c>
      <x:c r="Q43" s="21" t="str">
        <x:v>Amazon displayed 1K+ bought/month at $16.80, implying at least $16,800/month for the distinct ASIN; review depth is high across DTC and Ulta.</x:v>
      </x:c>
      <x:c r="R43" s="21" t="str">
        <x:v>Clear concern-based merchandising, strong acne-prone/teen relevance, large review bases, high repeat potential and easy cross-sell with essential masks and spot patches.</x:v>
      </x:c>
      <x:c r="S43" s="21" t="str">
        <x:v>Tea tree oil and pad texture may irritate reactive skin; cosmetic acne-treatment language needs careful review; parent-family Amazon review count is not variant-specific; strong price conflict.</x:v>
      </x:c>
      <x:c r="T43" s="21" t="str">
        <x:v>COSRX One Step Original Blemish Pore Clear Pad</x:v>
      </x:c>
      <x:c r="U43" s="21" t="str">
        <x:v>Both are 100-pad K-Beauty blemish/pore formats near $26 list. Mediheal has stronger captured Amazon velocity and tea-tree mini-mask positioning; COSRX emphasizes dual-sided exfoliation and post-breakout care.</x:v>
      </x:c>
      <x:c r="V43" s="21" t="str">
        <x:v>Very High</x:v>
      </x:c>
      <x:c r="W43" s="21" t="str">
        <x:v>IMG-MED-003</x:v>
      </x:c>
      <x:c r="X43" s="21" t="str">
        <x:v>https://mediheal.com/products/teatree-trouble-pad</x:v>
      </x:c>
      <x:c r="Y43" s="25" t="str">
        <x:v>2026-07-30</x:v>
      </x:c>
      <x:c r="Z43" s="21" t="str">
        <x:v>SRC-MED-008,SRC-MED-023,SRC-MED-030,SRC-MED-034</x:v>
      </x:c>
    </x:row>
    <x:row r="44" ht="154" customHeight="1">
      <x:c r="A44" s="21" t="str">
        <x:v>MED-P003</x:v>
      </x:c>
      <x:c r="B44" s="21" t="str">
        <x:v>KB009</x:v>
      </x:c>
      <x:c r="C44" s="21" t="str">
        <x:v>Mediheal</x:v>
      </x:c>
      <x:c r="D44" s="21" t="n">
        <x:v>3</x:v>
      </x:c>
      <x:c r="E44" s="21" t="str">
        <x:v>PDRN Lifting Pad</x:v>
      </x:c>
      <x:c r="F44" s="21" t="str">
        <x:v>Firming / Pore-Care Toner Pads</x:v>
      </x:c>
      <x:c r="G44" s="21" t="str">
        <x:v>Stretchable toner pads pairing rose-derived PDRN positioning with niacinamide, glutathione and hydrating ingredients for pore appearance, elasticity and hydration.</x:v>
      </x:c>
      <x:c r="H44" s="21" t="str">
        <x:v>Rose water/extract; niacinamide; glutathione; panthenol; ectoin; sodium DNA; peptide</x:v>
      </x:c>
      <x:c r="I44" s="21" t="str">
        <x:v>100 pads</x:v>
      </x:c>
      <x:c r="J44" s="31"/>
      <x:c r="K44" s="31" t="n">
        <x:v>26.4</x:v>
      </x:c>
      <x:c r="L44" s="31" t="n">
        <x:v>16.8</x:v>
      </x:c>
      <x:c r="M44" s="31" t="n">
        <x:v>0.168</x:v>
      </x:c>
      <x:c r="N44" s="21" t="str">
        <x:v>Official DTC; Amazon; TikTok Shop; Ulta; Target; Olive Young</x:v>
      </x:c>
      <x:c r="O44" s="33" t="str">
        <x:v>10,184 Amazon parent/variant family; 8 official DTC; 6 Ulta</x:v>
      </x:c>
      <x:c r="P44" s="27" t="n">
        <x:v>4.6</x:v>
      </x:c>
      <x:c r="Q44" s="21" t="str">
        <x:v>Amazon displayed 1K+ bought/month at $16.80, implying at least $16,800/month; the collection rolled out through more than 1,400 Ulta stores in February 2026.</x:v>
      </x:c>
      <x:c r="R44" s="21" t="str">
        <x:v>High-growth PDRN story, national Ulta launch, current beauty-editor attention, accessible price and stretchable pad differentiation.</x:v>
      </x:c>
      <x:c r="S44" s="21" t="str">
        <x:v>Very new U.S. review base outside Amazon parent family; lifting, wrinkle, pore-tightening, penetration and renewal claims require substantiation; Medicube/VT/Biodance PDRN competition is intense.</x:v>
      </x:c>
      <x:c r="T44" s="21" t="str">
        <x:v>Biodance Collagen Gel Toner Pads</x:v>
      </x:c>
      <x:c r="U44" s="21" t="str">
        <x:v>Both target firming, pores and hydration at $26 list. Mediheal supplies 100 stretchable pads with PDRN and wider Ulta/Target reach; Biodance uses 60 hydrogel pads and collagen-mask adjacency.</x:v>
      </x:c>
      <x:c r="V44" s="21" t="str">
        <x:v>High Growth</x:v>
      </x:c>
      <x:c r="W44" s="21" t="str">
        <x:v>IMG-MED-004</x:v>
      </x:c>
      <x:c r="X44" s="21" t="str">
        <x:v>https://mediheal.com/products/pdrn-lifting-pad</x:v>
      </x:c>
      <x:c r="Y44" s="25" t="str">
        <x:v>2026-07-30</x:v>
      </x:c>
      <x:c r="Z44" s="21" t="str">
        <x:v>SRC-MED-009,SRC-MED-024,SRC-MED-016,SRC-MED-032,SRC-MED-035</x:v>
      </x:c>
    </x:row>
    <x:row r="45" ht="154" customHeight="1">
      <x:c r="A45" s="21" t="str">
        <x:v>MED-P004</x:v>
      </x:c>
      <x:c r="B45" s="21" t="str">
        <x:v>KB009</x:v>
      </x:c>
      <x:c r="C45" s="21" t="str">
        <x:v>Mediheal</x:v>
      </x:c>
      <x:c r="D45" s="21" t="n">
        <x:v>4</x:v>
      </x:c>
      <x:c r="E45" s="21" t="str">
        <x:v>Madecassoside Essential Mask Blemish Repair</x:v>
      </x:c>
      <x:c r="F45" s="21" t="str">
        <x:v>Soothing Sheet Mask</x:v>
      </x:c>
      <x:c r="G45" s="21" t="str">
        <x:v>Single-use essence sheet masks positioned for visible calming, hydration, dark-spot appearance and post-blemish tone care.</x:v>
      </x:c>
      <x:c r="H45" s="21" t="str">
        <x:v>Niacinamide; madecassoside; Centella asiatica; hyaluronic-acid forms; panthenol; ceramide NP</x:v>
      </x:c>
      <x:c r="I45" s="21" t="str">
        <x:v>10 sheets</x:v>
      </x:c>
      <x:c r="J45" s="31"/>
      <x:c r="K45" s="31" t="n">
        <x:v>22</x:v>
      </x:c>
      <x:c r="L45" s="31" t="n">
        <x:v>22</x:v>
      </x:c>
      <x:c r="M45" s="31" t="n">
        <x:v>2.2</x:v>
      </x:c>
      <x:c r="N45" s="21" t="str">
        <x:v>Official DTC; Amazon; Ulta; Target; iHerb; Olive Young</x:v>
      </x:c>
      <x:c r="O45" s="33" t="str">
        <x:v>593 Amazon; 2,962 official DTC; 2,355 Ulta</x:v>
      </x:c>
      <x:c r="P45" s="27" t="n">
        <x:v>4.6</x:v>
      </x:c>
      <x:c r="Q45" s="21" t="str">
        <x:v>Amazon displayed 2K+ bought/month at $22, implying at least $44,000/month. Target separately displayed 5K+ bought/month for a single Madecassoside Essential Mask.</x:v>
      </x:c>
      <x:c r="R45" s="21" t="str">
        <x:v>Strong heritage franchise; low per-use price; unusually deep review base; high Target and Amazon demand; easy trial, gifting and pad cross-sell.</x:v>
      </x:c>
      <x:c r="S45" s="21" t="str">
        <x:v>Single-use waste; scent/essential-oil sensitivity; blemish-repair and penetration language needs review; packs and per-sheet prices vary widely by retailer and promotion.</x:v>
      </x:c>
      <x:c r="T45" s="21" t="str">
        <x:v>Biodance Bio-Collagen Real Deep Mask</x:v>
      </x:c>
      <x:c r="U45" s="21" t="str">
        <x:v>Mediheal offers a conventional 10-sheet soothing mask at about $2.20 each with heritage scale; Biodance offers a higher-priced multi-hour hydrogel mask with stronger premium/viral transformation positioning.</x:v>
      </x:c>
      <x:c r="V45" s="21" t="str">
        <x:v>Very High</x:v>
      </x:c>
      <x:c r="W45" s="21" t="str">
        <x:v>IMG-MED-005</x:v>
      </x:c>
      <x:c r="X45" s="21" t="str">
        <x:v>https://mediheal.com/products/madecassoside-essential-mask-blemish-repair-1</x:v>
      </x:c>
      <x:c r="Y45" s="25" t="str">
        <x:v>2026-07-30</x:v>
      </x:c>
      <x:c r="Z45" s="21" t="str">
        <x:v>SRC-MED-010,SRC-MED-027,SRC-MED-034,SRC-MED-038,SRC-MED-042</x:v>
      </x:c>
    </x:row>
    <x:row r="46" ht="154" customHeight="1">
      <x:c r="A46" s="21" t="str">
        <x:v>MED-P005</x:v>
      </x:c>
      <x:c r="B46" s="21" t="str">
        <x:v>KB009</x:v>
      </x:c>
      <x:c r="C46" s="21" t="str">
        <x:v>Mediheal</x:v>
      </x:c>
      <x:c r="D46" s="21" t="n">
        <x:v>5</x:v>
      </x:c>
      <x:c r="E46" s="21" t="str">
        <x:v>Madecassoside Moisture Sun Serum Broad Spectrum SPF 50+</x:v>
      </x:c>
      <x:c r="F46" s="21" t="str">
        <x:v>U.S. OTC Chemical Sunscreen</x:v>
      </x:c>
      <x:c r="G46" s="21" t="str">
        <x:v>Lightweight serum-texture U.S. sunscreen positioned for hydration, no white cast and daily UVA/UVB protection.</x:v>
      </x:c>
      <x:c r="H46" s="21" t="str">
        <x:v>Homosalate 5%; octocrylene 5%; octisalate 4.5%; ensulizole 2.5%; niacinamide; madecassoside; Centella</x:v>
      </x:c>
      <x:c r="I46" s="21" t="str">
        <x:v>50 mL / 1.69 fl oz</x:v>
      </x:c>
      <x:c r="J46" s="31"/>
      <x:c r="K46" s="31" t="n">
        <x:v>22</x:v>
      </x:c>
      <x:c r="L46" s="31" t="n">
        <x:v>22</x:v>
      </x:c>
      <x:c r="M46" s="31" t="n">
        <x:v>0.44</x:v>
      </x:c>
      <x:c r="N46" s="21" t="str">
        <x:v>Official DTC; TikTok Shop; Ulta</x:v>
      </x:c>
      <x:c r="O46" s="33" t="str">
        <x:v>45 Ulta snapshot; 256 TikTok Shop sold display</x:v>
      </x:c>
      <x:c r="P46" s="27" t="n">
        <x:v>4.7</x:v>
      </x:c>
      <x:c r="Q46" s="21" t="str">
        <x:v>New U.S. growth product: Ulta lists it at $22, 4.7/45 and Only at Ulta; TikTok Shop displayed 256 sold at $33. DailyMed lists NDC 74005-002.</x:v>
      </x:c>
      <x:c r="R46" s="21" t="str">
        <x:v>Affordable SPF50+ serum texture, national Ulta access, current PDRN/derma brand momentum, no-white-cast story and product-specific U.S. drug listing.</x:v>
      </x:c>
      <x:c r="S46" s="21" t="str">
        <x:v>OTC drug controls are mandatory. Official DTC ingredient presentation omits the four active ingredients shown by Ulta/DailyMed, so label/formula parity must be reconciled. Early reviews mention glow/greasiness and fragrance; TikTok pricing conflicts.</x:v>
      </x:c>
      <x:c r="T46" s="21" t="str">
        <x:v>Beauty of Joseon Daily Relief Sunscreen SPF40</x:v>
      </x:c>
      <x:c r="U46" s="21" t="str">
        <x:v>Both translate K-Beauty skincare texture into U.S.-compliant OTC sunscreen. Mediheal lists at $22 with SPF50+ and Ulta exclusivity; Beauty of Joseon lists at $18 with a larger 482-review official base.</x:v>
      </x:c>
      <x:c r="V46" s="21" t="str">
        <x:v>Emerging</x:v>
      </x:c>
      <x:c r="W46" s="21" t="str">
        <x:v>IMG-MED-006</x:v>
      </x:c>
      <x:c r="X46" s="21" t="str">
        <x:v>https://mediheal.com/products/madecassoside-moisture-sun-serum-sunscreen</x:v>
      </x:c>
      <x:c r="Y46" s="25" t="str">
        <x:v>2026-07-30</x:v>
      </x:c>
      <x:c r="Z46" s="21" t="str">
        <x:v>SRC-MED-011,SRC-MED-017,SRC-MED-033,SRC-MED-047,SRC-MED-051,SRC-MED-052</x:v>
      </x:c>
    </x:row>
    <x:row r="47" ht="154" customHeight="1">
      <x:c r="A47" s="21" t="str">
        <x:v>DJ-P001</x:v>
      </x:c>
      <x:c r="B47" s="21" t="str">
        <x:v>KB010</x:v>
      </x:c>
      <x:c r="C47" s="21" t="str">
        <x:v>Dr.Jart+</x:v>
      </x:c>
      <x:c r="D47" s="21" t="n">
        <x:v>1</x:v>
      </x:c>
      <x:c r="E47" s="21" t="str">
        <x:v>Cicapair Soothing Color Correcting Treatment SPF 30</x:v>
      </x:c>
      <x:c r="F47" s="21" t="str">
        <x:v>Redness Color Corrector / U.S. OTC Sunscreen</x:v>
      </x:c>
      <x:c r="G47" s="21" t="str">
        <x:v>Green-to-beige mineral-SPF cream that visibly neutralizes redness and functions as a no-foundation complexion step; current mini is a low-friction entry SKU.</x:v>
      </x:c>
      <x:c r="H47" s="21" t="str">
        <x:v>Titanium dioxide 3.1%; zinc oxide 14.6%; Centella asiatica; niacinamide; allantoin; Cica Complex</x:v>
      </x:c>
      <x:c r="I47" s="21" t="str">
        <x:v>15 mL mini; 55 mL value</x:v>
      </x:c>
      <x:c r="J47" s="31"/>
      <x:c r="K47" s="31" t="n">
        <x:v>25</x:v>
      </x:c>
      <x:c r="L47" s="31" t="n">
        <x:v>25</x:v>
      </x:c>
      <x:c r="M47" s="31" t="n">
        <x:v>1.6667</x:v>
      </x:c>
      <x:c r="N47" s="21" t="str">
        <x:v>Official DTC; Amazon; TikTok Shop; Sephora; Kohl's</x:v>
      </x:c>
      <x:c r="O47" s="33" t="str">
        <x:v>395 Amazon current mini; 807 official DTC; 888 Sephora</x:v>
      </x:c>
      <x:c r="P47" s="27" t="n">
        <x:v>4.2</x:v>
      </x:c>
      <x:c r="Q47" s="21" t="str">
        <x:v>Amazon displayed 2K+ bought/month at $25, implying at least $50,000/month for the current mini ASIN. The official site calls the franchise bestselling and viral.</x:v>
      </x:c>
      <x:c r="R47" s="21" t="str">
        <x:v>Iconic visual transformation; strong Cicapair awareness; mineral SPF 30; immediate cosmetic result; high retailer reach; compact trial size; National Rosacea Society acceptance displayed on Amazon.</x:v>
      </x:c>
      <x:c r="S47" s="21" t="str">
        <x:v>Works best for lighter tones; some users report orange/gray cast, dryness, cakiness, scent or formula-change issues. OTC Drug Facts and redness/rosacea claims require strict control.</x:v>
      </x:c>
      <x:c r="T47" s="21" t="str">
        <x:v>Erborian CC Red Correct SPF 25</x:v>
      </x:c>
      <x:c r="U47" s="21" t="str">
        <x:v>Both are green-to-beige redness correctors with centella and sunscreen. Dr.Jart+ has stronger U.S. K-Beauty heritage and a $25 mini; Erborian offers a 45 mL full size at $46 and a more makeup-led CC identity.</x:v>
      </x:c>
      <x:c r="V47" s="21" t="str">
        <x:v>Exceptional</x:v>
      </x:c>
      <x:c r="W47" s="21" t="str">
        <x:v>IMG-DJ-002</x:v>
      </x:c>
      <x:c r="X47" s="21" t="str">
        <x:v>https://www.drjart.com/product/29717/138113/color-corrector/cicapairtm-soothing-korean-color-correcting-treatment-mineral-spf-30-with-centella-asiatica-extracts-and-zinc-oxide</x:v>
      </x:c>
      <x:c r="Y47" s="25" t="str">
        <x:v>2026-07-31</x:v>
      </x:c>
      <x:c r="Z47" s="21" t="str">
        <x:v>SRC-DJ-015,SRC-DJ-020,SRC-DJ-030,SRC-DJ-037,SRC-DJ-044,SRC-DJ-051</x:v>
      </x:c>
    </x:row>
    <x:row r="48" ht="154" customHeight="1">
      <x:c r="A48" s="21" t="str">
        <x:v>DJ-P002</x:v>
      </x:c>
      <x:c r="B48" s="21" t="str">
        <x:v>KB010</x:v>
      </x:c>
      <x:c r="C48" s="21" t="str">
        <x:v>Dr.Jart+</x:v>
      </x:c>
      <x:c r="D48" s="21" t="n">
        <x:v>2</x:v>
      </x:c>
      <x:c r="E48" s="21" t="str">
        <x:v>Ceramidin Skin Barrier Moisturizing Cream</x:v>
      </x:c>
      <x:c r="F48" s="21" t="str">
        <x:v>Barrier Moisturizer</x:v>
      </x:c>
      <x:c r="G48" s="21" t="str">
        <x:v>Rich prestige moisturizer built around a five-ceramide complex, panthenol and glycerin for dry, sensitive and barrier-stressed routines.</x:v>
      </x:c>
      <x:c r="H48" s="21" t="str">
        <x:v>Five ceramides; panthenol; glycerin</x:v>
      </x:c>
      <x:c r="I48" s="21" t="str">
        <x:v>50 mL</x:v>
      </x:c>
      <x:c r="J48" s="31"/>
      <x:c r="K48" s="31" t="n">
        <x:v>52</x:v>
      </x:c>
      <x:c r="L48" s="31" t="n">
        <x:v>52</x:v>
      </x:c>
      <x:c r="M48" s="31" t="n">
        <x:v>1.04</x:v>
      </x:c>
      <x:c r="N48" s="21" t="str">
        <x:v>Official DTC; Amazon; Sephora; Kohl's</x:v>
      </x:c>
      <x:c r="O48" s="33" t="str">
        <x:v>2,242 Amazon; 462 official DTC; 825 Sephora snapshot</x:v>
      </x:c>
      <x:c r="P48" s="27" t="n">
        <x:v>4.7</x:v>
      </x:c>
      <x:c r="Q48" s="21" t="str">
        <x:v>Amazon displayed 600+ bought/month at $52, implying at least $31,200/month. Long-running retailer and Reddit recognition supports durable demand.</x:v>
      </x:c>
      <x:c r="R48" s="21" t="str">
        <x:v>Very high Amazon rating and review depth; strong winter/retinoid/barrier use case; established franchise; prestige texture and giftability; official Amazon.com fulfillment.</x:v>
      </x:c>
      <x:c r="S48" s="21" t="str">
        <x:v>Premium versus many Korean barrier creams; can feel heavy, sticky or pill; some users report irritation or breakouts; formula-change complaints and cross-border price gaps create risk.</x:v>
      </x:c>
      <x:c r="T48" s="21" t="str">
        <x:v>AESTURA ATOBARRIER365 Cream</x:v>
      </x:c>
      <x:c r="U48" s="21" t="str">
        <x:v>Both are Korean ceramide barrier creams for dry/sensitive users. Dr.Jart+ has deeper U.S. prestige heritage and Amazon review depth; AESTURA offers 80 mL for about $32 and stronger price-per-mL value.</x:v>
      </x:c>
      <x:c r="V48" s="21" t="str">
        <x:v>Very High</x:v>
      </x:c>
      <x:c r="W48" s="21" t="str">
        <x:v>IMG-DJ-003</x:v>
      </x:c>
      <x:c r="X48" s="21" t="str">
        <x:v>https://www.drjart.com/product/28258/111504/moisturizers/ceramidintm-skin-barrier-korean-moisturizing-face-cream</x:v>
      </x:c>
      <x:c r="Y48" s="25" t="str">
        <x:v>2026-07-31</x:v>
      </x:c>
      <x:c r="Z48" s="21" t="str">
        <x:v>SRC-DJ-016,SRC-DJ-021,SRC-DJ-032,SRC-DJ-039,SRC-DJ-042,SRC-DJ-046</x:v>
      </x:c>
    </x:row>
    <x:row r="49" ht="154" customHeight="1">
      <x:c r="A49" s="21" t="str">
        <x:v>DJ-P003</x:v>
      </x:c>
      <x:c r="B49" s="21" t="str">
        <x:v>KB010</x:v>
      </x:c>
      <x:c r="C49" s="21" t="str">
        <x:v>Dr.Jart+</x:v>
      </x:c>
      <x:c r="D49" s="21" t="n">
        <x:v>3</x:v>
      </x:c>
      <x:c r="E49" s="21" t="str">
        <x:v>Cicapair Sensitive Skin Moisturizer</x:v>
      </x:c>
      <x:c r="F49" s="21" t="str">
        <x:v>Redness / Sensitive-Skin Moisturizer</x:v>
      </x:c>
      <x:c r="G49" s="21" t="str">
        <x:v>Daily Cicapair cream positioned to calm the look of redness and support sensitive, stressed skin without the color-correcting pigment step.</x:v>
      </x:c>
      <x:c r="H49" s="21" t="str">
        <x:v>Advanced Cica Complex; R-Protector; allantoin; humectants</x:v>
      </x:c>
      <x:c r="I49" s="21" t="str">
        <x:v>50 mL</x:v>
      </x:c>
      <x:c r="J49" s="31"/>
      <x:c r="K49" s="31" t="n">
        <x:v>52</x:v>
      </x:c>
      <x:c r="L49" s="31" t="n">
        <x:v>52</x:v>
      </x:c>
      <x:c r="M49" s="31" t="n">
        <x:v>1.04</x:v>
      </x:c>
      <x:c r="N49" s="21" t="str">
        <x:v>Official DTC; Amazon; Sephora; Kohl's</x:v>
      </x:c>
      <x:c r="O49" s="33" t="str">
        <x:v>644 Amazon; 564 official DTC</x:v>
      </x:c>
      <x:c r="P49" s="27" t="n">
        <x:v>4.5</x:v>
      </x:c>
      <x:c r="Q49" s="21" t="str">
        <x:v>Amazon displayed 800+ bought/month at $52, implying at least $41,600/month.</x:v>
      </x:c>
      <x:c r="R49" s="21" t="str">
        <x:v>Cicapair brand recognition without tint; strong current Amazon velocity; clear sensitive/redness routine role; easy cross-sell with the color corrector.</x:v>
      </x:c>
      <x:c r="S49" s="21" t="str">
        <x:v>Premium price; rich texture may not suit oily or acne-prone skin; redness and barrier language needs substantiation; some consumers report irritation or breakouts.</x:v>
      </x:c>
      <x:c r="T49" s="21" t="str">
        <x:v>Hero Cosmetics Rescue Balm +Red Correct</x:v>
      </x:c>
      <x:c r="U49" s="21" t="str">
        <x:v>Both target visible redness and post-blemish sensitivity. Dr.Jart+ is a 50 mL prestige moisturizer without tint; Hero is a $12.89, 15 mL tinted mass-market corrector with fair-to-medium positioning.</x:v>
      </x:c>
      <x:c r="V49" s="21" t="str">
        <x:v>Very High</x:v>
      </x:c>
      <x:c r="W49" s="21" t="str">
        <x:v>IMG-DJ-004</x:v>
      </x:c>
      <x:c r="X49" s="21" t="str">
        <x:v>https://www.drjart.com/product/28258/116789/moisturizers/cicapairtm-sensitive-skin-korean-face-moisturizer-for-redness-with-centella-asiatica</x:v>
      </x:c>
      <x:c r="Y49" s="25" t="str">
        <x:v>2026-07-31</x:v>
      </x:c>
      <x:c r="Z49" s="21" t="str">
        <x:v>SRC-DJ-017,SRC-DJ-022,SRC-DJ-034,SRC-DJ-040,SRC-DJ-045</x:v>
      </x:c>
    </x:row>
    <x:row r="50" ht="154" customHeight="1">
      <x:c r="A50" s="21" t="str">
        <x:v>DJ-P004</x:v>
      </x:c>
      <x:c r="B50" s="21" t="str">
        <x:v>KB010</x:v>
      </x:c>
      <x:c r="C50" s="21" t="str">
        <x:v>Dr.Jart+</x:v>
      </x:c>
      <x:c r="D50" s="21" t="n">
        <x:v>4</x:v>
      </x:c>
      <x:c r="E50" s="21" t="str">
        <x:v>Cryo Rubber Moisturizing Mask</x:v>
      </x:c>
      <x:c r="F50" s="21" t="str">
        <x:v>Two-Step Cooling Modeling Mask</x:v>
      </x:c>
      <x:c r="G50" s="21" t="str">
        <x:v>Single-use ampoule plus rubber mask designed for an intensive cooling, hydrating and visually distinctive at-home treatment.</x:v>
      </x:c>
      <x:c r="H50" s="21" t="str">
        <x:v>Hyaluronic acid; peptide; humectants; two-step ampoule and mask</x:v>
      </x:c>
      <x:c r="I50" s="21" t="str">
        <x:v>1 mask; 4 g mask plus 40 g ampoule</x:v>
      </x:c>
      <x:c r="J50" s="31"/>
      <x:c r="K50" s="31" t="n">
        <x:v>16.5</x:v>
      </x:c>
      <x:c r="L50" s="31" t="n">
        <x:v>16.5</x:v>
      </x:c>
      <x:c r="M50" s="31" t="n">
        <x:v>16.5</x:v>
      </x:c>
      <x:c r="N50" s="21" t="str">
        <x:v>Official DTC; Amazon; TikTok Shop; Sephora; Kohl's</x:v>
      </x:c>
      <x:c r="O50" s="33" t="str">
        <x:v>124 Amazon; 163 official DTC; 228 Sephora</x:v>
      </x:c>
      <x:c r="P50" s="27" t="n">
        <x:v>4.6</x:v>
      </x:c>
      <x:c r="Q50" s="21" t="str">
        <x:v>Amazon displayed 1K+ bought/month at $16.50, implying at least $16,500/month. Sephora and TikTok Shop support the giftable/social ritual.</x:v>
      </x:c>
      <x:c r="R50" s="21" t="str">
        <x:v>Highly visual application; immediate cooling/glow; strong gift and treatment appeal; high Amazon rating; easy one-unit trial.</x:v>
      </x:c>
      <x:c r="S50" s="21" t="str">
        <x:v>Expensive single use; fragrance may polarize; substantial packaging/plastic waste; fit and dripping can vary; brand clinical cooling/moisture claims need substantiation.</x:v>
      </x:c>
      <x:c r="T50" s="21" t="str">
        <x:v>Biodance Bio-Collagen Real Deep Mask</x:v>
      </x:c>
      <x:c r="U50" s="21" t="str">
        <x:v>Both are highly visual Korean treatment masks. Cryo Rubber is a short two-step cooling ritual at $16.50 each; Biodance offers four multi-hour hydrogel masks near $19, far lower per-use cost and stronger overnight-viral positioning.</x:v>
      </x:c>
      <x:c r="V50" s="21" t="str">
        <x:v>High</x:v>
      </x:c>
      <x:c r="W50" s="21" t="str">
        <x:v>IMG-DJ-005</x:v>
      </x:c>
      <x:c r="X50" s="21" t="str">
        <x:v>https://www.drjart.com/product/28256/140886/masks/cryo-rubbertm-moisturizing-korean-face-mask-with-hyaluronic-acid-plus-peptide</x:v>
      </x:c>
      <x:c r="Y50" s="25" t="str">
        <x:v>2026-07-31</x:v>
      </x:c>
      <x:c r="Z50" s="21" t="str">
        <x:v>SRC-DJ-018,SRC-DJ-023,SRC-DJ-033,SRC-DJ-040,SRC-DJ-043,SRC-DJ-047</x:v>
      </x:c>
    </x:row>
    <x:row r="51" ht="154" customHeight="1">
      <x:c r="A51" s="21" t="str">
        <x:v>DJ-P005</x:v>
      </x:c>
      <x:c r="B51" s="21" t="str">
        <x:v>KB010</x:v>
      </x:c>
      <x:c r="C51" s="21" t="str">
        <x:v>Dr.Jart+</x:v>
      </x:c>
      <x:c r="D51" s="21" t="n">
        <x:v>5</x:v>
      </x:c>
      <x:c r="E51" s="21" t="str">
        <x:v>Premium BB Tinted Moisturizer SPF 40</x:v>
      </x:c>
      <x:c r="F51" s="21" t="str">
        <x:v>BB Cream / U.S. OTC Sunscreen Makeup</x:v>
      </x:c>
      <x:c r="G51" s="21" t="str">
        <x:v>Skincare-makeup hybrid providing complexion coverage, hydration and broad-spectrum SPF 40 in six flexible shades.</x:v>
      </x:c>
      <x:c r="H51" s="21" t="str">
        <x:v>Octinoxate 6.8%; octisalate 4.5%; titanium dioxide 4.8%; zinc oxide 5.0%; 2% niacinamide; 5% glycerin</x:v>
      </x:c>
      <x:c r="I51" s="21" t="str">
        <x:v>40 mL</x:v>
      </x:c>
      <x:c r="J51" s="31"/>
      <x:c r="K51" s="31" t="n">
        <x:v>49</x:v>
      </x:c>
      <x:c r="L51" s="31" t="n">
        <x:v>49</x:v>
      </x:c>
      <x:c r="M51" s="31" t="n">
        <x:v>1.225</x:v>
      </x:c>
      <x:c r="N51" s="21" t="str">
        <x:v>Official DTC; Amazon; Sephora; Kohl's</x:v>
      </x:c>
      <x:c r="O51" s="33" t="str">
        <x:v>371 Amazon; 445 official DTC; about 1.2K Sephora</x:v>
      </x:c>
      <x:c r="P51" s="27" t="n">
        <x:v>4.5</x:v>
      </x:c>
      <x:c r="Q51" s="21" t="str">
        <x:v>Amazon displayed 1K+ bought/month at $49, implying at least $49,000/month; Sephora displayed about 105K loves.</x:v>
      </x:c>
      <x:c r="R51" s="21" t="str">
        <x:v>Natural-finish hybrid; high SPF; strong Sephora love/review signal; prestige packaging; niacinamide/glycerin story; less crowded than the Cicapair franchise.</x:v>
      </x:c>
      <x:c r="S51" s="21" t="str">
        <x:v>Only six shades versus leading complexion competitors; high return/color-match risk; $49 premium; essential oils/fragrance sensitivity; every shade/size needs exact OTC label and NDC mapping.</x:v>
      </x:c>
      <x:c r="T51" s="21" t="str">
        <x:v>IT Cosmetics CC+ Cream SPF 50+</x:v>
      </x:c>
      <x:c r="U51" s="21" t="str">
        <x:v>Both are prestige complexion/skincare/sunscreen hybrids. Dr.Jart+ is $49 with six shades and lighter BB coverage; IT Cosmetics is $39 with 30 shades, full coverage and far deeper Sephora reviews.</x:v>
      </x:c>
      <x:c r="V51" s="21" t="str">
        <x:v>Very High</x:v>
      </x:c>
      <x:c r="W51" s="21" t="str">
        <x:v>IMG-DJ-006</x:v>
      </x:c>
      <x:c r="X51" s="21" t="str">
        <x:v>https://www.drjart.com/product/36654/106709/bb-creams/premium-bb-tinted-moisturizer-with-niacinamide-and-spf-40</x:v>
      </x:c>
      <x:c r="Y51" s="25" t="str">
        <x:v>2026-07-31</x:v>
      </x:c>
      <x:c r="Z51" s="21" t="str">
        <x:v>SRC-DJ-019,SRC-DJ-024,SRC-DJ-031,SRC-DJ-041,SRC-DJ-048,SRC-DJ-052</x:v>
      </x:c>
    </x:row>
    <x:row r="52" ht="160" customHeight="1">
      <x:c r="A52" s="21" t="str">
        <x:v>TOR-P001</x:v>
      </x:c>
      <x:c r="B52" s="21" t="str">
        <x:v>KB011</x:v>
      </x:c>
      <x:c r="C52" s="21" t="str">
        <x:v>Torriden</x:v>
      </x:c>
      <x:c r="D52" s="21" t="n">
        <x:v>1</x:v>
      </x:c>
      <x:c r="E52" s="21" t="str">
        <x:v>DIVE IN Low Molecular Hyaluronic Acid Serum</x:v>
      </x:c>
      <x:c r="F52" s="21" t="str">
        <x:v>Hydrating Serum</x:v>
      </x:c>
      <x:c r="G52" s="21" t="str">
        <x:v>Lightweight flagship serum built around five molecular sizes of hyaluronic acid for layerable hydration and a plumped, non-greasy finish.</x:v>
      </x:c>
      <x:c r="H52" s="21" t="str">
        <x:v>5D hyaluronic acid; panthenol; allantoin; blue complex</x:v>
      </x:c>
      <x:c r="I52" s="21" t="str">
        <x:v>50 mL</x:v>
      </x:c>
      <x:c r="J52" s="31"/>
      <x:c r="K52" s="31" t="n">
        <x:v>24</x:v>
      </x:c>
      <x:c r="L52" s="31" t="n">
        <x:v>22.5</x:v>
      </x:c>
      <x:c r="M52" s="31" t="n">
        <x:v>0.45</x:v>
      </x:c>
      <x:c r="N52" s="21" t="str">
        <x:v>Official DTC; Amazon; TikTok Shop; Sephora; Costco; Olive Young</x:v>
      </x:c>
      <x:c r="O52" s="33" t="str">
        <x:v>4,207</x:v>
      </x:c>
      <x:c r="P52" s="27" t="n">
        <x:v>4.5</x:v>
      </x:c>
      <x:c r="Q52" s="21" t="str">
        <x:v>Amazon displayed 9K+ bought/month; Sephora displayed 264 reviews and 27.9K loves; official TikTok Shop carries the serum.</x:v>
      </x:c>
      <x:c r="R52" s="21" t="str">
        <x:v>Flagship awareness; high monthly velocity; 4.5 rating; accessible price; large size; lightweight texture; broad official channels.</x:v>
      </x:c>
      <x:c r="S52" s="21" t="str">
        <x:v>Some users find it ordinary, insufficiently hydrating or drying unless sealed with moisturizer; HA-heavy formulas can pill or feel tight in dry conditions.</x:v>
      </x:c>
      <x:c r="T52" s="21" t="str">
        <x:v>The Ordinary Hyaluronic Acid 2% + B5</x:v>
      </x:c>
      <x:c r="U52" s="21" t="str">
        <x:v>Torriden offers a larger 50 mL multi-molecular K-Beauty formula with panthenol/allantoin and stronger current Amazon velocity; The Ordinary is cheaper at $12/30 mL.</x:v>
      </x:c>
      <x:c r="V52" s="21" t="str">
        <x:v>Exceptional</x:v>
      </x:c>
      <x:c r="W52" s="21" t="str">
        <x:v>IMG-TOR-002</x:v>
      </x:c>
      <x:c r="X52" s="21" t="str">
        <x:v>https://torriden.us/products/dive-in-serum</x:v>
      </x:c>
      <x:c r="Y52" s="25" t="str">
        <x:v>2026-08-01</x:v>
      </x:c>
      <x:c r="Z52" s="21" t="str">
        <x:v>SRC-TOR-010,SRC-TOR-016,SRC-TOR-025,SRC-TOR-036,SRC-TOR-044</x:v>
      </x:c>
    </x:row>
    <x:row r="53" ht="160" customHeight="1">
      <x:c r="A53" s="21" t="str">
        <x:v>TOR-P002</x:v>
      </x:c>
      <x:c r="B53" s="21" t="str">
        <x:v>KB011</x:v>
      </x:c>
      <x:c r="C53" s="21" t="str">
        <x:v>Torriden</x:v>
      </x:c>
      <x:c r="D53" s="21" t="n">
        <x:v>2</x:v>
      </x:c>
      <x:c r="E53" s="21" t="str">
        <x:v>DIVE IN Soothing Cream</x:v>
      </x:c>
      <x:c r="F53" s="21" t="str">
        <x:v>Hydrating Gel Cream</x:v>
      </x:c>
      <x:c r="G53" s="21" t="str">
        <x:v>Cooling, lightweight 100 mL moisturizer designed to seal in hydration without a heavy occlusive feel.</x:v>
      </x:c>
      <x:c r="H53" s="21" t="str">
        <x:v>5D hyaluronic acid; panthenol; allantoin; blue complex</x:v>
      </x:c>
      <x:c r="I53" s="21" t="str">
        <x:v>100 mL tube/jar</x:v>
      </x:c>
      <x:c r="J53" s="31"/>
      <x:c r="K53" s="31" t="n">
        <x:v>27</x:v>
      </x:c>
      <x:c r="L53" s="31" t="n">
        <x:v>27</x:v>
      </x:c>
      <x:c r="M53" s="31" t="n">
        <x:v>0.27</x:v>
      </x:c>
      <x:c r="N53" s="21" t="str">
        <x:v>Official DTC; Amazon; TikTok Shop; Sephora</x:v>
      </x:c>
      <x:c r="O53" s="33" t="str">
        <x:v>253 current-tube Amazon; 1,644 older/jar offer</x:v>
      </x:c>
      <x:c r="P53" s="27" t="n">
        <x:v>4.5</x:v>
      </x:c>
      <x:c r="Q53" s="21" t="str">
        <x:v>Official tube ASIN displayed 1K+ bought/month; Sephora displayed 188 reviews and 10.1K loves.</x:v>
      </x:c>
      <x:c r="R53" s="21" t="str">
        <x:v>Excellent value per mL; high Sephora interest; easy serum pairing; cooling texture; strong hydration routine role.</x:v>
      </x:c>
      <x:c r="S53" s="21" t="str">
        <x:v>Some users report insufficient occlusion, redness, itching or breakouts; jar/tube/version overlap and a third-party jar seller create provenance risk.</x:v>
      </x:c>
      <x:c r="T53" s="21" t="str">
        <x:v>Beauty of Joseon Red Bean Water Gel</x:v>
      </x:c>
      <x:c r="U53" s="21" t="str">
        <x:v>Both are 100 mL Korean lightweight gel moisturizers. Torriden emphasizes 5D HA and soothing hydration at $27; Beauty of Joseon is lower-priced at $18 and targets oily/combination skin.</x:v>
      </x:c>
      <x:c r="V53" s="21" t="str">
        <x:v>Very High</x:v>
      </x:c>
      <x:c r="W53" s="21" t="str">
        <x:v>IMG-TOR-003</x:v>
      </x:c>
      <x:c r="X53" s="21" t="str">
        <x:v>https://torriden.us/products/dive-in-soothing-cream</x:v>
      </x:c>
      <x:c r="Y53" s="25" t="str">
        <x:v>2026-08-01</x:v>
      </x:c>
      <x:c r="Z53" s="21" t="str">
        <x:v>SRC-TOR-011,SRC-TOR-017,SRC-TOR-022,SRC-TOR-026,SRC-TOR-038,SRC-TOR-045</x:v>
      </x:c>
    </x:row>
    <x:row r="54" ht="160" customHeight="1">
      <x:c r="A54" s="21" t="str">
        <x:v>TOR-P003</x:v>
      </x:c>
      <x:c r="B54" s="21" t="str">
        <x:v>KB011</x:v>
      </x:c>
      <x:c r="C54" s="21" t="str">
        <x:v>Torriden</x:v>
      </x:c>
      <x:c r="D54" s="21" t="n">
        <x:v>3</x:v>
      </x:c>
      <x:c r="E54" s="21" t="str">
        <x:v>DIVE IN Low Molecular Hyaluronic Acid Toner</x:v>
      </x:c>
      <x:c r="F54" s="21" t="str">
        <x:v>Hydrating Toner</x:v>
      </x:c>
      <x:c r="G54" s="21" t="str">
        <x:v>Watery, low-pH 300 mL toner for low-friction hydration and multi-layer routine prep.</x:v>
      </x:c>
      <x:c r="H54" s="21" t="str">
        <x:v>5D hyaluronic acid; panthenol; allantoin; humectants</x:v>
      </x:c>
      <x:c r="I54" s="21" t="str">
        <x:v>300 mL</x:v>
      </x:c>
      <x:c r="J54" s="31"/>
      <x:c r="K54" s="31" t="n">
        <x:v>23</x:v>
      </x:c>
      <x:c r="L54" s="31" t="n">
        <x:v>23</x:v>
      </x:c>
      <x:c r="M54" s="31" t="n">
        <x:v>0.0767</x:v>
      </x:c>
      <x:c r="N54" s="21" t="str">
        <x:v>Official DTC; Amazon; TikTok Shop; Sephora; cross-border retailers</x:v>
      </x:c>
      <x:c r="O54" s="33" t="str">
        <x:v>531</x:v>
      </x:c>
      <x:c r="P54" s="27" t="n">
        <x:v>4.7</x:v>
      </x:c>
      <x:c r="Q54" s="21" t="str">
        <x:v>Amazon displayed 900+ bought/month and #152 Facial Toners.</x:v>
      </x:c>
      <x:c r="R54" s="21" t="str">
        <x:v>Highest sampled Amazon rating; very low cost per mL; easy daily layering; supports full DIVE IN routine.</x:v>
      </x:c>
      <x:c r="S54" s="21" t="str">
        <x:v>Can feel too light or redundant; repeated layers may tack; hydration alone may not address barrier lipid needs.</x:v>
      </x:c>
      <x:c r="T54" s="21" t="str">
        <x:v>ANUA Rice 70 Glow Milky Toner</x:v>
      </x:c>
      <x:c r="U54" s="21" t="str">
        <x:v>Torriden is a clear 300 mL HA toner at $23; ANUA is a richer rice/niacinamide/ceramide toner at $21 for 250 mL with Ulta-exclusive visibility.</x:v>
      </x:c>
      <x:c r="V54" s="21" t="str">
        <x:v>Very High</x:v>
      </x:c>
      <x:c r="W54" s="21" t="str">
        <x:v>IMG-TOR-004</x:v>
      </x:c>
      <x:c r="X54" s="21" t="str">
        <x:v>https://torriden.us/products/dive-in-toner</x:v>
      </x:c>
      <x:c r="Y54" s="25" t="str">
        <x:v>2026-08-01</x:v>
      </x:c>
      <x:c r="Z54" s="21" t="str">
        <x:v>SRC-TOR-012,SRC-TOR-018,SRC-TOR-046</x:v>
      </x:c>
    </x:row>
    <x:row r="55" ht="160" customHeight="1">
      <x:c r="A55" s="21" t="str">
        <x:v>TOR-P004</x:v>
      </x:c>
      <x:c r="B55" s="21" t="str">
        <x:v>KB011</x:v>
      </x:c>
      <x:c r="C55" s="21" t="str">
        <x:v>Torriden</x:v>
      </x:c>
      <x:c r="D55" s="21" t="n">
        <x:v>4</x:v>
      </x:c>
      <x:c r="E55" s="21" t="str">
        <x:v>DIVE IN Low Molecular Hyaluronic Acid Mask</x:v>
      </x:c>
      <x:c r="F55" s="21" t="str">
        <x:v>Hydrating Sheet Mask</x:v>
      </x:c>
      <x:c r="G55" s="21" t="str">
        <x:v>Adhesive cellulose sheet mask delivering the DIVE IN hydration system as a high-visual, single-use treatment.</x:v>
      </x:c>
      <x:c r="H55" s="21" t="str">
        <x:v>5D hyaluronic acid; panthenol; allantoin; humectants</x:v>
      </x:c>
      <x:c r="I55" s="21" t="str">
        <x:v>10 × 27 mL</x:v>
      </x:c>
      <x:c r="J55" s="31"/>
      <x:c r="K55" s="31" t="n">
        <x:v>33</x:v>
      </x:c>
      <x:c r="L55" s="31" t="n">
        <x:v>33</x:v>
      </x:c>
      <x:c r="M55" s="31" t="n">
        <x:v>3.3</x:v>
      </x:c>
      <x:c r="N55" s="21" t="str">
        <x:v>Official DTC; Amazon; TikTok Shop; Sephora; Olive Young</x:v>
      </x:c>
      <x:c r="O55" s="33" t="str">
        <x:v>486</x:v>
      </x:c>
      <x:c r="P55" s="27" t="n">
        <x:v>4.7</x:v>
      </x:c>
      <x:c r="Q55" s="21" t="str">
        <x:v>Amazon displayed 1K+ bought/month; official DTC showed 70 reviews.</x:v>
      </x:c>
      <x:c r="R55" s="21" t="str">
        <x:v>Strong 4.7 rating; familiar DIVE IN franchise; clear trial/gift/bundle use; good Amazon velocity.</x:v>
      </x:c>
      <x:c r="S55" s="21" t="str">
        <x:v>Single-use waste; $3.30 per mask exceeds value K-Beauty alternatives; results are temporary; fit and essence level vary by user.</x:v>
      </x:c>
      <x:c r="T55" s="21" t="str">
        <x:v>Beauty of Joseon Centella Asiatica Calming Mask</x:v>
      </x:c>
      <x:c r="U55" s="21" t="str">
        <x:v>Both are 10-pack Korean sheet masks for soothing hydration. Torriden is HA-led at $33; Beauty of Joseon lists near $25 and has a lower per-use price.</x:v>
      </x:c>
      <x:c r="V55" s="21" t="str">
        <x:v>High</x:v>
      </x:c>
      <x:c r="W55" s="21" t="str">
        <x:v>IMG-TOR-005</x:v>
      </x:c>
      <x:c r="X55" s="21" t="str">
        <x:v>https://torriden.us/products/dive-in-mask</x:v>
      </x:c>
      <x:c r="Y55" s="25" t="str">
        <x:v>2026-08-01</x:v>
      </x:c>
      <x:c r="Z55" s="21" t="str">
        <x:v>SRC-TOR-013,SRC-TOR-019,SRC-TOR-042,SRC-TOR-047</x:v>
      </x:c>
    </x:row>
    <x:row r="56" ht="160" customHeight="1">
      <x:c r="A56" s="21" t="str">
        <x:v>TOR-P005</x:v>
      </x:c>
      <x:c r="B56" s="21" t="str">
        <x:v>KB011</x:v>
      </x:c>
      <x:c r="C56" s="21" t="str">
        <x:v>Torriden</x:v>
      </x:c>
      <x:c r="D56" s="21" t="n">
        <x:v>5</x:v>
      </x:c>
      <x:c r="E56" s="21" t="str">
        <x:v>SOLID IN Ceramide Lip Essence</x:v>
      </x:c>
      <x:c r="F56" s="21" t="str">
        <x:v>Ceramide Lip Treatment</x:v>
      </x:c>
      <x:c r="G56" s="21" t="str">
        <x:v>Glossy, fragrance-minimal barrier-oriented lip essence providing an accessible entry into Torriden beyond facial skincare.</x:v>
      </x:c>
      <x:c r="H56" s="21" t="str">
        <x:v>Five ceramides; jojoba oil; petrolatum; emollients</x:v>
      </x:c>
      <x:c r="I56" s="21" t="str">
        <x:v>11 mL; Amazon two-pack</x:v>
      </x:c>
      <x:c r="J56" s="31"/>
      <x:c r="K56" s="31" t="n">
        <x:v>11</x:v>
      </x:c>
      <x:c r="L56" s="31" t="n">
        <x:v>17.99</x:v>
      </x:c>
      <x:c r="M56" s="31" t="n">
        <x:v>0.8177</x:v>
      </x:c>
      <x:c r="N56" s="21" t="str">
        <x:v>Official DTC; Amazon; TikTok Shop; Sephora</x:v>
      </x:c>
      <x:c r="O56" s="33" t="str">
        <x:v>480</x:v>
      </x:c>
      <x:c r="P56" s="27" t="n">
        <x:v>4.6</x:v>
      </x:c>
      <x:c r="Q56" s="21" t="str">
        <x:v>Amazon two-pack displayed 700+ bought/month; official site lists the product among best sellers.</x:v>
      </x:c>
      <x:c r="R56" s="21" t="str">
        <x:v>Low entry price; ceramide story; convenient multi-pack; strong rating; cross-sell and checkout-add-on potential.</x:v>
      </x:c>
      <x:c r="S56" s="21" t="str">
        <x:v>Petrolatum/occlusive feel can polarize; lip care is highly crowded; two-pack pricing complicates direct single-unit comparison.</x:v>
      </x:c>
      <x:c r="T56" s="21" t="str">
        <x:v>LANEIGE Lip Glowy Balm</x:v>
      </x:c>
      <x:c r="U56" s="21" t="str">
        <x:v>Both are glossy Korean lip hydration products. Torriden offers ceramides and a lower $11 single-unit ticket; LANEIGE is $19 with 7.8K Sephora reviews and much stronger U.S. lip equity.</x:v>
      </x:c>
      <x:c r="V56" s="21" t="str">
        <x:v>High</x:v>
      </x:c>
      <x:c r="W56" s="21" t="str">
        <x:v>IMG-TOR-006</x:v>
      </x:c>
      <x:c r="X56" s="21" t="str">
        <x:v>https://torriden.us/products/solid-in-lip-essence-set</x:v>
      </x:c>
      <x:c r="Y56" s="25" t="str">
        <x:v>2026-08-01</x:v>
      </x:c>
      <x:c r="Z56" s="21" t="str">
        <x:v>SRC-TOR-014,SRC-TOR-020,SRC-TOR-048</x:v>
      </x:c>
    </x:row>
    <x:row r="57" ht="122" customHeight="1">
      <x:c r="A57" s="21" t="str">
        <x:v>NBZ-P001</x:v>
      </x:c>
      <x:c r="B57" s="21" t="str">
        <x:v>KB012</x:v>
      </x:c>
      <x:c r="C57" s="21" t="str">
        <x:v>Numbuzin</x:v>
      </x:c>
      <x:c r="D57" s="21" t="n">
        <x:v>1</x:v>
      </x:c>
      <x:c r="E57" s="21" t="str">
        <x:v>No. 9 NAD+ BIO Lifting-sil Essence</x:v>
      </x:c>
      <x:c r="F57" s="21" t="str">
        <x:v>Lifting-Glow Essence / Serum</x:v>
      </x:c>
      <x:c r="G57" s="21" t="str">
        <x:v>High-visibility essence positioned around plumping, elasticity and glow; current strongest sampled Amazon hero.</x:v>
      </x:c>
      <x:c r="H57" s="21" t="str">
        <x:v>NAD+ positioning; PDRN; peptides; collagen-supporting cosmetic blend</x:v>
      </x:c>
      <x:c r="I57" s="21" t="str">
        <x:v>50 mL</x:v>
      </x:c>
      <x:c r="J57" s="31"/>
      <x:c r="K57" s="31" t="n">
        <x:v>29</x:v>
      </x:c>
      <x:c r="L57" s="31" t="n">
        <x:v>23.3</x:v>
      </x:c>
      <x:c r="M57" s="31" t="n">
        <x:v>0.466</x:v>
      </x:c>
      <x:c r="N57" s="21" t="str">
        <x:v>Official DTC; Amazon; TikTok Shop; Ulta; Target; Costco</x:v>
      </x:c>
      <x:c r="O57" s="33"/>
      <x:c r="P57" s="27"/>
      <x:c r="Q57" s="21" t="str">
        <x:v>Amazon displayed 20K+ bought/month; #56 Facial Serums; Costco sells a two-pack; Target and Ulta carry the line.</x:v>
      </x:c>
      <x:c r="R57" s="21" t="str">
        <x:v>Exceptional current velocity; visually demonstrable plumping/glow; broad retail validation; accessible mid-market ticket.</x:v>
      </x:c>
      <x:c r="S57" s="21" t="str">
        <x:v>Thick/oily feel and breakouts reported by some users; temporary-glow skepticism; lifting/penetration claims require careful substantiation.</x:v>
      </x:c>
      <x:c r="T57" s="21" t="str">
        <x:v>LANEIGE Bouncy &amp; Firm Serum</x:v>
      </x:c>
      <x:c r="U57" s="21" t="str">
        <x:v>Numbuzin offers a lower-price, high-ingredient NAD+/PDRN story with stronger sampled Amazon velocity; LANEIGE has stronger prestige awareness and a simpler premium proposition.</x:v>
      </x:c>
      <x:c r="V57" s="21" t="str">
        <x:v>Exceptional</x:v>
      </x:c>
      <x:c r="W57" s="21" t="str">
        <x:v>IMG-NBZ-002</x:v>
      </x:c>
      <x:c r="X57" s="21" t="str">
        <x:v>https://us.numbuzin.com/collections/serum</x:v>
      </x:c>
      <x:c r="Y57" s="25" t="str">
        <x:v>2026-08-01</x:v>
      </x:c>
      <x:c r="Z57" s="21" t="str">
        <x:v>SRC-NBZ-012,SRC-NBZ-024,SRC-NBZ-026,SRC-NBZ-027,SRC-NBZ-028</x:v>
      </x:c>
    </x:row>
    <x:row r="58" ht="122" customHeight="1">
      <x:c r="A58" s="21" t="str">
        <x:v>NBZ-P002</x:v>
      </x:c>
      <x:c r="B58" s="21" t="str">
        <x:v>KB012</x:v>
      </x:c>
      <x:c r="C58" s="21" t="str">
        <x:v>Numbuzin</x:v>
      </x:c>
      <x:c r="D58" s="21" t="n">
        <x:v>2</x:v>
      </x:c>
      <x:c r="E58" s="21" t="str">
        <x:v>No. 5+ Glutathione Vitamin Concentrated Serum</x:v>
      </x:c>
      <x:c r="F58" s="21" t="str">
        <x:v>Brightening Serum</x:v>
      </x:c>
      <x:c r="G58" s="21" t="str">
        <x:v>Multi-active brightening serum for uneven tone and post-blemish marks; a major current U.S. demand and value driver.</x:v>
      </x:c>
      <x:c r="H58" s="21" t="str">
        <x:v>Glutathione; 4% tranexamic acid; 5% niacinamide; alpha arbutin; vitamin C derivative; panthenol</x:v>
      </x:c>
      <x:c r="I58" s="21" t="str">
        <x:v>30 mL</x:v>
      </x:c>
      <x:c r="J58" s="31"/>
      <x:c r="K58" s="31" t="n">
        <x:v>26</x:v>
      </x:c>
      <x:c r="L58" s="31" t="n">
        <x:v>12.74</x:v>
      </x:c>
      <x:c r="M58" s="31" t="n">
        <x:v>0.4247</x:v>
      </x:c>
      <x:c r="N58" s="21" t="str">
        <x:v>Official DTC; Amazon; TikTok Shop; Ulta; Target; Walmart Marketplace</x:v>
      </x:c>
      <x:c r="O58" s="33" t="str">
        <x:v>2,770 official-site display</x:v>
      </x:c>
      <x:c r="P58" s="27"/>
      <x:c r="Q58" s="21" t="str">
        <x:v>Amazon displayed 9K+ bought/month and #86 Facial Serums; official site displayed 2,770 reviews.</x:v>
      </x:c>
      <x:c r="R58" s="21" t="str">
        <x:v>Strong dark-spot use case; high Amazon velocity; compelling price; multiple familiar brightening ingredients; strong UGC potential.</x:v>
      </x:c>
      <x:c r="S58" s="21" t="str">
        <x:v>Bumps, redness or irritation reported by some users; aggressive discounting undermines price architecture; pigmentation claims need substantiation.</x:v>
      </x:c>
      <x:c r="T58" s="21" t="str">
        <x:v>ANUA Niacinamide 10% + TXA 4% Serum</x:v>
      </x:c>
      <x:c r="U58" s="21" t="str">
        <x:v>Numbuzin combines a broader brightening stack and lower observed Amazon price; ANUA has a simpler 10% niacinamide/4% TXA proposition and strong current awareness.</x:v>
      </x:c>
      <x:c r="V58" s="21" t="str">
        <x:v>Exceptional</x:v>
      </x:c>
      <x:c r="W58" s="21" t="str">
        <x:v>IMG-NBZ-003</x:v>
      </x:c>
      <x:c r="X58" s="21" t="str">
        <x:v>https://us.numbuzin.com/products/no-5-vitamin-concentrated-serum</x:v>
      </x:c>
      <x:c r="Y58" s="25" t="str">
        <x:v>2026-08-01</x:v>
      </x:c>
      <x:c r="Z58" s="21" t="str">
        <x:v>SRC-NBZ-013,SRC-NBZ-022,SRC-NBZ-048</x:v>
      </x:c>
    </x:row>
    <x:row r="59" ht="122" customHeight="1">
      <x:c r="A59" s="21" t="str">
        <x:v>NBZ-P003</x:v>
      </x:c>
      <x:c r="B59" s="21" t="str">
        <x:v>KB012</x:v>
      </x:c>
      <x:c r="C59" s="21" t="str">
        <x:v>Numbuzin</x:v>
      </x:c>
      <x:c r="D59" s="21" t="n">
        <x:v>3</x:v>
      </x:c>
      <x:c r="E59" s="21" t="str">
        <x:v>No. 3 Super Glowing Essence Toner</x:v>
      </x:c>
      <x:c r="F59" s="21" t="str">
        <x:v>Fermented Glow Toner</x:v>
      </x:c>
      <x:c r="G59" s="21" t="str">
        <x:v>Flagship fermented essence-toner associated with texture softness, radiance and routine layering.</x:v>
      </x:c>
      <x:c r="H59" s="21" t="str">
        <x:v>50 fermented ingredients; niacinamide; humectants</x:v>
      </x:c>
      <x:c r="I59" s="21" t="str">
        <x:v>200 mL</x:v>
      </x:c>
      <x:c r="J59" s="31"/>
      <x:c r="K59" s="31" t="n">
        <x:v>22</x:v>
      </x:c>
      <x:c r="L59" s="31" t="n">
        <x:v>12.7</x:v>
      </x:c>
      <x:c r="M59" s="31" t="n">
        <x:v>0.0635</x:v>
      </x:c>
      <x:c r="N59" s="21" t="str">
        <x:v>Official DTC; Amazon; TikTok Shop; Ulta; Target; cross-border retailers</x:v>
      </x:c>
      <x:c r="O59" s="33" t="n">
        <x:v>17</x:v>
      </x:c>
      <x:c r="P59" s="27"/>
      <x:c r="Q59" s="21" t="str">
        <x:v>Amazon displayed 7K+ bought/month and #33 Toners; Target displayed 4.7/17.</x:v>
      </x:c>
      <x:c r="R59" s="21" t="str">
        <x:v>Original awareness engine; very high velocity; excellent price per mL; strong glow/texture story; easy routine entry.</x:v>
      </x:c>
      <x:c r="S59" s="21" t="str">
        <x:v>Large fermented ingredient list may irritate reactive skin; current discount is steep; some availability/formula confusion; no current top-10 rank.</x:v>
      </x:c>
      <x:c r="T59" s="21" t="str">
        <x:v>ANUA Rice 70 Glow Milky Toner</x:v>
      </x:c>
      <x:c r="U59" s="21" t="str">
        <x:v>Numbuzin is fermentation-led, more deeply discounted and slightly smaller; ANUA emphasizes rice, niacinamide and ceramides in a 250 mL milky toner.</x:v>
      </x:c>
      <x:c r="V59" s="21" t="str">
        <x:v>Exceptional</x:v>
      </x:c>
      <x:c r="W59" s="21" t="str">
        <x:v>IMG-NBZ-004</x:v>
      </x:c>
      <x:c r="X59" s="21" t="str">
        <x:v>https://us.numbuzin.com/products/no-3-super-glowing-essence-toner</x:v>
      </x:c>
      <x:c r="Y59" s="25" t="str">
        <x:v>2026-08-01</x:v>
      </x:c>
      <x:c r="Z59" s="21" t="str">
        <x:v>SRC-NBZ-014,SRC-NBZ-020,SRC-NBZ-027,SRC-NBZ-051</x:v>
      </x:c>
    </x:row>
    <x:row r="60" ht="122" customHeight="1">
      <x:c r="A60" s="21" t="str">
        <x:v>NBZ-P004</x:v>
      </x:c>
      <x:c r="B60" s="21" t="str">
        <x:v>KB012</x:v>
      </x:c>
      <x:c r="C60" s="21" t="str">
        <x:v>Numbuzin</x:v>
      </x:c>
      <x:c r="D60" s="21" t="n">
        <x:v>4</x:v>
      </x:c>
      <x:c r="E60" s="21" t="str">
        <x:v>No. 9 NAD+ PDRN Essence Toner</x:v>
      </x:c>
      <x:c r="F60" s="21" t="str">
        <x:v>Lifting-Glow Toner</x:v>
      </x:c>
      <x:c r="G60" s="21" t="str">
        <x:v>Large-format toner extending the No. 9 NAD+/PDRN franchise into daily hydration and prep.</x:v>
      </x:c>
      <x:c r="H60" s="21" t="str">
        <x:v>NAD+ positioning; PDRN; peptides; humectants</x:v>
      </x:c>
      <x:c r="I60" s="21" t="str">
        <x:v>200 mL</x:v>
      </x:c>
      <x:c r="J60" s="31"/>
      <x:c r="K60" s="31" t="n">
        <x:v>22</x:v>
      </x:c>
      <x:c r="L60" s="31" t="n">
        <x:v>16.99</x:v>
      </x:c>
      <x:c r="M60" s="31" t="n">
        <x:v>0.085</x:v>
      </x:c>
      <x:c r="N60" s="21" t="str">
        <x:v>Official DTC; Amazon; TikTok Shop; Ulta; Target</x:v>
      </x:c>
      <x:c r="O60" s="33" t="n">
        <x:v>1076</x:v>
      </x:c>
      <x:c r="P60" s="27"/>
      <x:c r="Q60" s="21" t="str">
        <x:v>Amazon displayed 5K+ bought/month and #44 Toners; official toner collection displayed a large review count.</x:v>
      </x:c>
      <x:c r="R60" s="21" t="str">
        <x:v>Strong line-extension demand; accessible price; clear routine pairing with No. 9 Essence; large format.</x:v>
      </x:c>
      <x:c r="S60" s="21" t="str">
        <x:v>Claims and ingredient-language complexity; thick/layered routines may feel heavy; channel overlap; no current top-10 rank.</x:v>
      </x:c>
      <x:c r="T60" s="21" t="str">
        <x:v>ma:nyo Bifida Biome Complex Ampoule</x:v>
      </x:c>
      <x:c r="U60" s="21" t="str">
        <x:v>Numbuzin offers a trend-led NAD+/PDRN toner format and lower price; ma:nyo is a more established fermented-barrier ampoule with a different texture and concentration.</x:v>
      </x:c>
      <x:c r="V60" s="21" t="str">
        <x:v>Very High</x:v>
      </x:c>
      <x:c r="W60" s="21" t="str">
        <x:v>IMG-NBZ-005</x:v>
      </x:c>
      <x:c r="X60" s="21" t="str">
        <x:v>https://us.numbuzin.com/collections/toner</x:v>
      </x:c>
      <x:c r="Y60" s="25" t="str">
        <x:v>2026-08-01</x:v>
      </x:c>
      <x:c r="Z60" s="21" t="str">
        <x:v>SRC-NBZ-015,SRC-NBZ-025,SRC-NBZ-026,SRC-NBZ-027</x:v>
      </x:c>
    </x:row>
    <x:row r="61" ht="122" customHeight="1">
      <x:c r="A61" s="21" t="str">
        <x:v>NBZ-P005</x:v>
      </x:c>
      <x:c r="B61" s="21" t="str">
        <x:v>KB012</x:v>
      </x:c>
      <x:c r="C61" s="21" t="str">
        <x:v>Numbuzin</x:v>
      </x:c>
      <x:c r="D61" s="21" t="n">
        <x:v>5</x:v>
      </x:c>
      <x:c r="E61" s="21" t="str">
        <x:v>No. 3 Skin Softening Serum</x:v>
      </x:c>
      <x:c r="F61" s="21" t="str">
        <x:v>Fermented Texture Serum</x:v>
      </x:c>
      <x:c r="G61" s="21" t="str">
        <x:v>Original No. 3 fermented serum for softer-looking texture and radiance; important legacy hero despite lower current rank.</x:v>
      </x:c>
      <x:c r="H61" s="21" t="str">
        <x:v>Bifida/ferment complex; niacinamide; humectants</x:v>
      </x:c>
      <x:c r="I61" s="21" t="str">
        <x:v>50 mL</x:v>
      </x:c>
      <x:c r="J61" s="31"/>
      <x:c r="K61" s="31" t="n">
        <x:v>28</x:v>
      </x:c>
      <x:c r="L61" s="31" t="n">
        <x:v>14</x:v>
      </x:c>
      <x:c r="M61" s="31" t="n">
        <x:v>0.28</x:v>
      </x:c>
      <x:c r="N61" s="21" t="str">
        <x:v>Official DTC; Amazon; TikTok Shop; Ulta; Target; cross-border retailers</x:v>
      </x:c>
      <x:c r="O61" s="33" t="n">
        <x:v>4274</x:v>
      </x:c>
      <x:c r="P61" s="27" t="n">
        <x:v>4.4</x:v>
      </x:c>
      <x:c r="Q61" s="21" t="str">
        <x:v>Amazon displayed 1K+ bought/month and #446 Facial Serums; official DTC displayed 644 reviews.</x:v>
      </x:c>
      <x:c r="R61" s="21" t="str">
        <x:v>Strong legacy awareness; large review base; softening/glow proposition; accessible 50 mL size.</x:v>
      </x:c>
      <x:c r="S61" s="21" t="str">
        <x:v>Current Amazon rank does not support a top-10 claim; formula complexity and ferments can polarize; featured Amazon price unavailable when checked.</x:v>
      </x:c>
      <x:c r="T61" s="21" t="str">
        <x:v>Beauty of Joseon Glow Deep Serum</x:v>
      </x:c>
      <x:c r="U61" s="21" t="str">
        <x:v>Numbuzin is a larger fermented texture serum with deeper U.S. discounting; Beauty of Joseon uses rice and alpha-arbutin with a simpler brightening story.</x:v>
      </x:c>
      <x:c r="V61" s="21" t="str">
        <x:v>High</x:v>
      </x:c>
      <x:c r="W61" s="21" t="str">
        <x:v>IMG-NBZ-006</x:v>
      </x:c>
      <x:c r="X61" s="21" t="str">
        <x:v>https://us.numbuzin.com/products/no-3-skin-softening-serum-1</x:v>
      </x:c>
      <x:c r="Y61" s="25" t="str">
        <x:v>2026-08-01</x:v>
      </x:c>
      <x:c r="Z61" s="21" t="str">
        <x:v>SRC-NBZ-016,SRC-NBZ-021,SRC-NBZ-026,SRC-NBZ-049</x:v>
      </x:c>
    </x:row>
    <x:row r="62" ht="126" customHeight="1">
      <x:c r="A62" s="21" t="str">
        <x:v>MIX-P001</x:v>
      </x:c>
      <x:c r="B62" s="21" t="str">
        <x:v>KB013</x:v>
      </x:c>
      <x:c r="C62" s="21" t="str">
        <x:v>Mixsoon</x:v>
      </x:c>
      <x:c r="D62" s="21" t="n">
        <x:v>1</x:v>
      </x:c>
      <x:c r="E62" s="21" t="str">
        <x:v>Bean Essence</x:v>
      </x:c>
      <x:c r="F62" s="21" t="str">
        <x:v>Fermented Essence / Serum</x:v>
      </x:c>
      <x:c r="G62" s="21" t="str">
        <x:v>Legacy elastic-texture hero used as a hydrating layer or massage-style gentle exfoliating treatment.</x:v>
      </x:c>
      <x:c r="H62" s="21" t="str">
        <x:v>Soybean ferment; pomegranate ferment/AHA; barley ferment/beta-glucan; pear ferment</x:v>
      </x:c>
      <x:c r="I62" s="21" t="str">
        <x:v>50 mL</x:v>
      </x:c>
      <x:c r="J62" s="31"/>
      <x:c r="K62" s="31" t="n">
        <x:v>35</x:v>
      </x:c>
      <x:c r="L62" s="31" t="n">
        <x:v>28</x:v>
      </x:c>
      <x:c r="M62" s="31" t="n">
        <x:v>0.56</x:v>
      </x:c>
      <x:c r="N62" s="21" t="str">
        <x:v>Official DTC; Amazon; TikTok Shop; Ulta; Walmart; Costco; TJX</x:v>
      </x:c>
      <x:c r="O62" s="33" t="n">
        <x:v>9975</x:v>
      </x:c>
      <x:c r="P62" s="27" t="n">
        <x:v>4.6</x:v>
      </x:c>
      <x:c r="Q62" s="21" t="str">
        <x:v>Amazon 50 mL displayed 6K+ bought/month; 30 mL 1K+; TikTok Shop Bean Essence displayed about 9K sold.</x:v>
      </x:c>
      <x:c r="R62" s="21" t="str">
        <x:v>Iconic texture demonstration; strong awareness and review base; short ingredient list; hydration/glow; multiple sizes and channels.</x:v>
      </x:c>
      <x:c r="S62" s="21" t="str">
        <x:v>Sticky/slippery or heavy for some; irritation/overhype reports; aggressive discount and club/off-price risk; pore/sebum/exfoliation claims require control.</x:v>
      </x:c>
      <x:c r="T62" s="21" t="str">
        <x:v>COSRX Advanced Snail 96 Mucin Power Essence</x:v>
      </x:c>
      <x:c r="U62" s="21" t="str">
        <x:v>Mixsoon uses plant ferments and a two-mode massage story; COSRX has stronger U.S. legacy awareness, double the size and a lower Ulta price per mL.</x:v>
      </x:c>
      <x:c r="V62" s="21" t="str">
        <x:v>Exceptional</x:v>
      </x:c>
      <x:c r="W62" s="21" t="str">
        <x:v>IMG-MIX-002</x:v>
      </x:c>
      <x:c r="X62" s="21" t="str">
        <x:v>https://mixsoon.us/products/mixsoon-bean-essence-50ml</x:v>
      </x:c>
      <x:c r="Y62" s="25" t="str">
        <x:v>2026-08-01</x:v>
      </x:c>
      <x:c r="Z62" s="21" t="str">
        <x:v>SRC-MIX-011,SRC-MIX-017,SRC-MIX-018,SRC-MIX-022,SRC-MIX-025</x:v>
      </x:c>
    </x:row>
    <x:row r="63" ht="126" customHeight="1">
      <x:c r="A63" s="21" t="str">
        <x:v>MIX-P002</x:v>
      </x:c>
      <x:c r="B63" s="21" t="str">
        <x:v>KB013</x:v>
      </x:c>
      <x:c r="C63" s="21" t="str">
        <x:v>Mixsoon</x:v>
      </x:c>
      <x:c r="D63" s="21" t="n">
        <x:v>2</x:v>
      </x:c>
      <x:c r="E63" s="21" t="str">
        <x:v>Bean Cream</x:v>
      </x:c>
      <x:c r="F63" s="21" t="str">
        <x:v>Face Moisturizer</x:v>
      </x:c>
      <x:c r="G63" s="21" t="str">
        <x:v>Fermented bean moisturizer positioned for deep hydration, smooth texture and a lightweight finish.</x:v>
      </x:c>
      <x:c r="H63" s="21" t="str">
        <x:v>Fermented soybean complex; meadowfoam seed oil; glycerin; botanical oils including bergamot oil</x:v>
      </x:c>
      <x:c r="I63" s="21" t="str">
        <x:v>50 mL</x:v>
      </x:c>
      <x:c r="J63" s="31"/>
      <x:c r="K63" s="31" t="n">
        <x:v>35</x:v>
      </x:c>
      <x:c r="L63" s="31" t="n">
        <x:v>28</x:v>
      </x:c>
      <x:c r="M63" s="31" t="n">
        <x:v>0.56</x:v>
      </x:c>
      <x:c r="N63" s="21" t="str">
        <x:v>Official DTC; Amazon; TikTok Shop; Ulta; Walmart</x:v>
      </x:c>
      <x:c r="O63" s="33" t="n">
        <x:v>3378</x:v>
      </x:c>
      <x:c r="P63" s="27" t="n">
        <x:v>4.7</x:v>
      </x:c>
      <x:c r="Q63" s="21" t="str">
        <x:v>Amazon displayed 5K+ bought/month; TikTok Shop displayed about 15.6K sold; Ulta showed 4.6/80.</x:v>
      </x:c>
      <x:c r="R63" s="21" t="str">
        <x:v>Very high current velocity; silky hydrated finish; companion to Bean Essence; strong social proof.</x:v>
      </x:c>
      <x:c r="S63" s="21" t="str">
        <x:v>Some breakout reports; bergamot/essential-oil sensitivity; barrier-repair/acne wording requires review; discounting.</x:v>
      </x:c>
      <x:c r="T63" s="21" t="str">
        <x:v>Beauty of Joseon Dynasty Cream</x:v>
      </x:c>
      <x:c r="U63" s="21" t="str">
        <x:v>Mixsoon has higher sampled Amazon velocity and a fermented bean story; Beauty of Joseon offers rice/ginseng heritage at a slightly lower prestige retail price.</x:v>
      </x:c>
      <x:c r="V63" s="21" t="str">
        <x:v>Exceptional</x:v>
      </x:c>
      <x:c r="W63" s="21" t="str">
        <x:v>IMG-MIX-003</x:v>
      </x:c>
      <x:c r="X63" s="21" t="str">
        <x:v>https://mixsoon.us/products/mixsoon-bean-cream-50ml</x:v>
      </x:c>
      <x:c r="Y63" s="25" t="str">
        <x:v>2026-08-01</x:v>
      </x:c>
      <x:c r="Z63" s="21" t="str">
        <x:v>SRC-MIX-012,SRC-MIX-019,SRC-MIX-025,SRC-MIX-049</x:v>
      </x:c>
    </x:row>
    <x:row r="64" ht="126" customHeight="1">
      <x:c r="A64" s="21" t="str">
        <x:v>MIX-P003</x:v>
      </x:c>
      <x:c r="B64" s="21" t="str">
        <x:v>KB013</x:v>
      </x:c>
      <x:c r="C64" s="21" t="str">
        <x:v>Mixsoon</x:v>
      </x:c>
      <x:c r="D64" s="21" t="n">
        <x:v>3</x:v>
      </x:c>
      <x:c r="E64" s="21" t="str">
        <x:v>Glacier Water Hyaluronic Acid Serum</x:v>
      </x:c>
      <x:c r="F64" s="21" t="str">
        <x:v>Hydrating Serum</x:v>
      </x:c>
      <x:c r="G64" s="21" t="str">
        <x:v>Large-format lightweight hyaluronic serum positioned for layered hydration and plumping value.</x:v>
      </x:c>
      <x:c r="H64" s="21" t="str">
        <x:v>Glacier water; three molecular weights of hyaluronic acid</x:v>
      </x:c>
      <x:c r="I64" s="21" t="str">
        <x:v>300 mL</x:v>
      </x:c>
      <x:c r="J64" s="31"/>
      <x:c r="K64" s="31" t="n">
        <x:v>29</x:v>
      </x:c>
      <x:c r="L64" s="31" t="n">
        <x:v>23.2</x:v>
      </x:c>
      <x:c r="M64" s="31" t="n">
        <x:v>0.0773</x:v>
      </x:c>
      <x:c r="N64" s="21" t="str">
        <x:v>Official DTC; Amazon; TikTok Shop; Ulta; Walmart</x:v>
      </x:c>
      <x:c r="O64" s="33"/>
      <x:c r="P64" s="27"/>
      <x:c r="Q64" s="21" t="str">
        <x:v>Amazon displayed 1K+ bought/month and #222 Facial Serums; Ulta listed 300 mL at $19.50.</x:v>
      </x:c>
      <x:c r="R64" s="21" t="str">
        <x:v>Exceptional price per mL; easy layering; hydration/plumping; large pump format; repeat-use potential.</x:v>
      </x:c>
      <x:c r="S64" s="21" t="str">
        <x:v>Itching/breakout or no-effect reports; deep-penetration wording needs review; bulky format and price conflicts.</x:v>
      </x:c>
      <x:c r="T64" s="21" t="str">
        <x:v>Torriden DIVE-IN Low Molecular Hyaluronic Acid Serum</x:v>
      </x:c>
      <x:c r="U64" s="21" t="str">
        <x:v>Mixsoon provides six times the volume at a similar ticket; Torriden offers a more concentrated multi-hyaluronic hero narrative and stronger specialty-serum credibility.</x:v>
      </x:c>
      <x:c r="V64" s="21" t="str">
        <x:v>Very High</x:v>
      </x:c>
      <x:c r="W64" s="21" t="str">
        <x:v>IMG-MIX-004</x:v>
      </x:c>
      <x:c r="X64" s="21" t="str">
        <x:v>https://mixsoon.us/products/mixsoon-glacier-water-hyaluronic-acid-serum-300ml</x:v>
      </x:c>
      <x:c r="Y64" s="25" t="str">
        <x:v>2026-08-01</x:v>
      </x:c>
      <x:c r="Z64" s="21" t="str">
        <x:v>SRC-MIX-013,SRC-MIX-020,SRC-MIX-025,SRC-MIX-039,SRC-MIX-040,SRC-MIX-050</x:v>
      </x:c>
    </x:row>
    <x:row r="65" ht="126" customHeight="1">
      <x:c r="A65" s="21" t="str">
        <x:v>MIX-P004</x:v>
      </x:c>
      <x:c r="B65" s="21" t="str">
        <x:v>KB013</x:v>
      </x:c>
      <x:c r="C65" s="21" t="str">
        <x:v>Mixsoon</x:v>
      </x:c>
      <x:c r="D65" s="21" t="n">
        <x:v>4</x:v>
      </x:c>
      <x:c r="E65" s="21" t="str">
        <x:v>Bean Cleansing Oil</x:v>
      </x:c>
      <x:c r="F65" s="21" t="str">
        <x:v>Cleansing Oil</x:v>
      </x:c>
      <x:c r="G65" s="21" t="str">
        <x:v>Light cleansing oil for makeup/sunscreen removal with a bean-line halo.</x:v>
      </x:c>
      <x:c r="H65" s="21" t="str">
        <x:v>Ethylhexyl palmitate; caprylic/capric triglyceride; botanical oils; Fragrance (Parfum) listed on official page</x:v>
      </x:c>
      <x:c r="I65" s="21" t="str">
        <x:v>195 mL</x:v>
      </x:c>
      <x:c r="J65" s="31"/>
      <x:c r="K65" s="31" t="n">
        <x:v>25</x:v>
      </x:c>
      <x:c r="L65" s="31" t="n">
        <x:v>20</x:v>
      </x:c>
      <x:c r="M65" s="31" t="n">
        <x:v>0.1026</x:v>
      </x:c>
      <x:c r="N65" s="21" t="str">
        <x:v>Official DTC; TikTok Shop; Ulta; Walmart; cross-border retailers</x:v>
      </x:c>
      <x:c r="O65" s="33" t="n">
        <x:v>46</x:v>
      </x:c>
      <x:c r="P65" s="27" t="n">
        <x:v>4.6</x:v>
      </x:c>
      <x:c r="Q65" s="21" t="str">
        <x:v>Ulta listed $18 and 4.6/46; TikTok Shop storewide scale supports discovery.</x:v>
      </x:c>
      <x:c r="R65" s="21" t="str">
        <x:v>Accessible price; 195 mL size; companion to Bean routine; solid Ulta rating.</x:v>
      </x:c>
      <x:c r="S65" s="21" t="str">
        <x:v>Official page calls it fragrance-free while listing Fragrance (Parfum); cleansing oils can trigger clogging/irritation perceptions; label correction required.</x:v>
      </x:c>
      <x:c r="T65" s="21" t="str">
        <x:v>ANUA Heartleaf Pore Control Cleansing Oil</x:v>
      </x:c>
      <x:c r="U65" s="21" t="str">
        <x:v>Mixsoon is slightly smaller and similarly priced; ANUA has stronger pore-cleansing awareness and a much larger Ulta review base.</x:v>
      </x:c>
      <x:c r="V65" s="21" t="str">
        <x:v>High</x:v>
      </x:c>
      <x:c r="W65" s="21" t="str">
        <x:v>IMG-MIX-005</x:v>
      </x:c>
      <x:c r="X65" s="21" t="str">
        <x:v>https://mixsoon.us/products/mixsoon-bean-cleansing-oil-195ml</x:v>
      </x:c>
      <x:c r="Y65" s="25" t="str">
        <x:v>2026-08-01</x:v>
      </x:c>
      <x:c r="Z65" s="21" t="str">
        <x:v>SRC-MIX-014,SRC-MIX-025,SRC-MIX-051</x:v>
      </x:c>
    </x:row>
    <x:row r="66" ht="126" customHeight="1">
      <x:c r="A66" s="21" t="str">
        <x:v>MIX-P005</x:v>
      </x:c>
      <x:c r="B66" s="21" t="str">
        <x:v>KB013</x:v>
      </x:c>
      <x:c r="C66" s="21" t="str">
        <x:v>Mixsoon</x:v>
      </x:c>
      <x:c r="D66" s="21" t="n">
        <x:v>5</x:v>
      </x:c>
      <x:c r="E66" s="21" t="str">
        <x:v>PDRN Collagen Tinted Moisturizer</x:v>
      </x:c>
      <x:c r="F66" s="21" t="str">
        <x:v>Tinted Moisturizer</x:v>
      </x:c>
      <x:c r="G66" s="21" t="str">
        <x:v>Skin-tint hybrid extending Mixsoon into complexion with PDRN/collagen hydration positioning and ten shades.</x:v>
      </x:c>
      <x:c r="H66" s="21" t="str">
        <x:v>PDRN/collagen positioning; moisturizers; pigments — exact U.S. INCI and shade formulas require vendor file</x:v>
      </x:c>
      <x:c r="I66" s="21" t="str">
        <x:v>50 mL</x:v>
      </x:c>
      <x:c r="J66" s="31"/>
      <x:c r="K66" s="31" t="n">
        <x:v>22</x:v>
      </x:c>
      <x:c r="L66" s="31" t="n">
        <x:v>22</x:v>
      </x:c>
      <x:c r="M66" s="31" t="n">
        <x:v>0.44</x:v>
      </x:c>
      <x:c r="N66" s="21" t="str">
        <x:v>Official DTC; TikTok Shop</x:v>
      </x:c>
      <x:c r="O66" s="33" t="n">
        <x:v>387</x:v>
      </x:c>
      <x:c r="P66" s="27"/>
      <x:c r="Q66" s="21" t="str">
        <x:v>TikTok Shop displayed about 14K sold; official U.S. page displayed 10 shades and 387 reviews.</x:v>
      </x:c>
      <x:c r="R66" s="21" t="str">
        <x:v>High social-commerce velocity; affordable complexion entry; inclusive-for-K-Beauty ten-shade architecture; routine cross-sell.</x:v>
      </x:c>
      <x:c r="S66" s="21" t="str">
        <x:v>Shade/version consistency, pigment/claim substantiation, returns and color matching; PDRN/collagen claims; limited national-retail evidence.</x:v>
      </x:c>
      <x:c r="T66" s="21" t="str">
        <x:v>TIRTIR Mask Fit Red Cushion</x:v>
      </x:c>
      <x:c r="U66" s="21" t="str">
        <x:v>Mixsoon offers a larger liquid format and lower price; TIRTIR has stronger cushion-category recognition and roughly forty Ulta shades.</x:v>
      </x:c>
      <x:c r="V66" s="21" t="str">
        <x:v>High</x:v>
      </x:c>
      <x:c r="W66" s="21" t="str">
        <x:v>IMG-MIX-006</x:v>
      </x:c>
      <x:c r="X66" s="21" t="str">
        <x:v>https://mixsoon.us/pages/pdrn-collagen-tinted-moisturizer</x:v>
      </x:c>
      <x:c r="Y66" s="25" t="str">
        <x:v>2026-08-01</x:v>
      </x:c>
      <x:c r="Z66" s="21" t="str">
        <x:v>SRC-MIX-015,SRC-MIX-022,SRC-MIX-052</x:v>
      </x:c>
    </x:row>
    <x:row r="67" ht="130" customHeight="1">
      <x:c r="A67" s="21" t="str">
        <x:v>DAL-P001</x:v>
      </x:c>
      <x:c r="B67" s="21" t="str">
        <x:v>KB014</x:v>
      </x:c>
      <x:c r="C67" s="21" t="str">
        <x:v>d'Alba</x:v>
      </x:c>
      <x:c r="D67" s="21" t="n">
        <x:v>1</x:v>
      </x:c>
      <x:c r="E67" s="21" t="str">
        <x:v>White Truffle First Spray Serum</x:v>
      </x:c>
      <x:c r="F67" s="21" t="str">
        <x:v>Bi-Phase Spray Serum / Face Mist</x:v>
      </x:c>
      <x:c r="G67" s="21" t="str">
        <x:v>Iconic fine mist used after cleansing, between routine steps and before/after makeup for visible glow and hydration.</x:v>
      </x:c>
      <x:c r="H67" s="21" t="str">
        <x:v>Trufferol (white truffle + tocopherol); niacinamide; avocado/sunflower oils; fragrance allergens</x:v>
      </x:c>
      <x:c r="I67" s="21" t="str">
        <x:v>100 mL</x:v>
      </x:c>
      <x:c r="J67" s="31"/>
      <x:c r="K67" s="31" t="n">
        <x:v>24</x:v>
      </x:c>
      <x:c r="L67" s="31" t="n">
        <x:v>21</x:v>
      </x:c>
      <x:c r="M67" s="31" t="n">
        <x:v>0.21</x:v>
      </x:c>
      <x:c r="N67" s="21" t="str">
        <x:v>Official DTC; Amazon; TikTok Shop; Ulta; Costco; iHerb; cross-border retailers</x:v>
      </x:c>
      <x:c r="O67" s="33" t="n">
        <x:v>33414</x:v>
      </x:c>
      <x:c r="P67" s="27" t="n">
        <x:v>4.5</x:v>
      </x:c>
      <x:c r="Q67" s="21" t="str">
        <x:v>Amazon displayed 40K+ bought/month at $20.99; TikTok Shop 19.5K sold; iHerb 2K+ sold in 30 days and #1 K-Beauty Hydrating Serums.</x:v>
      </x:c>
      <x:c r="R67" s="21" t="str">
        <x:v>Category-defining format; exceptional review/velocity signal; fine mist; instant glow; makeup compatibility; accessible premium ticket.</x:v>
      </x:c>
      <x:c r="S67" s="21" t="str">
        <x:v>Strong fragrance and allergens; oiliness/stickiness; anecdotal irritation/breakouts; temporary-effect/value skepticism; aggressive penetration/lifting/wrinkle claims.</x:v>
      </x:c>
      <x:c r="T67" s="21" t="str">
        <x:v>Peach &amp; Lily Glass Skin Veil Mist</x:v>
      </x:c>
      <x:c r="U67" s="21" t="str">
        <x:v>d'Alba is oil-serum based, more fragranced and lower priced; Peach &amp; Lily is fragrance-free, ceramide-led and has a mature Ulta review base.</x:v>
      </x:c>
      <x:c r="V67" s="21" t="str">
        <x:v>Exceptional</x:v>
      </x:c>
      <x:c r="W67" s="21" t="str">
        <x:v>IMG-DAL-002</x:v>
      </x:c>
      <x:c r="X67" s="21" t="str">
        <x:v>https://dalba.com/products/dalba-white-truffle-first-spray-serum</x:v>
      </x:c>
      <x:c r="Y67" s="25" t="str">
        <x:v>2026-08-01</x:v>
      </x:c>
      <x:c r="Z67" s="21" t="str">
        <x:v>SRC-DAL-010,SRC-DAL-011,SRC-DAL-017,SRC-DAL-023,SRC-DAL-025,SRC-DAL-027</x:v>
      </x:c>
    </x:row>
    <x:row r="68" ht="130" customHeight="1">
      <x:c r="A68" s="21" t="str">
        <x:v>DAL-P002</x:v>
      </x:c>
      <x:c r="B68" s="21" t="str">
        <x:v>KB014</x:v>
      </x:c>
      <x:c r="C68" s="21" t="str">
        <x:v>d'Alba</x:v>
      </x:c>
      <x:c r="D68" s="21" t="n">
        <x:v>2</x:v>
      </x:c>
      <x:c r="E68" s="21" t="str">
        <x:v>Double Serum All In One Multi Balm</x:v>
      </x:c>
      <x:c r="F68" s="21" t="str">
        <x:v>Serum Balm Stick</x:v>
      </x:c>
      <x:c r="G68" s="21" t="str">
        <x:v>Portable balm for targeted glow and moisture around eyes, cheeks and expression lines.</x:v>
      </x:c>
      <x:c r="H68" s="21" t="str">
        <x:v>Trufferol; plant oils; vitamin C/collagen positioning — exact U.S. INCI and substantiation required</x:v>
      </x:c>
      <x:c r="I68" s="21" t="str">
        <x:v>10 g</x:v>
      </x:c>
      <x:c r="J68" s="31"/>
      <x:c r="K68" s="31" t="n">
        <x:v>24</x:v>
      </x:c>
      <x:c r="L68" s="31" t="n">
        <x:v>22</x:v>
      </x:c>
      <x:c r="M68" s="31" t="n">
        <x:v>2.2</x:v>
      </x:c>
      <x:c r="N68" s="21" t="str">
        <x:v>Official DTC; Amazon; TikTok Shop; Ulta</x:v>
      </x:c>
      <x:c r="O68" s="33" t="n">
        <x:v>7856</x:v>
      </x:c>
      <x:c r="P68" s="27" t="n">
        <x:v>4.5</x:v>
      </x:c>
      <x:c r="Q68" s="21" t="str">
        <x:v>Amazon displayed 20K+ bought/month at $20.99; TikTok Shop 2.3K sold; Ulta listed $24 and about 4.6/168.</x:v>
      </x:c>
      <x:c r="R68" s="21" t="str">
        <x:v>Very high velocity; portable and giftable; strong K-Beauty balm format; mature review base.</x:v>
      </x:c>
      <x:c r="S68" s="21" t="str">
        <x:v>Occlusive feel, hygiene/application concerns, fragrance/irritation risk and wrinkle/dark-spot claims; KAHI has stronger format heritage.</x:v>
      </x:c>
      <x:c r="T68" s="21" t="str">
        <x:v>KAHI Wrinkle Bounce Multi Balm</x:v>
      </x:c>
      <x:c r="U68" s="21" t="str">
        <x:v>d'Alba is lower priced and currently much stronger on sampled Amazon velocity; KAHI remains the best-known Korean multi-balm reference.</x:v>
      </x:c>
      <x:c r="V68" s="21" t="str">
        <x:v>Exceptional</x:v>
      </x:c>
      <x:c r="W68" s="21" t="str">
        <x:v>IMG-DAL-003</x:v>
      </x:c>
      <x:c r="X68" s="21" t="str">
        <x:v>https://dalba.com/products/dalbamultibalm</x:v>
      </x:c>
      <x:c r="Y68" s="25" t="str">
        <x:v>2026-08-01</x:v>
      </x:c>
      <x:c r="Z68" s="21" t="str">
        <x:v>SRC-DAL-012,SRC-DAL-018,SRC-DAL-023,SRC-DAL-025,SRC-DAL-048</x:v>
      </x:c>
    </x:row>
    <x:row r="69" ht="130" customHeight="1">
      <x:c r="A69" s="21" t="str">
        <x:v>DAL-P003</x:v>
      </x:c>
      <x:c r="B69" s="21" t="str">
        <x:v>KB014</x:v>
      </x:c>
      <x:c r="C69" s="21" t="str">
        <x:v>d'Alba</x:v>
      </x:c>
      <x:c r="D69" s="21" t="n">
        <x:v>3</x:v>
      </x:c>
      <x:c r="E69" s="21" t="str">
        <x:v>Intensive Volufiline Grinding Cream</x:v>
      </x:c>
      <x:c r="F69" s="21" t="str">
        <x:v>Firming / Moisturizing Cream</x:v>
      </x:c>
      <x:c r="G69" s="21" t="str">
        <x:v>Dispensing-top cream positioned for visible plumping, elasticity and targeted smile-line/eye-area care.</x:v>
      </x:c>
      <x:c r="H69" s="21" t="str">
        <x:v>Volufiline 50,000 ppm positioning; vegan collagen; peptides; white truffle</x:v>
      </x:c>
      <x:c r="I69" s="21" t="str">
        <x:v>45 g</x:v>
      </x:c>
      <x:c r="J69" s="31"/>
      <x:c r="K69" s="31" t="n">
        <x:v>54</x:v>
      </x:c>
      <x:c r="L69" s="31" t="n">
        <x:v>45</x:v>
      </x:c>
      <x:c r="M69" s="31" t="n">
        <x:v>1</x:v>
      </x:c>
      <x:c r="N69" s="21" t="str">
        <x:v>Amazon; TikTok Shop; Ulta</x:v>
      </x:c>
      <x:c r="O69" s="33" t="n">
        <x:v>766</x:v>
      </x:c>
      <x:c r="P69" s="27" t="n">
        <x:v>4.4</x:v>
      </x:c>
      <x:c r="Q69" s="21" t="str">
        <x:v>Amazon displayed 7K+ bought/month at $33.99; TikTok Shop 2.6K sold; Ulta listed $45 and about 4.9/86.</x:v>
      </x:c>
      <x:c r="R69" s="21" t="str">
        <x:v>High-growth firming hero; distinctive package; strong Amazon/TikTok velocity; giftable premium story.</x:v>
      </x:c>
      <x:c r="S69" s="21" t="str">
        <x:v>Drug-like lifting/plumping/wrinkle implications; evidence quality and before/after substantiation; package dosing; strong discount pressure.</x:v>
      </x:c>
      <x:c r="T69" s="21" t="str">
        <x:v>Medicube Collagen Niacinamide Jelly Cream</x:v>
      </x:c>
      <x:c r="U69" s="21" t="str">
        <x:v>d'Alba is more premium and claim-intense with targeted Volufiline positioning; Medicube is lower priced, larger and nationally accessible at Ulta.</x:v>
      </x:c>
      <x:c r="V69" s="21" t="str">
        <x:v>Very High</x:v>
      </x:c>
      <x:c r="W69" s="21" t="str">
        <x:v>IMG-DAL-004</x:v>
      </x:c>
      <x:c r="X69" s="21" t="str">
        <x:v>https://www.ulta.com/p/intensive-volufiline-elasticity-boost-grinding-cream-pimprod2056393?sku=2650473</x:v>
      </x:c>
      <x:c r="Y69" s="25" t="str">
        <x:v>2026-08-01</x:v>
      </x:c>
      <x:c r="Z69" s="21" t="str">
        <x:v>SRC-DAL-013,SRC-DAL-019,SRC-DAL-023,SRC-DAL-025,SRC-DAL-049</x:v>
      </x:c>
    </x:row>
    <x:row r="70" ht="130" customHeight="1">
      <x:c r="A70" s="21" t="str">
        <x:v>DAL-P004</x:v>
      </x:c>
      <x:c r="B70" s="21" t="str">
        <x:v>KB014</x:v>
      </x:c>
      <x:c r="C70" s="21" t="str">
        <x:v>d'Alba</x:v>
      </x:c>
      <x:c r="D70" s="21" t="n">
        <x:v>4</x:v>
      </x:c>
      <x:c r="E70" s="21" t="str">
        <x:v>White Truffle Vital Spray Serum</x:v>
      </x:c>
      <x:c r="F70" s="21" t="str">
        <x:v>Calming Bi-Phase Spray Serum</x:v>
      </x:c>
      <x:c r="G70" s="21" t="str">
        <x:v>Red-toned companion mist positioned for quick hydration and visible redness comfort.</x:v>
      </x:c>
      <x:c r="H70" s="21" t="str">
        <x:v>Trufferol; red flower oil blend; Aquaxyl; fragrance; geranium/rose oils</x:v>
      </x:c>
      <x:c r="I70" s="21" t="str">
        <x:v>100 mL</x:v>
      </x:c>
      <x:c r="J70" s="31"/>
      <x:c r="K70" s="31" t="n">
        <x:v>24</x:v>
      </x:c>
      <x:c r="L70" s="31" t="n">
        <x:v>21</x:v>
      </x:c>
      <x:c r="M70" s="31" t="n">
        <x:v>0.21</x:v>
      </x:c>
      <x:c r="N70" s="21" t="str">
        <x:v>Official DTC; Amazon; TikTok Shop; Ulta; iHerb</x:v>
      </x:c>
      <x:c r="O70" s="33" t="n">
        <x:v>2427</x:v>
      </x:c>
      <x:c r="P70" s="27" t="n">
        <x:v>4.5</x:v>
      </x:c>
      <x:c r="Q70" s="21" t="str">
        <x:v>Amazon displayed 1K+ bought/month at $19.99; TikTok Shop 315 sold; Ulta listed $26 and 4.7/95.</x:v>
      </x:c>
      <x:c r="R70" s="21" t="str">
        <x:v>Extends proven mist format; sensitive/redness use occasion; solid reviews; companion selling.</x:v>
      </x:c>
      <x:c r="S70" s="21" t="str">
        <x:v>Fragrance/essential oils conflict with sensitive-skin positioning; rosacea/irritation language; variant confusion with First Spray.</x:v>
      </x:c>
      <x:c r="T70" s="21" t="str">
        <x:v>Pixi Glow Mist</x:v>
      </x:c>
      <x:c r="U70" s="21" t="str">
        <x:v>d'Alba carries a richer serum/oil and premium K-Beauty story; Pixi is lower priced with broad Ulta familiarity.</x:v>
      </x:c>
      <x:c r="V70" s="21" t="str">
        <x:v>High</x:v>
      </x:c>
      <x:c r="W70" s="21" t="str">
        <x:v>IMG-DAL-005</x:v>
      </x:c>
      <x:c r="X70" s="21" t="str">
        <x:v>https://dalba.com/products/dalba-white-truffle-vital-spray-serum</x:v>
      </x:c>
      <x:c r="Y70" s="25" t="str">
        <x:v>2026-08-01</x:v>
      </x:c>
      <x:c r="Z70" s="21" t="str">
        <x:v>SRC-DAL-014,SRC-DAL-020,SRC-DAL-023,SRC-DAL-025,SRC-DAL-046</x:v>
      </x:c>
    </x:row>
    <x:row r="71" ht="130" customHeight="1">
      <x:c r="A71" s="21" t="str">
        <x:v>DAL-P005</x:v>
      </x:c>
      <x:c r="B71" s="21" t="str">
        <x:v>KB014</x:v>
      </x:c>
      <x:c r="C71" s="21" t="str">
        <x:v>d'Alba</x:v>
      </x:c>
      <x:c r="D71" s="21" t="n">
        <x:v>5</x:v>
      </x:c>
      <x:c r="E71" s="21" t="str">
        <x:v>White Truffle Waterfull Tone-Up Sunscreen SPF 50+</x:v>
      </x:c>
      <x:c r="F71" s="21" t="str">
        <x:v>Tinted Sunscreen / Makeup Base</x:v>
      </x:c>
      <x:c r="G71" s="21" t="str">
        <x:v>Pink tone-up facial sunscreen positioned for broad-spectrum SPF 50 protection, glow and complexion evening.</x:v>
      </x:c>
      <x:c r="H71" s="21" t="str">
        <x:v>U.S. OTC active ingredients per exact Drug Facts; Trufferol and tint pigments — exact formula/artwork must match NDC</x:v>
      </x:c>
      <x:c r="I71" s="21" t="str">
        <x:v>50 mL</x:v>
      </x:c>
      <x:c r="J71" s="31"/>
      <x:c r="K71" s="31" t="n">
        <x:v>26</x:v>
      </x:c>
      <x:c r="L71" s="31" t="n">
        <x:v>18</x:v>
      </x:c>
      <x:c r="M71" s="31" t="n">
        <x:v>0.36</x:v>
      </x:c>
      <x:c r="N71" s="21" t="str">
        <x:v>Official DTC; TikTok Shop; Ulta; Amazon; cross-border retailers</x:v>
      </x:c>
      <x:c r="O71" s="33" t="n">
        <x:v>62</x:v>
      </x:c>
      <x:c r="P71" s="27" t="n">
        <x:v>4.4</x:v>
      </x:c>
      <x:c r="Q71" s="21" t="str">
        <x:v>TikTok Shop displayed 7.4K sold; Ulta listed U.S. Broad Spectrum SPF 50+ at $28; DailyMed lists NDC 84662-040-03.</x:v>
      </x:c>
      <x:c r="R71" s="21" t="str">
        <x:v>Strong social demand; skincare-makeup hybrid; U.S. OTC label exists; compelling glow cross-sell.</x:v>
      </x:c>
      <x:c r="S71" s="21" t="str">
        <x:v>OTC drug obligations; U.S./Korean version and filter confusion; tint/white-cast fit; Drug Facts/NDC/formula substitution risk.</x:v>
      </x:c>
      <x:c r="T71" s="21" t="str">
        <x:v>Beauty of Joseon Day Dew Sunscreen SPF 50</x:v>
      </x:c>
      <x:c r="U71" s="21" t="str">
        <x:v>Both are accessible K-Beauty SPF heroes; d'Alba adds pink tone-up glow, while BOJ's Sephora product offers a lightweight untinted U.S. formula at a similar price.</x:v>
      </x:c>
      <x:c r="V71" s="21" t="str">
        <x:v>Very High</x:v>
      </x:c>
      <x:c r="W71" s="21" t="str">
        <x:v>IMG-DAL-006</x:v>
      </x:c>
      <x:c r="X71" s="21" t="str">
        <x:v>https://dalba.com/products/dalba-waterfull-tone-up-sunscreen-spf50</x:v>
      </x:c>
      <x:c r="Y71" s="25" t="str">
        <x:v>2026-08-01</x:v>
      </x:c>
      <x:c r="Z71" s="21" t="str">
        <x:v>SRC-DAL-015,SRC-DAL-023,SRC-DAL-025,SRC-DAL-041,SRC-DAL-050</x:v>
      </x:c>
    </x:row>
    <x:row r="72" ht="132" customHeight="1">
      <x:c r="A72" s="21" t="str">
        <x:v>SBM-P001</x:v>
      </x:c>
      <x:c r="B72" s="21" t="str">
        <x:v>KB015</x:v>
      </x:c>
      <x:c r="C72" s="21" t="str">
        <x:v>SOME BY MI</x:v>
      </x:c>
      <x:c r="D72" s="21" t="n">
        <x:v>1</x:v>
      </x:c>
      <x:c r="E72" s="21" t="str">
        <x:v>AHA BHA PHA 30 Days Miracle Acne Clear Body Cleanser</x:v>
      </x:c>
      <x:c r="F72" s="21" t="str">
        <x:v>OTC Acne Body Cleanser</x:v>
      </x:c>
      <x:c r="G72" s="21" t="str">
        <x:v>Large-format body cleanser labeled in the U.S. for acne treatment and positioned for body breakouts and rough texture.</x:v>
      </x:c>
      <x:c r="H72" s="21" t="str">
        <x:v>Salicylic acid 0.5% Drug Facts active; AHA/PHA and botanical/tea-tree supporting ingredients</x:v>
      </x:c>
      <x:c r="I72" s="21" t="str">
        <x:v>400 g</x:v>
      </x:c>
      <x:c r="J72" s="31"/>
      <x:c r="K72" s="31" t="n">
        <x:v>25.2</x:v>
      </x:c>
      <x:c r="L72" s="31" t="n">
        <x:v>19.9</x:v>
      </x:c>
      <x:c r="M72" s="31" t="n">
        <x:v>0.0498</x:v>
      </x:c>
      <x:c r="N72" s="21" t="str">
        <x:v>Amazon; TikTok Shop; Ulta; YesStyle; cross-border retail</x:v>
      </x:c>
      <x:c r="O72" s="33" t="n">
        <x:v>2738</x:v>
      </x:c>
      <x:c r="P72" s="27" t="n">
        <x:v>4.5</x:v>
      </x:c>
      <x:c r="Q72" s="21" t="str">
        <x:v>Amazon displayed 10K+ bought/month at $19.90; official TikTok Shop displayed 83.8K sold at $25.20; Ulta listed $21. DailyMed lists NDC 74472-102.</x:v>
      </x:c>
      <x:c r="R72" s="21" t="str">
        <x:v>Current U.S. social-commerce leader; 400 g value; high Amazon velocity; regulated acne indication; strong body-care whitespace.</x:v>
      </x:c>
      <x:c r="S72" s="21" t="str">
        <x:v>OTC drug compliance; exact NDC/Drug Facts/formula/artwork; irritation/dryness; tea-tree/eucalyptus fragrance; retailer price conflict; body-wash allergy reports.</x:v>
      </x:c>
      <x:c r="T72" s="21" t="str">
        <x:v>Naturium The Perfector Salicylic Acid Body Wash</x:v>
      </x:c>
      <x:c r="U72" s="21" t="str">
        <x:v>SOME BY MI carries an explicit 0.5% salicylic-acid OTC acne label and stronger social-commerce story; Naturium is cheaper per ounce, fragrance-free and broadly established at Target.</x:v>
      </x:c>
      <x:c r="V72" s="21" t="str">
        <x:v>Exceptional</x:v>
      </x:c>
      <x:c r="W72" s="21" t="str">
        <x:v>IMG-SBM-002</x:v>
      </x:c>
      <x:c r="X72" s="21" t="str">
        <x:v>https://www.amazon.com/dp/B087LYWWW4</x:v>
      </x:c>
      <x:c r="Y72" s="25" t="str">
        <x:v>2026-08-01</x:v>
      </x:c>
      <x:c r="Z72" s="21" t="str">
        <x:v>SRC-SBM-011,SRC-SBM-017,SRC-SBM-021,SRC-SBM-039,SRC-SBM-049</x:v>
      </x:c>
    </x:row>
    <x:row r="73" ht="132" customHeight="1">
      <x:c r="A73" s="21" t="str">
        <x:v>SBM-P002</x:v>
      </x:c>
      <x:c r="B73" s="21" t="str">
        <x:v>KB015</x:v>
      </x:c>
      <x:c r="C73" s="21" t="str">
        <x:v>SOME BY MI</x:v>
      </x:c>
      <x:c r="D73" s="21" t="n">
        <x:v>2</x:v>
      </x:c>
      <x:c r="E73" s="21" t="str">
        <x:v>AHA BHA PHA 30 Days Miracle Toner</x:v>
      </x:c>
      <x:c r="F73" s="21" t="str">
        <x:v>Exfoliating / Oil-Control Toner</x:v>
      </x:c>
      <x:c r="G73" s="21" t="str">
        <x:v>Legacy 150 mL toner for daily skin-prep, pore appearance, oil control and gentle exfoliation.</x:v>
      </x:c>
      <x:c r="H73" s="21" t="str">
        <x:v>Tea tree leaf water; niacinamide 2%; citric acid/AHA; salicylic acid/BHA; lactobionic acid/PHA; peppermint oil</x:v>
      </x:c>
      <x:c r="I73" s="21" t="str">
        <x:v>150 mL</x:v>
      </x:c>
      <x:c r="J73" s="31"/>
      <x:c r="K73" s="31" t="n">
        <x:v>24</x:v>
      </x:c>
      <x:c r="L73" s="31" t="n">
        <x:v>16.8</x:v>
      </x:c>
      <x:c r="M73" s="31" t="n">
        <x:v>0.112</x:v>
      </x:c>
      <x:c r="N73" s="21" t="str">
        <x:v>Amazon; TikTok Shop; Ulta; iHerb; Target Plus; YesStyle; Walmart/cross-border</x:v>
      </x:c>
      <x:c r="O73" s="33" t="n">
        <x:v>9444</x:v>
      </x:c>
      <x:c r="P73" s="27" t="n">
        <x:v>4.6</x:v>
      </x:c>
      <x:c r="Q73" s="21" t="str">
        <x:v>Amazon displayed 5K+ bought/month at $16.80; iHerb 4.6/35,219 and 2K+ sold in 30 days at $18; Ulta $24 and 4.8/11; YesStyle $15.80 with 10,976 displayed reviews/engagement.</x:v>
      </x:c>
      <x:c r="R73" s="21" t="str">
        <x:v>Legacy awareness hero; enormous review base; accessible price; oil/texture use case; broad omnichannel availability.</x:v>
      </x:c>
      <x:c r="S73" s="21" t="str">
        <x:v>Low advertised acid concentrations debated by consumers; peppermint/tea-tree irritation; drying/purging; no guaranteed 30-day result; deep price spread and marketplace provenance.</x:v>
      </x:c>
      <x:c r="T73" s="21" t="str">
        <x:v>COSRX AHA/BHA Clarifying Treatment Toner</x:v>
      </x:c>
      <x:c r="U73" s="21" t="str">
        <x:v>Both are 150 mL accessible K-Beauty exfoliating toners; SOME BY MI has stronger current Amazon/iHerb proof and a more aggressive acne/30-day story, while COSRX is simpler and priced at $20 at Ulta.</x:v>
      </x:c>
      <x:c r="V73" s="21" t="str">
        <x:v>Exceptional</x:v>
      </x:c>
      <x:c r="W73" s="21" t="str">
        <x:v>IMG-SBM-003</x:v>
      </x:c>
      <x:c r="X73" s="21" t="str">
        <x:v>https://www.ulta.com/p/aha-bha-pha-30-day-miracle-exfoliating-toner-pimprod2051778?sku=2641258</x:v>
      </x:c>
      <x:c r="Y73" s="25" t="str">
        <x:v>2026-08-01</x:v>
      </x:c>
      <x:c r="Z73" s="21" t="str">
        <x:v>SRC-SBM-012,SRC-SBM-020,SRC-SBM-026,SRC-SBM-030,SRC-SBM-034,SRC-SBM-036</x:v>
      </x:c>
    </x:row>
    <x:row r="74" ht="132" customHeight="1">
      <x:c r="A74" s="21" t="str">
        <x:v>SBM-P003</x:v>
      </x:c>
      <x:c r="B74" s="21" t="str">
        <x:v>KB015</x:v>
      </x:c>
      <x:c r="C74" s="21" t="str">
        <x:v>SOME BY MI</x:v>
      </x:c>
      <x:c r="D74" s="21" t="n">
        <x:v>3</x:v>
      </x:c>
      <x:c r="E74" s="21" t="str">
        <x:v>AHA BHA PHA 30 Days Miracle Acne Clear Foam</x:v>
      </x:c>
      <x:c r="F74" s="21" t="str">
        <x:v>OTC Acne Face Cleanser</x:v>
      </x:c>
      <x:c r="G74" s="21" t="str">
        <x:v>Foaming facial cleanser labeled in the U.S. for acne treatment, with oil/sebum-control positioning.</x:v>
      </x:c>
      <x:c r="H74" s="21" t="str">
        <x:v>Salicylic acid 0.5% Drug Facts active; tea tree; peppermint; centella; gluconolactone; citric acid</x:v>
      </x:c>
      <x:c r="I74" s="21" t="str">
        <x:v>100 g</x:v>
      </x:c>
      <x:c r="J74" s="31"/>
      <x:c r="K74" s="31" t="n">
        <x:v>19</x:v>
      </x:c>
      <x:c r="L74" s="31" t="n">
        <x:v>13.3</x:v>
      </x:c>
      <x:c r="M74" s="31" t="n">
        <x:v>0.133</x:v>
      </x:c>
      <x:c r="N74" s="21" t="str">
        <x:v>Amazon; Ulta; Walmart; YesStyle; cross-border retail</x:v>
      </x:c>
      <x:c r="O74" s="33" t="n">
        <x:v>1983</x:v>
      </x:c>
      <x:c r="P74" s="27" t="n">
        <x:v>4.6</x:v>
      </x:c>
      <x:c r="Q74" s="21" t="str">
        <x:v>Amazon displayed 3K+ bought/month at $13.30; Ulta listed $19 and 4.3/9. DailyMed identifies OTC Monograph M006 and NDC 74472-101.</x:v>
      </x:c>
      <x:c r="R74" s="21" t="str">
        <x:v>High Amazon velocity; low ticket; direct regimen cross-sell; exact U.S. OTC label record.</x:v>
      </x:c>
      <x:c r="S74" s="21" t="str">
        <x:v>OTC drug establishment/listing/Drug Facts duties; foaming/drying profile; peppermint/fragrance sensitivity; marketplace seller variability; exact size/NDC mapping.</x:v>
      </x:c>
      <x:c r="T74" s="21" t="str">
        <x:v>PanOxyl 10% Benzoyl Peroxide Acne Foaming Wash</x:v>
      </x:c>
      <x:c r="U74" s="21" t="str">
        <x:v>Both are regulated acne cleansers. SOME BY MI uses 0.5% salicylic acid and K-Beauty regimen cues; PanOxyl uses maximum-strength 10% benzoyl peroxide, costs $10.69 and has stronger mass-retail acne authority.</x:v>
      </x:c>
      <x:c r="V74" s="21" t="str">
        <x:v>Very High</x:v>
      </x:c>
      <x:c r="W74" s="21" t="str">
        <x:v>IMG-SBM-004</x:v>
      </x:c>
      <x:c r="X74" s="21" t="str">
        <x:v>https://www.amazon.com/dp/B07Q34Y99J</x:v>
      </x:c>
      <x:c r="Y74" s="25" t="str">
        <x:v>2026-08-01</x:v>
      </x:c>
      <x:c r="Z74" s="21" t="str">
        <x:v>SRC-SBM-013,SRC-SBM-021,SRC-SBM-029,SRC-SBM-040,SRC-SBM-050</x:v>
      </x:c>
    </x:row>
    <x:row r="75" ht="132" customHeight="1">
      <x:c r="A75" s="21" t="str">
        <x:v>SBM-P004</x:v>
      </x:c>
      <x:c r="B75" s="21" t="str">
        <x:v>KB015</x:v>
      </x:c>
      <x:c r="C75" s="21" t="str">
        <x:v>SOME BY MI</x:v>
      </x:c>
      <x:c r="D75" s="21" t="n">
        <x:v>4</x:v>
      </x:c>
      <x:c r="E75" s="21" t="str">
        <x:v>AHA BHA PHA 30 Days Miracle Cream</x:v>
      </x:c>
      <x:c r="F75" s="21" t="str">
        <x:v>Clarifying / Soothing Moisturizer</x:v>
      </x:c>
      <x:c r="G75" s="21" t="str">
        <x:v>Light gel-cream moisturizer positioned to soothe, hydrate and complete the Miracle acne/texture regimen.</x:v>
      </x:c>
      <x:c r="H75" s="21" t="str">
        <x:v>Centella/Truecica complex; tea tree; niacinamide; AHA/BHA/PHA positioning — exact U.S. INCI required</x:v>
      </x:c>
      <x:c r="I75" s="21" t="str">
        <x:v>60 g</x:v>
      </x:c>
      <x:c r="J75" s="31"/>
      <x:c r="K75" s="31" t="n">
        <x:v>27</x:v>
      </x:c>
      <x:c r="L75" s="31" t="n">
        <x:v>15.8</x:v>
      </x:c>
      <x:c r="M75" s="31" t="n">
        <x:v>0.2633</x:v>
      </x:c>
      <x:c r="N75" s="21" t="str">
        <x:v>Amazon; TikTok Shop; Ulta; Target Plus; YesStyle; cross-border retail</x:v>
      </x:c>
      <x:c r="O75" s="33" t="n">
        <x:v>2915</x:v>
      </x:c>
      <x:c r="P75" s="27" t="n">
        <x:v>4.5</x:v>
      </x:c>
      <x:c r="Q75" s="21" t="str">
        <x:v>Amazon displayed 1K+ bought/month at $15.80; Ulta listed $27 and 5.0/1; YesStyle displayed $18.97 and 3,889 reviews/engagement.</x:v>
      </x:c>
      <x:c r="R75" s="21" t="str">
        <x:v>Mature review base; affordable routine completion; hydration balances exfoliation; strong bundle potential.</x:v>
      </x:c>
      <x:c r="S75" s="21" t="str">
        <x:v>Large Amazon-to-Ulta price gap; fragrance/botanical sensitivity; acne/treatment language must be separated from cosmetic moisturization claims; efficacy polarization.</x:v>
      </x:c>
      <x:c r="T75" s="21" t="str">
        <x:v>ANUA Heartleaf 77 Soothing Toner</x:v>
      </x:c>
      <x:c r="U75" s="21" t="str">
        <x:v>Both target troubled/sensitive-looking skin at accessible K-Beauty prices, but the formats differ; ANUA is a fragrance-light soothing toner with Ulta exclusivity, while SOME BY MI is an active-led moisturizer within a broader acne regimen.</x:v>
      </x:c>
      <x:c r="V75" s="21" t="str">
        <x:v>High</x:v>
      </x:c>
      <x:c r="W75" s="21" t="str">
        <x:v>IMG-SBM-005</x:v>
      </x:c>
      <x:c r="X75" s="21" t="str">
        <x:v>https://www.amazon.com/dp/B07KNP5CG3</x:v>
      </x:c>
      <x:c r="Y75" s="25" t="str">
        <x:v>2026-08-01</x:v>
      </x:c>
      <x:c r="Z75" s="21" t="str">
        <x:v>SRC-SBM-014,SRC-SBM-019,SRC-SBM-031,SRC-SBM-036</x:v>
      </x:c>
    </x:row>
    <x:row r="76" ht="132" customHeight="1">
      <x:c r="A76" s="21" t="str">
        <x:v>SBM-P005</x:v>
      </x:c>
      <x:c r="B76" s="21" t="str">
        <x:v>KB015</x:v>
      </x:c>
      <x:c r="C76" s="21" t="str">
        <x:v>SOME BY MI</x:v>
      </x:c>
      <x:c r="D76" s="21" t="n">
        <x:v>5</x:v>
      </x:c>
      <x:c r="E76" s="21" t="str">
        <x:v>Retinol Intense Reactivating Serum</x:v>
      </x:c>
      <x:c r="F76" s="21" t="str">
        <x:v>Beginner Retinol Serum</x:v>
      </x:c>
      <x:c r="G76" s="21" t="str">
        <x:v>30 mL serum positioned for first-time retinoid users seeking smoother-looking texture, pores and visible signs of aging.</x:v>
      </x:c>
      <x:c r="H76" s="21" t="str">
        <x:v>Retinol/retinal/bakuchiol complex; centella; panthenol; fragrance — exact percentages and U.S. INCI required</x:v>
      </x:c>
      <x:c r="I76" s="21" t="str">
        <x:v>30 mL</x:v>
      </x:c>
      <x:c r="J76" s="31"/>
      <x:c r="K76" s="31" t="n">
        <x:v>32</x:v>
      </x:c>
      <x:c r="L76" s="31" t="n">
        <x:v>20.6</x:v>
      </x:c>
      <x:c r="M76" s="31" t="n">
        <x:v>0.6867</x:v>
      </x:c>
      <x:c r="N76" s="21" t="str">
        <x:v>Amazon; TikTok Shop; Ulta; Target Plus; YesStyle; cross-border retail</x:v>
      </x:c>
      <x:c r="O76" s="33" t="n">
        <x:v>3058</x:v>
      </x:c>
      <x:c r="P76" s="27" t="n">
        <x:v>4.3</x:v>
      </x:c>
      <x:c r="Q76" s="21" t="str">
        <x:v>Amazon displayed 1K+ bought/month at $20.60; Ulta listed $32 and 4.3/19; official TikTok Shop displayed 2.4K sold at $31.80; YesStyle displayed $22.30 and 2,381 reviews/engagement.</x:v>
      </x:c>
      <x:c r="R76" s="21" t="str">
        <x:v>Mature review base; accessible beginner-retinol story; strong routine extension; multi-channel presence.</x:v>
      </x:c>
      <x:c r="S76" s="21" t="str">
        <x:v>Fragrance concern; retinoid concentration/evidence questions; irritation/purging; pregnancy-use education; anti-aging/firming/structure-function claim review; price conflict.</x:v>
      </x:c>
      <x:c r="T76" s="21" t="str">
        <x:v>Paula's Choice Skin Perfecting 2% BHA Liquid Exfoliant</x:v>
      </x:c>
      <x:c r="U76" s="21" t="str">
        <x:v>Not ingredient-identical, but both are active-led texture/pore solutions. SOME BY MI is lower priced and beginner-oriented; Paula's Choice offers a clearly disclosed 2% BHA benchmark at $37 with stronger U.S. clinical/exfoliation authority.</x:v>
      </x:c>
      <x:c r="V76" s="21" t="str">
        <x:v>Very High</x:v>
      </x:c>
      <x:c r="W76" s="21" t="str">
        <x:v>IMG-SBM-006</x:v>
      </x:c>
      <x:c r="X76" s="21" t="str">
        <x:v>https://www.amazon.com/dp/B0BXGW8DRP</x:v>
      </x:c>
      <x:c r="Y76" s="25" t="str">
        <x:v>2026-08-01</x:v>
      </x:c>
      <x:c r="Z76" s="21" t="str">
        <x:v>SRC-SBM-015,SRC-SBM-017,SRC-SBM-022,SRC-SBM-031,SRC-SBM-037</x:v>
      </x:c>
    </x:row>
    <x:row r="77" ht="136" customHeight="1">
      <x:c r="A77" s="21" t="str">
        <x:v>ISN-P001</x:v>
      </x:c>
      <x:c r="B77" s="21" t="str">
        <x:v>KB016</x:v>
      </x:c>
      <x:c r="C77" s="21" t="str">
        <x:v>Isntree</x:v>
      </x:c>
      <x:c r="D77" s="21" t="n">
        <x:v>1</x:v>
      </x:c>
      <x:c r="E77" s="21" t="str">
        <x:v>Hyaluronic Acid Daily Sun Gel SPF 30 Broad Spectrum</x:v>
      </x:c>
      <x:c r="F77" s="21" t="str">
        <x:v>U.S. OTC Facial Sunscreen</x:v>
      </x:c>
      <x:c r="G77" s="21" t="str">
        <x:v>Moisturizer-like daily U.S. sunscreen with lightweight hydration and no-white-cast positioning.</x:v>
      </x:c>
      <x:c r="H77" s="21" t="str">
        <x:v>Avobenzone 2.7%; homosalate 9%; octisalate 4.5%; hyaluronic-acid hydration system</x:v>
      </x:c>
      <x:c r="I77" s="21" t="str">
        <x:v>50 mL</x:v>
      </x:c>
      <x:c r="J77" s="31"/>
      <x:c r="K77" s="31" t="n">
        <x:v>20</x:v>
      </x:c>
      <x:c r="L77" s="31" t="n">
        <x:v>15.9</x:v>
      </x:c>
      <x:c r="M77" s="31" t="n">
        <x:v>0.318</x:v>
      </x:c>
      <x:c r="N77" s="21" t="str">
        <x:v>Amazon; iHerb; Soko Glam; official global store</x:v>
      </x:c>
      <x:c r="O77" s="33" t="n">
        <x:v>1021</x:v>
      </x:c>
      <x:c r="P77" s="27" t="n">
        <x:v>4.6</x:v>
      </x:c>
      <x:c r="Q77" s="21" t="str">
        <x:v>Amazon displayed 5K+ bought/month, #4,579 Beauty and #63 Facial Sunscreens. TikTok current page evidence was limited.</x:v>
      </x:c>
      <x:c r="R77" s="21" t="str">
        <x:v>Largest current Amazon hero; official seller/Amazon fulfillment; U.S. DailyMed record; accessible price; makeup-friendly use case.</x:v>
      </x:c>
      <x:c r="S77" s="21" t="str">
        <x:v>SPF30 is lower than several competitors; finish can feel sticky/dewy in humidity; eye/skin sensitivity reports; exact Drug Facts/NDC must match.</x:v>
      </x:c>
      <x:c r="T77" s="21" t="str">
        <x:v>Beauty of Joseon Day Dew Sunscreen SPF 50</x:v>
      </x:c>
      <x:c r="U77" s="21" t="str">
        <x:v>Isntree is cheaper on Amazon and has a hydration-led gel story; Beauty of Joseon has stronger Sephora visibility and SPF50 at $18.</x:v>
      </x:c>
      <x:c r="V77" s="21" t="str">
        <x:v>Very High</x:v>
      </x:c>
      <x:c r="W77" s="21" t="str">
        <x:v>IMG-ISN-002</x:v>
      </x:c>
      <x:c r="X77" s="21" t="str">
        <x:v>https://www.amazon.com/dp/B0C7B55GS3</x:v>
      </x:c>
      <x:c r="Y77" s="25" t="str">
        <x:v>2026-08-01</x:v>
      </x:c>
      <x:c r="Z77" s="21" t="str">
        <x:v>SRC-ISN-010,SRC-ISN-015,SRC-ISN-029,SRC-ISN-035,SRC-ISN-044</x:v>
      </x:c>
    </x:row>
    <x:row r="78" ht="136" customHeight="1">
      <x:c r="A78" s="21" t="str">
        <x:v>ISN-P002</x:v>
      </x:c>
      <x:c r="B78" s="21" t="str">
        <x:v>KB016</x:v>
      </x:c>
      <x:c r="C78" s="21" t="str">
        <x:v>Isntree</x:v>
      </x:c>
      <x:c r="D78" s="21" t="n">
        <x:v>2</x:v>
      </x:c>
      <x:c r="E78" s="21" t="str">
        <x:v>Green Tea Fresh Toner</x:v>
      </x:c>
      <x:c r="F78" s="21" t="str">
        <x:v>Oil-Balance / Hydrating Toner</x:v>
      </x:c>
      <x:c r="G78" s="21" t="str">
        <x:v>Large-format watery toner positioned to replenish moisture while managing excess sebum for combination and oily skin.</x:v>
      </x:c>
      <x:c r="H78" s="21" t="str">
        <x:v>Jeju green tea extract; Anti-Sebum complex; ginkgo; centella; willow bark; hydrolyzed hyaluronic acid</x:v>
      </x:c>
      <x:c r="I78" s="21" t="str">
        <x:v>200 mL</x:v>
      </x:c>
      <x:c r="J78" s="31"/>
      <x:c r="K78" s="31" t="n">
        <x:v>24.36</x:v>
      </x:c>
      <x:c r="L78" s="31" t="n">
        <x:v>16.9</x:v>
      </x:c>
      <x:c r="M78" s="31" t="n">
        <x:v>0.0845</x:v>
      </x:c>
      <x:c r="N78" s="21" t="str">
        <x:v>Amazon; iHerb; Soko Glam; official global store; cross-border retail</x:v>
      </x:c>
      <x:c r="O78" s="33" t="n">
        <x:v>4524</x:v>
      </x:c>
      <x:c r="P78" s="27" t="n">
        <x:v>4.6</x:v>
      </x:c>
      <x:c r="Q78" s="21" t="str">
        <x:v>Amazon displayed 1K+ bought/month; iHerb displayed about 3,073 reviews, 300+ sold in 30 days and #27 K-Beauty Toners.</x:v>
      </x:c>
      <x:c r="R78" s="21" t="str">
        <x:v>Large size, excellent price per mL, strong long-tail reviews, light finish and clear oily/combination-skin use case.</x:v>
      </x:c>
      <x:c r="S78" s="21" t="str">
        <x:v>Some users see little change or inadequate hydration; slight tackiness possible; botanical sensitivity; deep Amazon/iHerb/global price spread.</x:v>
      </x:c>
      <x:c r="T78" s="21" t="str">
        <x:v>ANUA Heartleaf 77 Soothing Toner</x:v>
      </x:c>
      <x:c r="U78" s="21" t="str">
        <x:v>Both are large-format gentle K-Beauty toners; Isntree is cheaper on Amazon and emphasizes green-tea oil balance, while ANUA has stronger Ulta exclusivity and current U.S. retail visibility.</x:v>
      </x:c>
      <x:c r="V78" s="21" t="str">
        <x:v>Very High</x:v>
      </x:c>
      <x:c r="W78" s="21" t="str">
        <x:v>IMG-ISN-003</x:v>
      </x:c>
      <x:c r="X78" s="21" t="str">
        <x:v>https://isntree-global.com/collections/new/products/isntree-green-tea-fresh-toner-200ml</x:v>
      </x:c>
      <x:c r="Y78" s="25" t="str">
        <x:v>2026-08-01</x:v>
      </x:c>
      <x:c r="Z78" s="21" t="str">
        <x:v>SRC-ISN-011,SRC-ISN-017,SRC-ISN-018,SRC-ISN-024,SRC-ISN-040,SRC-ISN-047</x:v>
      </x:c>
    </x:row>
    <x:row r="79" ht="136" customHeight="1">
      <x:c r="A79" s="21" t="str">
        <x:v>ISN-P003</x:v>
      </x:c>
      <x:c r="B79" s="21" t="str">
        <x:v>KB016</x:v>
      </x:c>
      <x:c r="C79" s="21" t="str">
        <x:v>Isntree</x:v>
      </x:c>
      <x:c r="D79" s="21" t="n">
        <x:v>3</x:v>
      </x:c>
      <x:c r="E79" s="21" t="str">
        <x:v>Ultra-Low Molecular Hyaluronic Acid Serum</x:v>
      </x:c>
      <x:c r="F79" s="21" t="str">
        <x:v>Hydrating Serum</x:v>
      </x:c>
      <x:c r="G79" s="21" t="str">
        <x:v>Lightweight multi-hyaluronic serum positioned for dehydrated skin, layering and plumper-looking hydration.</x:v>
      </x:c>
      <x:c r="H79" s="21" t="str">
        <x:v>Fourteen forms/layers of hyaluronic acid positioning; Ulleung Island seawater; panthenol; madecassoside; beta-glucan</x:v>
      </x:c>
      <x:c r="I79" s="21" t="str">
        <x:v>50 mL</x:v>
      </x:c>
      <x:c r="J79" s="31"/>
      <x:c r="K79" s="31" t="n">
        <x:v>24.4</x:v>
      </x:c>
      <x:c r="L79" s="31" t="n">
        <x:v>17.8</x:v>
      </x:c>
      <x:c r="M79" s="31" t="n">
        <x:v>0.356</x:v>
      </x:c>
      <x:c r="N79" s="21" t="str">
        <x:v>Amazon; official global store; iHerb; cross-border retail</x:v>
      </x:c>
      <x:c r="O79" s="33" t="n">
        <x:v>610</x:v>
      </x:c>
      <x:c r="P79" s="27" t="n">
        <x:v>4.6</x:v>
      </x:c>
      <x:c r="Q79" s="21" t="str">
        <x:v>Amazon displayed 600+ bought/month at $17.80; official global store listed $24.40 before promotion.</x:v>
      </x:c>
      <x:c r="R79" s="21" t="str">
        <x:v>Generous 50 mL size, accessible cost per mL, strong rating, hydration franchise extension and easy regimen cross-sell.</x:v>
      </x:c>
      <x:c r="S79" s="21" t="str">
        <x:v>'Ultra-low molecular' and 'deep hydration' need substantiation; limited review base versus toner; formula may feel insufficient alone for dry skin.</x:v>
      </x:c>
      <x:c r="T79" s="21" t="str">
        <x:v>SKIN1004 Madagascar Centella Hyalu-Cica Blue Serum</x:v>
      </x:c>
      <x:c r="U79" s="21" t="str">
        <x:v>Both are 50 mL multi-HA Korean serums; Isntree is cheaper on Amazon and emphasizes fourteen HA forms, while SKIN1004 is $25 with current Ulta distribution and centella/ceramide positioning.</x:v>
      </x:c>
      <x:c r="V79" s="21" t="str">
        <x:v>High</x:v>
      </x:c>
      <x:c r="W79" s="21" t="str">
        <x:v>IMG-ISN-004</x:v>
      </x:c>
      <x:c r="X79" s="21" t="str">
        <x:v>https://isntree-global.com/products/isntree-ultra-low-molecular-hyaluronic-acid-serum-50ml</x:v>
      </x:c>
      <x:c r="Y79" s="25" t="str">
        <x:v>2026-08-01</x:v>
      </x:c>
      <x:c r="Z79" s="21" t="str">
        <x:v>SRC-ISN-012,SRC-ISN-025,SRC-ISN-046,SRC-ISN-049</x:v>
      </x:c>
    </x:row>
    <x:row r="80" ht="136" customHeight="1">
      <x:c r="A80" s="21" t="str">
        <x:v>ISN-P004</x:v>
      </x:c>
      <x:c r="B80" s="21" t="str">
        <x:v>KB016</x:v>
      </x:c>
      <x:c r="C80" s="21" t="str">
        <x:v>Isntree</x:v>
      </x:c>
      <x:c r="D80" s="21" t="n">
        <x:v>4</x:v>
      </x:c>
      <x:c r="E80" s="21" t="str">
        <x:v>Hyaluronic Acid Aqua Gel Cream</x:v>
      </x:c>
      <x:c r="F80" s="21" t="str">
        <x:v>Oil-Free Gel Moisturizer</x:v>
      </x:c>
      <x:c r="G80" s="21" t="str">
        <x:v>Weightless gel cream for dehydrated oily/combination skin, with large 100 mL size and fresh finish.</x:v>
      </x:c>
      <x:c r="H80" s="21" t="str">
        <x:v>Five hyaluronic-acid forms; betaine; sodium PCA; squalane; centella; licorice</x:v>
      </x:c>
      <x:c r="I80" s="21" t="str">
        <x:v>100 mL</x:v>
      </x:c>
      <x:c r="J80" s="31"/>
      <x:c r="K80" s="31" t="n">
        <x:v>22.2</x:v>
      </x:c>
      <x:c r="L80" s="31" t="n">
        <x:v>16.4</x:v>
      </x:c>
      <x:c r="M80" s="31" t="n">
        <x:v>0.164</x:v>
      </x:c>
      <x:c r="N80" s="21" t="str">
        <x:v>Amazon; iHerb; official global store; cross-border retail</x:v>
      </x:c>
      <x:c r="O80" s="33" t="n">
        <x:v>1393</x:v>
      </x:c>
      <x:c r="P80" s="27" t="n">
        <x:v>4.6</x:v>
      </x:c>
      <x:c r="Q80" s="21" t="str">
        <x:v>Amazon displayed 1K+ bought/month; iHerb displayed 1K+ sold in 30 days and about 4,127 reviews at $19.28.</x:v>
      </x:c>
      <x:c r="R80" s="21" t="str">
        <x:v>Exceptional value per mL; clear oily/dehydrated use case; strong retailer review proof; lightweight format.</x:v>
      </x:c>
      <x:c r="S80" s="21" t="str">
        <x:v>May be insufficient for very dry skin or feel tacky/heavy for some; marketplace price compression; cosmetic barrier claims require support.</x:v>
      </x:c>
      <x:c r="T80" s="21" t="str">
        <x:v>COSRX Hyaluronic Acid Intensive Cream</x:v>
      </x:c>
      <x:c r="U80" s="21" t="str">
        <x:v>Isntree offers twice-size-style value and a lighter gel profile; COSRX is richer, more established at Ulta and $25.</x:v>
      </x:c>
      <x:c r="V80" s="21" t="str">
        <x:v>Very High</x:v>
      </x:c>
      <x:c r="W80" s="21" t="str">
        <x:v>IMG-ISN-005</x:v>
      </x:c>
      <x:c r="X80" s="21" t="str">
        <x:v>https://isntree-global.com/products/isntree-hyaluronic-acid-aqua-gel-cream-100ml</x:v>
      </x:c>
      <x:c r="Y80" s="25" t="str">
        <x:v>2026-08-01</x:v>
      </x:c>
      <x:c r="Z80" s="21" t="str">
        <x:v>SRC-ISN-013,SRC-ISN-019,SRC-ISN-026,SRC-ISN-049</x:v>
      </x:c>
    </x:row>
    <x:row r="81" ht="136" customHeight="1">
      <x:c r="A81" s="21" t="str">
        <x:v>ISN-P005</x:v>
      </x:c>
      <x:c r="B81" s="21" t="str">
        <x:v>KB016</x:v>
      </x:c>
      <x:c r="C81" s="21" t="str">
        <x:v>Isntree</x:v>
      </x:c>
      <x:c r="D81" s="21" t="n">
        <x:v>5</x:v>
      </x:c>
      <x:c r="E81" s="21" t="str">
        <x:v>Yam Root Vegan Milk Cleanser</x:v>
      </x:c>
      <x:c r="F81" s="21" t="str">
        <x:v>Gentle Milk Cleanser</x:v>
      </x:c>
      <x:c r="G81" s="21" t="str">
        <x:v>Large vegan milk cleanser designed to dissolve makeup and impurities without a stripped after-feel.</x:v>
      </x:c>
      <x:c r="H81" s="21" t="str">
        <x:v>Andong yam root extract; sunflower seed oil; plant extract complex; glycerin</x:v>
      </x:c>
      <x:c r="I81" s="21" t="str">
        <x:v>220 mL</x:v>
      </x:c>
      <x:c r="J81" s="31"/>
      <x:c r="K81" s="31" t="n">
        <x:v>27.8</x:v>
      </x:c>
      <x:c r="L81" s="31" t="n">
        <x:v>20.9</x:v>
      </x:c>
      <x:c r="M81" s="31" t="n">
        <x:v>0.095</x:v>
      </x:c>
      <x:c r="N81" s="21" t="str">
        <x:v>Amazon; official global store; iHerb; cross-border retail</x:v>
      </x:c>
      <x:c r="O81" s="33" t="n">
        <x:v>447</x:v>
      </x:c>
      <x:c r="P81" s="27" t="n">
        <x:v>4.3</x:v>
      </x:c>
      <x:c r="Q81" s="21" t="str">
        <x:v>Amazon displayed 500+ bought/month; official global store listed $27.80 before promotion.</x:v>
      </x:c>
      <x:c r="R81" s="21" t="str">
        <x:v>Distinct gentle-cleansing format, large value size, dry/sensitive-routine fit and strong regimen differentiation.</x:v>
      </x:c>
      <x:c r="S81" s="21" t="str">
        <x:v>Lowest sampled rating; milk texture may not remove waterproof makeup alone; ethylhexyl palmitate/sensory preferences vary; smaller review base.</x:v>
      </x:c>
      <x:c r="T81" s="21" t="str">
        <x:v>ROUND LAB 1025 Dokdo Cleansing Oil</x:v>
      </x:c>
      <x:c r="U81" s="21" t="str">
        <x:v>Both are roughly 200-220 mL gentle first-cleansers. Isntree is a vegan milk cleanser and slightly cheaper on Amazon; ROUND LAB is a makeup-dissolving oil with current Ulta distribution and 4.7/132.</x:v>
      </x:c>
      <x:c r="V81" s="21" t="str">
        <x:v>High</x:v>
      </x:c>
      <x:c r="W81" s="21" t="str">
        <x:v>IMG-ISN-006</x:v>
      </x:c>
      <x:c r="X81" s="21" t="str">
        <x:v>https://isntree-global.com/products/isntree-yam-root-vegan-milk-cleanser-220ml</x:v>
      </x:c>
      <x:c r="Y81" s="25" t="str">
        <x:v>2026-08-01</x:v>
      </x:c>
      <x:c r="Z81" s="21" t="str">
        <x:v>SRC-ISN-014,SRC-ISN-027,SRC-ISN-043,SRC-ISN-045</x:v>
      </x:c>
    </x:row>
    <x:row r="82" ht="144" customHeight="1">
      <x:c r="A82" s="21" t="str">
        <x:v>GDL-P001</x:v>
      </x:c>
      <x:c r="B82" s="21" t="str">
        <x:v>KB017</x:v>
      </x:c>
      <x:c r="C82" s="21" t="str">
        <x:v>Goodal</x:v>
      </x:c>
      <x:c r="D82" s="21" t="n">
        <x:v>1</x:v>
      </x:c>
      <x:c r="E82" s="21" t="str">
        <x:v>Green Tangerine Vitamin C Dark Spot Brightening Serum Alpha</x:v>
      </x:c>
      <x:c r="F82" s="21" t="str">
        <x:v>Brightening / Dark-Spot Appearance Serum</x:v>
      </x:c>
      <x:c r="G82" s="21" t="str">
        <x:v>New Alpha serum for daily visible radiance and the appearance of dark spots, positioned as Goodal's U.S. hero.</x:v>
      </x:c>
      <x:c r="H82" s="21" t="str">
        <x:v>Green Tangerine Exosome positioning; vitamin C derivative system; exact U.S. INCI and concentrations to confirm</x:v>
      </x:c>
      <x:c r="I82" s="21" t="str">
        <x:v>30 mL</x:v>
      </x:c>
      <x:c r="J82" s="31"/>
      <x:c r="K82" s="31" t="n">
        <x:v>25</x:v>
      </x:c>
      <x:c r="L82" s="31" t="n">
        <x:v>21.9</x:v>
      </x:c>
      <x:c r="M82" s="31" t="n">
        <x:v>0.73</x:v>
      </x:c>
      <x:c r="N82" s="21" t="str">
        <x:v>Amazon; TikTok Shop; YesStyle; official U.S. campaigns</x:v>
      </x:c>
      <x:c r="O82" s="33" t="n">
        <x:v>107</x:v>
      </x:c>
      <x:c r="P82" s="27" t="n">
        <x:v>4.5</x:v>
      </x:c>
      <x:c r="Q82" s="21" t="str">
        <x:v>Amazon displayed 4K+ bought/month and Amazon's Choice. The Alpha formula is new, so the review base is still limited.</x:v>
      </x:c>
      <x:c r="R82" s="21" t="str">
        <x:v>Largest sampled Amazon purchase badge; recognizable franchise; accessible price; routine-friendly positioning; official seller/Amazon fulfillment.</x:v>
      </x:c>
      <x:c r="S82" s="21" t="str">
        <x:v>Brand-funded seven-day/exosome/absorption claims need substantiation; new low review base; fragrance/citrus sensitivity; legacy review transfer risk.</x:v>
      </x:c>
      <x:c r="T82" s="21" t="str">
        <x:v>ANUA Niacinamide 10% + TXA 4% Serum</x:v>
      </x:c>
      <x:c r="U82" s="21" t="str">
        <x:v>Both target uneven tone around $22-$25. Goodal owns stronger vitamin-C franchise storytelling; ANUA has Ulta visibility and explicit niacinamide/TXA percentages.</x:v>
      </x:c>
      <x:c r="V82" s="21" t="str">
        <x:v>Very High</x:v>
      </x:c>
      <x:c r="W82" s="21" t="str">
        <x:v>IMG-GDL-002</x:v>
      </x:c>
      <x:c r="X82" s="21" t="str">
        <x:v>https://www.amazon.com/dp/B0GGGCV238</x:v>
      </x:c>
      <x:c r="Y82" s="25" t="str">
        <x:v>2026-08-01</x:v>
      </x:c>
      <x:c r="Z82" s="21" t="str">
        <x:v>SRC-GDL-007,SRC-GDL-010,SRC-GDL-015,SRC-GDL-035,SRC-GDL-042</x:v>
      </x:c>
    </x:row>
    <x:row r="83" ht="144" customHeight="1">
      <x:c r="A83" s="21" t="str">
        <x:v>GDL-P002</x:v>
      </x:c>
      <x:c r="B83" s="21" t="str">
        <x:v>KB017</x:v>
      </x:c>
      <x:c r="C83" s="21" t="str">
        <x:v>Goodal</x:v>
      </x:c>
      <x:c r="D83" s="21" t="n">
        <x:v>2</x:v>
      </x:c>
      <x:c r="E83" s="21" t="str">
        <x:v>Green Tangerine Vita C Eye Patches Alpha</x:v>
      </x:c>
      <x:c r="F83" s="21" t="str">
        <x:v>Brightening Hydrogel Eye Patches</x:v>
      </x:c>
      <x:c r="G83" s="21" t="str">
        <x:v>Hydrogel eye patches extending the Green Tangerine Alpha brightening routine to the under-eye area.</x:v>
      </x:c>
      <x:c r="H83" s="21" t="str">
        <x:v>Green Tangerine/Alpha brightening complex; exact U.S. INCI and claim substantiation to confirm</x:v>
      </x:c>
      <x:c r="I83" s="21" t="str">
        <x:v>60 patches</x:v>
      </x:c>
      <x:c r="J83" s="31"/>
      <x:c r="K83" s="31" t="n">
        <x:v>22</x:v>
      </x:c>
      <x:c r="L83" s="31" t="n">
        <x:v>18.9</x:v>
      </x:c>
      <x:c r="M83" s="31" t="n">
        <x:v>0.315</x:v>
      </x:c>
      <x:c r="N83" s="21" t="str">
        <x:v>Amazon; Target legacy eye-patch listing; cross-border retail</x:v>
      </x:c>
      <x:c r="O83" s="33" t="n">
        <x:v>94</x:v>
      </x:c>
      <x:c r="P83" s="27" t="n">
        <x:v>4.6</x:v>
      </x:c>
      <x:c r="Q83" s="21" t="str">
        <x:v>Amazon displayed 1K+ bought/month at $18.90 with a 4.6/94 aggregate.</x:v>
      </x:c>
      <x:c r="R83" s="21" t="str">
        <x:v>Second-highest sampled purchase badge; impulse-friendly format; regimen cross-sell; accessible price per patch.</x:v>
      </x:c>
      <x:c r="S83" s="21" t="str">
        <x:v>Dark-circle, firmness and rapid-result claims need support; fragrance/sensitivity; limited Alpha-specific review depth.</x:v>
      </x:c>
      <x:c r="T83" s="21" t="str">
        <x:v>MEDIHEAL Retinol Collagen Eye Ampoule Patch</x:v>
      </x:c>
      <x:c r="U83" s="21" t="str">
        <x:v>Both are 60-count Korean hydrogel patches. Goodal is cheaper and brightening-led; MEDIHEAL has stronger current Ulta review proof and retinol/collagen positioning.</x:v>
      </x:c>
      <x:c r="V83" s="21" t="str">
        <x:v>High</x:v>
      </x:c>
      <x:c r="W83" s="21" t="str">
        <x:v>IMG-GDL-003</x:v>
      </x:c>
      <x:c r="X83" s="21" t="str">
        <x:v>https://www.amazon.com/dp/B0G92CK3J8</x:v>
      </x:c>
      <x:c r="Y83" s="25" t="str">
        <x:v>2026-08-01</x:v>
      </x:c>
      <x:c r="Z83" s="21" t="str">
        <x:v>SRC-GDL-007,SRC-GDL-011,SRC-GDL-043</x:v>
      </x:c>
    </x:row>
    <x:row r="84" ht="144" customHeight="1">
      <x:c r="A84" s="21" t="str">
        <x:v>GDL-P003</x:v>
      </x:c>
      <x:c r="B84" s="21" t="str">
        <x:v>KB017</x:v>
      </x:c>
      <x:c r="C84" s="21" t="str">
        <x:v>Goodal</x:v>
      </x:c>
      <x:c r="D84" s="21" t="n">
        <x:v>3</x:v>
      </x:c>
      <x:c r="E84" s="21" t="str">
        <x:v>Green Tangerine Vita C Cream Advanced</x:v>
      </x:c>
      <x:c r="F84" s="21" t="str">
        <x:v>Brightening Moisturizer</x:v>
      </x:c>
      <x:c r="G84" s="21" t="str">
        <x:v>Daily brightening cream extending the Green Tangerine regimen with hydration and tone-evening appearance care.</x:v>
      </x:c>
      <x:c r="H84" s="21" t="str">
        <x:v>Vitamin C derivative positioning; alpha-arbutin in Alpha communications; exact Amazon variant/formula to confirm</x:v>
      </x:c>
      <x:c r="I84" s="21" t="str">
        <x:v>50 mL</x:v>
      </x:c>
      <x:c r="J84" s="31"/>
      <x:c r="K84" s="31" t="n">
        <x:v>26</x:v>
      </x:c>
      <x:c r="L84" s="31" t="n">
        <x:v>24</x:v>
      </x:c>
      <x:c r="M84" s="31" t="n">
        <x:v>0.48</x:v>
      </x:c>
      <x:c r="N84" s="21" t="str">
        <x:v>Amazon; Target/cross-border legacy cream listings</x:v>
      </x:c>
      <x:c r="O84" s="33" t="n">
        <x:v>1327</x:v>
      </x:c>
      <x:c r="P84" s="27" t="n">
        <x:v>4.5</x:v>
      </x:c>
      <x:c r="Q84" s="21" t="str">
        <x:v>Amazon displayed 600+ bought/month. The 1,327-review aggregate may include related or legacy variants and is not treated as Alpha-only evidence.</x:v>
      </x:c>
      <x:c r="R84" s="21" t="str">
        <x:v>Completes regimen; credible moisturizer price; good aggregate rating; supports basket building.</x:v>
      </x:c>
      <x:c r="S84" s="21" t="str">
        <x:v>Variant/review inheritance; claims and concentration transparency; fragrance/citrus sensitivity; cross-border price pressure.</x:v>
      </x:c>
      <x:c r="T84" s="21" t="str">
        <x:v>AXIS-Y Dark Spot Correcting Glow Cream</x:v>
      </x:c>
      <x:c r="U84" s="21" t="str">
        <x:v>Goodal is about $24 for one 50 mL unit; AXIS-Y's Ulta two-count bundle is $48 list and uses 2% alpha-arbutin plus 5% niacinamide positioning.</x:v>
      </x:c>
      <x:c r="V84" s="21" t="str">
        <x:v>High</x:v>
      </x:c>
      <x:c r="W84" s="21" t="str">
        <x:v>IMG-GDL-004</x:v>
      </x:c>
      <x:c r="X84" s="21" t="str">
        <x:v>https://www.amazon.com/dp/B0GGM7V79C</x:v>
      </x:c>
      <x:c r="Y84" s="25" t="str">
        <x:v>2026-08-01</x:v>
      </x:c>
      <x:c r="Z84" s="21" t="str">
        <x:v>SRC-GDL-007,SRC-GDL-012,SRC-GDL-044</x:v>
      </x:c>
    </x:row>
    <x:row r="85" ht="144" customHeight="1">
      <x:c r="A85" s="21" t="str">
        <x:v>GDL-P004</x:v>
      </x:c>
      <x:c r="B85" s="21" t="str">
        <x:v>KB017</x:v>
      </x:c>
      <x:c r="C85" s="21" t="str">
        <x:v>Goodal</x:v>
      </x:c>
      <x:c r="D85" s="21" t="n">
        <x:v>4</x:v>
      </x:c>
      <x:c r="E85" s="21" t="str">
        <x:v>Green Tangerine Vita-C Dark Spot UV Defense Sunscreen SPF50 Broad Spectrum</x:v>
      </x:c>
      <x:c r="F85" s="21" t="str">
        <x:v>U.S. OTC Facial Sunscreen</x:v>
      </x:c>
      <x:c r="G85" s="21" t="str">
        <x:v>Exact U.S. OTC brightening-franchise sunscreen combining broad-spectrum SPF50 positioning with daily glow care.</x:v>
      </x:c>
      <x:c r="H85" s="21" t="str">
        <x:v>Homosalate 9.5%; octocrylene 9%; octisalate 4.75%; avobenzone 2.85%</x:v>
      </x:c>
      <x:c r="I85" s="21" t="str">
        <x:v>50 mL</x:v>
      </x:c>
      <x:c r="J85" s="31"/>
      <x:c r="K85" s="31" t="n">
        <x:v>25</x:v>
      </x:c>
      <x:c r="L85" s="31" t="n">
        <x:v>23</x:v>
      </x:c>
      <x:c r="M85" s="31" t="n">
        <x:v>0.46</x:v>
      </x:c>
      <x:c r="N85" s="21" t="str">
        <x:v>Amazon; exact U.S.-labeled channels only</x:v>
      </x:c>
      <x:c r="O85" s="33" t="n">
        <x:v>238</x:v>
      </x:c>
      <x:c r="P85" s="27" t="n">
        <x:v>4.5</x:v>
      </x:c>
      <x:c r="Q85" s="21" t="str">
        <x:v>Amazon displayed 600+ bought/month at $23.00. DailyMed lists NDC 84532-001 and CLIO Cosmetics as labeler/registrant.</x:v>
      </x:c>
      <x:c r="R85" s="21" t="str">
        <x:v>U.S. OTC record; meaningful Amazon demand; no-white-cast/glow use case; franchise cross-sell.</x:v>
      </x:c>
      <x:c r="S85" s="21" t="str">
        <x:v>Must match exact U.S. Drug Facts/NDC/artwork; foreign SPF50+ PA++++ versions create substitution risk; irritation/eye-feel varies.</x:v>
      </x:c>
      <x:c r="T85" s="21" t="str">
        <x:v>Beauty of Joseon Day Dew Sunscreen SPF50</x:v>
      </x:c>
      <x:c r="U85" s="21" t="str">
        <x:v>Both are Korean SPF50 facial sunscreens. Goodal connects to a brightening franchise; Beauty of Joseon is $18 at Sephora with much stronger prestige visibility.</x:v>
      </x:c>
      <x:c r="V85" s="21" t="str">
        <x:v>Very High</x:v>
      </x:c>
      <x:c r="W85" s="21" t="str">
        <x:v>IMG-GDL-005</x:v>
      </x:c>
      <x:c r="X85" s="21" t="str">
        <x:v>https://www.amazon.com/dp/B0F6N25L2P</x:v>
      </x:c>
      <x:c r="Y85" s="25" t="str">
        <x:v>2026-08-01</x:v>
      </x:c>
      <x:c r="Z85" s="21" t="str">
        <x:v>SRC-GDL-013,SRC-GDL-030,SRC-GDL-045</x:v>
      </x:c>
    </x:row>
    <x:row r="86" ht="144" customHeight="1">
      <x:c r="A86" s="21" t="str">
        <x:v>GDL-P005</x:v>
      </x:c>
      <x:c r="B86" s="21" t="str">
        <x:v>KB017</x:v>
      </x:c>
      <x:c r="C86" s="21" t="str">
        <x:v>Goodal</x:v>
      </x:c>
      <x:c r="D86" s="21" t="n">
        <x:v>5</x:v>
      </x:c>
      <x:c r="E86" s="21" t="str">
        <x:v>Green Tangerine Vita C Toner Pads Advanced</x:v>
      </x:c>
      <x:c r="F86" s="21" t="str">
        <x:v>Brightening Toner Pads</x:v>
      </x:c>
      <x:c r="G86" s="21" t="str">
        <x:v>Pre-soaked toner pads for convenient daily radiance and dark-spot appearance care within the Green Tangerine routine.</x:v>
      </x:c>
      <x:c r="H86" s="21" t="str">
        <x:v>Green Tangerine/vitamin C derivative positioning; exact Advanced-version INCI and concentration to confirm</x:v>
      </x:c>
      <x:c r="I86" s="21" t="str">
        <x:v>70 pads</x:v>
      </x:c>
      <x:c r="J86" s="31"/>
      <x:c r="K86" s="31" t="n">
        <x:v>26</x:v>
      </x:c>
      <x:c r="L86" s="31" t="n">
        <x:v>23.9</x:v>
      </x:c>
      <x:c r="M86" s="31" t="n">
        <x:v>0.341</x:v>
      </x:c>
      <x:c r="N86" s="21" t="str">
        <x:v>Amazon; Target; Olive Young; cross-border retail</x:v>
      </x:c>
      <x:c r="O86" s="33" t="n">
        <x:v>2202</x:v>
      </x:c>
      <x:c r="P86" s="27" t="n">
        <x:v>4.6</x:v>
      </x:c>
      <x:c r="Q86" s="21" t="str">
        <x:v>Amazon displayed 300+ bought/month; the 2,202-review aggregate may inherit legacy/variant reviews. Target displayed the legacy pads at $22 with 5/3.</x:v>
      </x:c>
      <x:c r="R86" s="21" t="str">
        <x:v>Convenient pad format; strong aggregate review family; easy regimen entry; Target recognition.</x:v>
      </x:c>
      <x:c r="S86" s="21" t="str">
        <x:v>Lower current badge than other heroes; variant review inheritance; pad waste/sensitivity; marketplace discounting.</x:v>
      </x:c>
      <x:c r="T86" s="21" t="str">
        <x:v>MEDIHEAL Vitamide Brightening Pad</x:v>
      </x:c>
      <x:c r="U86" s="21" t="str">
        <x:v>Goodal offers 70 pads at $23.90; MEDIHEAL offers 100 pads at $26.40 with broader Ulta review proof and lower cost per pad.</x:v>
      </x:c>
      <x:c r="V86" s="21" t="str">
        <x:v>High</x:v>
      </x:c>
      <x:c r="W86" s="21" t="str">
        <x:v>IMG-GDL-006</x:v>
      </x:c>
      <x:c r="X86" s="21" t="str">
        <x:v>https://www.amazon.com/dp/B0GGMRBF96</x:v>
      </x:c>
      <x:c r="Y86" s="25" t="str">
        <x:v>2026-08-01</x:v>
      </x:c>
      <x:c r="Z86" s="21" t="str">
        <x:v>SRC-GDL-014,SRC-GDL-018,SRC-GDL-046</x:v>
      </x:c>
    </x:row>
    <x:row r="87" ht="176" customHeight="1">
      <x:c r="A87" s="21" t="str">
        <x:v>IMF-P001</x:v>
      </x:c>
      <x:c r="B87" s="21" t="str">
        <x:v>KB018</x:v>
      </x:c>
      <x:c r="C87" s="21" t="str">
        <x:v>I'm From</x:v>
      </x:c>
      <x:c r="D87" s="21" t="n">
        <x:v>1</x:v>
      </x:c>
      <x:c r="E87" s="21" t="str">
        <x:v>Rice Toner</x:v>
      </x:c>
      <x:c r="F87" s="21" t="str">
        <x:v>Milky Hydrating / Brightening Toner</x:v>
      </x:c>
      <x:c r="G87" s="21" t="str">
        <x:v>Current U.S. hero: a bi-phase milky toner positioned for hydration, glow and smoother-looking texture.</x:v>
      </x:c>
      <x:c r="H87" s="21" t="str">
        <x:v>Yeoju rice extract/rice water, niacinamide and humectants; exact current U.S. INCI to confirm</x:v>
      </x:c>
      <x:c r="I87" s="21" t="str">
        <x:v>150 mL</x:v>
      </x:c>
      <x:c r="J87" s="31"/>
      <x:c r="K87" s="31" t="n">
        <x:v>28</x:v>
      </x:c>
      <x:c r="L87" s="31" t="n">
        <x:v>14.63</x:v>
      </x:c>
      <x:c r="M87" s="31" t="n">
        <x:v>0.0975</x:v>
      </x:c>
      <x:c r="N87" s="21" t="str">
        <x:v>Amazon; Ulta; iHerb; TikTok Shop; Target; Walmart marketplace; cross-border retail</x:v>
      </x:c>
      <x:c r="O87" s="33" t="n">
        <x:v>135</x:v>
      </x:c>
      <x:c r="P87" s="27" t="n">
        <x:v>4.7</x:v>
      </x:c>
      <x:c r="Q87" s="21" t="str">
        <x:v>Official TikTok Shop search displayed about 55.3K cumulative sold; iHerb showed 2,000+ sold in 30 days.</x:v>
      </x:c>
      <x:c r="R87" s="21" t="str">
        <x:v>Largest current Amazon badge; 4.9/522 at Ulta; 4.7/6,986 at iHerb; strong glass-skin/rice trend; broad retail proof.</x:v>
      </x:c>
      <x:c r="S87" s="21" t="str">
        <x:v>Amazon deal price is about 48% below $28 specialty MSRP; old/new ASIN overlap; some breakout, itch or insufficient-hydration reports.</x:v>
      </x:c>
      <x:c r="T87" s="21" t="str">
        <x:v>ANUA Rice 70 Glow Milky Toner</x:v>
      </x:c>
      <x:c r="U87" s="21" t="str">
        <x:v>I'm From has stronger sampled retailer review depth and ingredient-origin heritage; ANUA is cheaper at $21 and has Ulta exclusivity positioning.</x:v>
      </x:c>
      <x:c r="V87" s="21" t="str">
        <x:v>Very High</x:v>
      </x:c>
      <x:c r="W87" s="21" t="str">
        <x:v>IMG-IMF-002</x:v>
      </x:c>
      <x:c r="X87" s="21" t="str">
        <x:v>https://www.amazon.com/dp/B0GL23FXCZ</x:v>
      </x:c>
      <x:c r="Y87" s="25" t="str">
        <x:v>2026-08-01</x:v>
      </x:c>
      <x:c r="Z87" s="21" t="str">
        <x:v>SRC-IMF-010,SRC-IMF-015,SRC-IMF-020,SRC-IMF-027,SRC-IMF-030</x:v>
      </x:c>
    </x:row>
    <x:row r="88" ht="176" customHeight="1">
      <x:c r="A88" s="21" t="str">
        <x:v>IMF-P002</x:v>
      </x:c>
      <x:c r="B88" s="21" t="str">
        <x:v>KB018</x:v>
      </x:c>
      <x:c r="C88" s="21" t="str">
        <x:v>I'm From</x:v>
      </x:c>
      <x:c r="D88" s="21" t="n">
        <x:v>2</x:v>
      </x:c>
      <x:c r="E88" s="21" t="str">
        <x:v>Black Rice Toner</x:v>
      </x:c>
      <x:c r="F88" s="21" t="str">
        <x:v>Hydrating / Sebum-Balance Toner</x:v>
      </x:c>
      <x:c r="G88" s="21" t="str">
        <x:v>Black-rice extension for hydration, plumping and balanced-looking skin, broadening the successful Rice franchise.</x:v>
      </x:c>
      <x:c r="H88" s="21" t="str">
        <x:v>Black rice extract, hyaluronic acid and hydrating base; exact current U.S. INCI to confirm</x:v>
      </x:c>
      <x:c r="I88" s="21" t="str">
        <x:v>150 mL</x:v>
      </x:c>
      <x:c r="J88" s="31"/>
      <x:c r="K88" s="31" t="n">
        <x:v>28</x:v>
      </x:c>
      <x:c r="L88" s="31" t="n">
        <x:v>18.5</x:v>
      </x:c>
      <x:c r="M88" s="31" t="n">
        <x:v>0.1233</x:v>
      </x:c>
      <x:c r="N88" s="21" t="str">
        <x:v>Amazon; Ulta; TikTok Shop; cross-border retail</x:v>
      </x:c>
      <x:c r="O88" s="33" t="n">
        <x:v>191</x:v>
      </x:c>
      <x:c r="P88" s="27" t="n">
        <x:v>4.5</x:v>
      </x:c>
      <x:c r="Q88" s="21" t="str">
        <x:v>Official TikTok Shop listing displayed about 3.4K cumulative sold and was out of stock during a sampled check.</x:v>
      </x:c>
      <x:c r="R88" s="21" t="str">
        <x:v>300+ bought/month on Amazon; 5.0/11 at Ulta; differentiated black-rice story; familiar toner format.</x:v>
      </x:c>
      <x:c r="S88" s="21" t="str">
        <x:v>Lower velocity than Rice Toner; seller displayed as wishtrend rather than imfrom; out-of-stock TikTok signal; role/rights need confirmation.</x:v>
      </x:c>
      <x:c r="T88" s="21" t="str">
        <x:v>TIRTIR Milk Skin Toner</x:v>
      </x:c>
      <x:c r="U88" s="21" t="str">
        <x:v>Both compete for rice-led glass-skin hydration at $25-$28; I'm From differentiates through black-rice provenance, while TIRTIR has a recognized milk-toner franchise.</x:v>
      </x:c>
      <x:c r="V88" s="21" t="str">
        <x:v>High</x:v>
      </x:c>
      <x:c r="W88" s="21" t="str">
        <x:v>IMG-IMF-003</x:v>
      </x:c>
      <x:c r="X88" s="21" t="str">
        <x:v>https://www.amazon.com/dp/B0DY7HR89T</x:v>
      </x:c>
      <x:c r="Y88" s="25" t="str">
        <x:v>2026-08-01</x:v>
      </x:c>
      <x:c r="Z88" s="21" t="str">
        <x:v>SRC-IMF-011,SRC-IMF-015,SRC-IMF-026,SRC-IMF-043</x:v>
      </x:c>
    </x:row>
    <x:row r="89" ht="176" customHeight="1">
      <x:c r="A89" s="21" t="str">
        <x:v>IMF-P003</x:v>
      </x:c>
      <x:c r="B89" s="21" t="str">
        <x:v>KB018</x:v>
      </x:c>
      <x:c r="C89" s="21" t="str">
        <x:v>I'm From</x:v>
      </x:c>
      <x:c r="D89" s="21" t="n">
        <x:v>3</x:v>
      </x:c>
      <x:c r="E89" s="21" t="str">
        <x:v>Mugwort Essence</x:v>
      </x:c>
      <x:c r="F89" s="21" t="str">
        <x:v>Soothing Hydrating Essence / Toner</x:v>
      </x:c>
      <x:c r="G89" s="21" t="str">
        <x:v>Legacy single-ingredient-style hero positioned for sensitive, stressed-looking skin and minimalist soothing routines.</x:v>
      </x:c>
      <x:c r="H89" s="21" t="str">
        <x:v>Mugwort extract; exact current 150 mL U.S. formula and INCI to confirm</x:v>
      </x:c>
      <x:c r="I89" s="21" t="str">
        <x:v>150 mL</x:v>
      </x:c>
      <x:c r="J89" s="31"/>
      <x:c r="K89" s="31" t="n">
        <x:v>36</x:v>
      </x:c>
      <x:c r="L89" s="31" t="n">
        <x:v>19.8</x:v>
      </x:c>
      <x:c r="M89" s="31" t="n">
        <x:v>0.132</x:v>
      </x:c>
      <x:c r="N89" s="21" t="str">
        <x:v>Amazon; TikTok Shop; cross-border retail</x:v>
      </x:c>
      <x:c r="O89" s="33" t="n">
        <x:v>121</x:v>
      </x:c>
      <x:c r="P89" s="27" t="n">
        <x:v>4.6</x:v>
      </x:c>
      <x:c r="Q89" s="21" t="str">
        <x:v>Official TikTok Shop search displayed about 19.5K cumulative sold; a Rice Toner/Mugwort Essence duo showed about 8.6K.</x:v>
      </x:c>
      <x:c r="R89" s="21" t="str">
        <x:v>Long-standing community recognition; simple ingredient story; strong TikTok cumulative demand; high regimen/bundle compatibility.</x:v>
      </x:c>
      <x:c r="S89" s="21" t="str">
        <x:v>Amazon discount versus $36 list; reformulation and 160-to-150 mL transition; some no-effect, irritation and herbal-smell reports; claims need review.</x:v>
      </x:c>
      <x:c r="T89" s="21" t="str">
        <x:v>Hanyul Artemisia Soothing Toner</x:v>
      </x:c>
      <x:c r="U89" s="21" t="str">
        <x:v>Both use Korean artemisia/mugwort soothing positioning at 150 mL. I'm From is cheaper and more minimalist; Hanyul has Sephora exclusivity and 144 reviews.</x:v>
      </x:c>
      <x:c r="V89" s="21" t="str">
        <x:v>High</x:v>
      </x:c>
      <x:c r="W89" s="21" t="str">
        <x:v>IMG-IMF-004</x:v>
      </x:c>
      <x:c r="X89" s="21" t="str">
        <x:v>https://shop.tiktok.com/us/pdp/mugwort-essence-by-im-from-korean-vegan-toner-for-sensitive-skin/1729438201938546925</x:v>
      </x:c>
      <x:c r="Y89" s="25" t="str">
        <x:v>2026-08-01</x:v>
      </x:c>
      <x:c r="Z89" s="21" t="str">
        <x:v>SRC-IMF-013,SRC-IMF-021,SRC-IMF-039,SRC-IMF-040,SRC-IMF-044</x:v>
      </x:c>
    </x:row>
    <x:row r="90" ht="176" customHeight="1">
      <x:c r="A90" s="21" t="str">
        <x:v>IMF-P004</x:v>
      </x:c>
      <x:c r="B90" s="21" t="str">
        <x:v>KB018</x:v>
      </x:c>
      <x:c r="C90" s="21" t="str">
        <x:v>I'm From</x:v>
      </x:c>
      <x:c r="D90" s="21" t="n">
        <x:v>4</x:v>
      </x:c>
      <x:c r="E90" s="21" t="str">
        <x:v>Rice Cream</x:v>
      </x:c>
      <x:c r="F90" s="21" t="str">
        <x:v>Barrier-Support Moisturizer</x:v>
      </x:c>
      <x:c r="G90" s="21" t="str">
        <x:v>Rice-line moisturizer for nourishment, moisture retention, barrier comfort and radiant-looking skin.</x:v>
      </x:c>
      <x:c r="H90" s="21" t="str">
        <x:v>Rice bran water/extract/oil, ceramide NP, panthenol, bisabolol, shea butter and humectants</x:v>
      </x:c>
      <x:c r="I90" s="21" t="str">
        <x:v>50 g</x:v>
      </x:c>
      <x:c r="J90" s="31"/>
      <x:c r="K90" s="31" t="n">
        <x:v>30</x:v>
      </x:c>
      <x:c r="L90" s="31" t="n">
        <x:v>30</x:v>
      </x:c>
      <x:c r="M90" s="31" t="n">
        <x:v>0.6</x:v>
      </x:c>
      <x:c r="N90" s="21" t="str">
        <x:v>Ulta; Amazon; cross-border retail</x:v>
      </x:c>
      <x:c r="O90" s="33" t="n">
        <x:v>58</x:v>
      </x:c>
      <x:c r="P90" s="27" t="n">
        <x:v>4.5</x:v>
      </x:c>
      <x:c r="Q90" s="21" t="str">
        <x:v>Ulta displayed 4.8/130 at $30; Amazon related-product display showed 4.5/58 for the new listing.</x:v>
      </x:c>
      <x:c r="R90" s="21" t="str">
        <x:v>High Ulta satisfaction; coherent Rice Toner cross-sell; sensorial cream texture; barrier-support ingredient set.</x:v>
      </x:c>
      <x:c r="S90" s="21" t="str">
        <x:v>Amazon/Ulta stock and version signals vary; can feel occlusive for oily skin; isolated allergy/itch reports; exact new listing continuity to confirm.</x:v>
      </x:c>
      <x:c r="T90" s="21" t="str">
        <x:v>SKIN1004 Madagascar Centella Probio-Cica Enrich Cream</x:v>
      </x:c>
      <x:c r="U90" s="21" t="str">
        <x:v>Both are $30 K-Beauty barrier creams; I'm From adds rice-bran heritage, while SKIN1004 has a centella/probiotic-cica franchise and broad calming recognition.</x:v>
      </x:c>
      <x:c r="V90" s="21" t="str">
        <x:v>High</x:v>
      </x:c>
      <x:c r="W90" s="21" t="str">
        <x:v>IMG-IMF-005</x:v>
      </x:c>
      <x:c r="X90" s="21" t="str">
        <x:v>https://www.ulta.com/p/rice-cream-pimprod2051770?sku=2642148</x:v>
      </x:c>
      <x:c r="Y90" s="25" t="str">
        <x:v>2026-08-01</x:v>
      </x:c>
      <x:c r="Z90" s="21" t="str">
        <x:v>SRC-IMF-012,SRC-IMF-026,SRC-IMF-028,SRC-IMF-045</x:v>
      </x:c>
    </x:row>
    <x:row r="91" ht="176" customHeight="1">
      <x:c r="A91" s="21" t="str">
        <x:v>IMF-P005</x:v>
      </x:c>
      <x:c r="B91" s="21" t="str">
        <x:v>KB018</x:v>
      </x:c>
      <x:c r="C91" s="21" t="str">
        <x:v>I'm From</x:v>
      </x:c>
      <x:c r="D91" s="21" t="n">
        <x:v>5</x:v>
      </x:c>
      <x:c r="E91" s="21" t="str">
        <x:v>Honey Mask</x:v>
      </x:c>
      <x:c r="F91" s="21" t="str">
        <x:v>Nourishing Wash-Off Mask</x:v>
      </x:c>
      <x:c r="G91" s="21" t="str">
        <x:v>Legacy honey wash-off hero refreshed in a smaller current format for rich moisture, glow and sensorial treatment use.</x:v>
      </x:c>
      <x:c r="H91" s="21" t="str">
        <x:v>Honey-led formula; exact current 70 g U.S. INCI, honey percentage and allergen/fragrance file to confirm</x:v>
      </x:c>
      <x:c r="I91" s="21" t="str">
        <x:v>70 g</x:v>
      </x:c>
      <x:c r="J91" s="31"/>
      <x:c r="K91" s="31" t="n">
        <x:v>35</x:v>
      </x:c>
      <x:c r="L91" s="31" t="n">
        <x:v>30</x:v>
      </x:c>
      <x:c r="M91" s="31" t="n">
        <x:v>0.4286</x:v>
      </x:c>
      <x:c r="N91" s="21" t="str">
        <x:v>TikTok Shop; Target listing; cross-border retail</x:v>
      </x:c>
      <x:c r="O91" s="33"/>
      <x:c r="P91" s="27"/>
      <x:c r="Q91" s="21" t="str">
        <x:v>Official TikTok Shop search displayed 296 cumulative sold and a 5.0 platform rating at the time checked.</x:v>
      </x:c>
      <x:c r="R91" s="21" t="str">
        <x:v>Recognizable legacy mask; premium sensorial story; gift/set potential; strong differentiation from routine-only toner brands.</x:v>
      </x:c>
      <x:c r="S91" s="21" t="str">
        <x:v>Sticky/messy texture and scent; possible breakouts/sensitivity; 120-to-70 g reformulation/value concern; low sampled current TikTok velocity.</x:v>
      </x:c>
      <x:c r="T91" s="21" t="str">
        <x:v>Beauty of Joseon Ground Rice and Honey Glow Mask</x:v>
      </x:c>
      <x:c r="U91" s="21" t="str">
        <x:v>Both are Korean wash-off masks with rice/honey heritage. Beauty of Joseon offers 150 mL at $18 and 111 Sephora reviews, creating severe value pressure against a 70 g $30-$35 Honey Mask.</x:v>
      </x:c>
      <x:c r="V91" s="21" t="str">
        <x:v>Medium</x:v>
      </x:c>
      <x:c r="W91" s="21" t="str">
        <x:v>IMG-IMF-006</x:v>
      </x:c>
      <x:c r="X91" s="21" t="str">
        <x:v>https://www.target.com/c/skin-care-beauty/i-m-from/-/N-5xtzjZq643ler9lxa</x:v>
      </x:c>
      <x:c r="Y91" s="25" t="str">
        <x:v>2026-08-01</x:v>
      </x:c>
      <x:c r="Z91" s="21" t="str">
        <x:v>SRC-IMF-025,SRC-IMF-029,SRC-IMF-036,SRC-IMF-041,SRC-IMF-046</x:v>
      </x:c>
    </x:row>
    <x:row r="92" ht="184" customHeight="1">
      <x:c r="A92" s="21" t="str">
        <x:v>DKL-P001</x:v>
      </x:c>
      <x:c r="B92" s="21" t="str">
        <x:v>KB019</x:v>
      </x:c>
      <x:c r="C92" s="21" t="str">
        <x:v>Dear Klairs</x:v>
      </x:c>
      <x:c r="D92" s="21" t="n">
        <x:v>1</x:v>
      </x:c>
      <x:c r="E92" s="21" t="str">
        <x:v>Supple Preparation Unscented Toner</x:v>
      </x:c>
      <x:c r="F92" s="21" t="str">
        <x:v>Fragrance-Free Hydrating Toner</x:v>
      </x:c>
      <x:c r="G92" s="21" t="str">
        <x:v>Anchor U.S. hero: an essential-oil-free, layerable toner for sensitive and dehydrated routines.</x:v>
      </x:c>
      <x:c r="H92" s="21" t="str">
        <x:v>Centella Asiatica, beta-glucan, panthenol, sodium hyaluronate, licorice and humectants; confirm exact current U.S. label</x:v>
      </x:c>
      <x:c r="I92" s="21" t="str">
        <x:v>180 mL</x:v>
      </x:c>
      <x:c r="J92" s="31"/>
      <x:c r="K92" s="31" t="n">
        <x:v>30</x:v>
      </x:c>
      <x:c r="L92" s="31" t="n">
        <x:v>18.99</x:v>
      </x:c>
      <x:c r="M92" s="31" t="n">
        <x:v>0.1055</x:v>
      </x:c>
      <x:c r="N92" s="21" t="str">
        <x:v>Official DTC; Amazon; TikTok Shop; Olive Young U.S.; iHerb; Walmart-hosted listings; cross-border retail</x:v>
      </x:c>
      <x:c r="O92" s="33" t="n">
        <x:v>5234</x:v>
      </x:c>
      <x:c r="P92" s="27" t="n">
        <x:v>4.6</x:v>
      </x:c>
      <x:c r="Q92" s="21" t="str">
        <x:v>Amazon displayed 2K+ bought in past month; official PDP displayed 4.9/1,184. Brand pages report 5M, 9M or 10M toner-line units depending page/date.</x:v>
      </x:c>
      <x:c r="R92" s="21" t="str">
        <x:v>Largest current Amazon badge, long review history, fragrance-free sensitive-skin fit, simple replenishment story and durable global awareness.</x:v>
      </x:c>
      <x:c r="S92" s="21" t="str">
        <x:v>Routine discounting; brand-reported unit-count inconsistency; original-versus-unscented confusion; some tackiness, breakouts or insufficient-hydration reports.</x:v>
      </x:c>
      <x:c r="T92" s="21" t="str">
        <x:v>ANUA Heartleaf 77 Soothing Toner</x:v>
      </x:c>
      <x:c r="U92" s="21" t="str">
        <x:v>Klairs offers a deeper legacy review base and thicker layerable texture; ANUA is larger and cheaper at Ulta with newer viral awareness.</x:v>
      </x:c>
      <x:c r="V92" s="21" t="str">
        <x:v>Very High</x:v>
      </x:c>
      <x:c r="W92" s="21" t="str">
        <x:v>IMG-DKL-002</x:v>
      </x:c>
      <x:c r="X92" s="21" t="str">
        <x:v>https://www.amazon.com/dp/B07B65NJLV</x:v>
      </x:c>
      <x:c r="Y92" s="25" t="str">
        <x:v>2026-08-01</x:v>
      </x:c>
      <x:c r="Z92" s="21" t="str">
        <x:v>SRC-DKL-011,SRC-DKL-016,SRC-DKL-021,SRC-DKL-032,SRC-DKL-037,SRC-DKL-043</x:v>
      </x:c>
    </x:row>
    <x:row r="93" ht="184" customHeight="1">
      <x:c r="A93" s="21" t="str">
        <x:v>DKL-P002</x:v>
      </x:c>
      <x:c r="B93" s="21" t="str">
        <x:v>KB019</x:v>
      </x:c>
      <x:c r="C93" s="21" t="str">
        <x:v>Dear Klairs</x:v>
      </x:c>
      <x:c r="D93" s="21" t="n">
        <x:v>2</x:v>
      </x:c>
      <x:c r="E93" s="21" t="str">
        <x:v>Freshly Juiced Vitamin Drop</x:v>
      </x:c>
      <x:c r="F93" s="21" t="str">
        <x:v>Beginner 5% Vitamin C Serum</x:v>
      </x:c>
      <x:c r="G93" s="21" t="str">
        <x:v>Long-running 5% pure vitamin C serum positioned for gentle radiance and uneven-looking tone.</x:v>
      </x:c>
      <x:c r="H93" s="21" t="str">
        <x:v>5% ascorbic acid plus supporting antioxidant/hydrating ingredients; exact current U.S. INCI and oxidation specification to confirm</x:v>
      </x:c>
      <x:c r="I93" s="21" t="str">
        <x:v>35 mL</x:v>
      </x:c>
      <x:c r="J93" s="31"/>
      <x:c r="K93" s="31" t="n">
        <x:v>23</x:v>
      </x:c>
      <x:c r="L93" s="31" t="n">
        <x:v>16.1</x:v>
      </x:c>
      <x:c r="M93" s="31" t="n">
        <x:v>0.46</x:v>
      </x:c>
      <x:c r="N93" s="21" t="str">
        <x:v>Official DTC; Amazon; TikTok Shop; Olive Young/cross-border retailers</x:v>
      </x:c>
      <x:c r="O93" s="33" t="n">
        <x:v>10978</x:v>
      </x:c>
      <x:c r="P93" s="27" t="n">
        <x:v>4.4</x:v>
      </x:c>
      <x:c r="Q93" s="21" t="str">
        <x:v>Amazon displayed 1K+ bought in past month; official brand claims 3M bottles on the current PDP.</x:v>
      </x:c>
      <x:c r="R93" s="21" t="str">
        <x:v>Exceptional review depth, beginner-friendly strength, recognizable dropper format and cross-sell with Vitamin E Mask.</x:v>
      </x:c>
      <x:c r="S93" s="21" t="str">
        <x:v>Oxidation/light sensitivity, oily or warm/stinging feel, slow results for some and old-stock risk; heavy discounting compresses wholesale value.</x:v>
      </x:c>
      <x:c r="T93" s="21" t="str">
        <x:v>Beauty of Joseon Light On Serum: Centella + Vita C</x:v>
      </x:c>
      <x:c r="U93" s="21" t="str">
        <x:v>Klairs uses pure 5% vitamin C with older cult recognition; Beauty of Joseon uses a gentler derivative, costs less and has strong current DTC reviews.</x:v>
      </x:c>
      <x:c r="V93" s="21" t="str">
        <x:v>Very High</x:v>
      </x:c>
      <x:c r="W93" s="21" t="str">
        <x:v>IMG-DKL-003</x:v>
      </x:c>
      <x:c r="X93" s="21" t="str">
        <x:v>https://www.amazon.com/dp/B010FOFSH0</x:v>
      </x:c>
      <x:c r="Y93" s="25" t="str">
        <x:v>2026-08-01</x:v>
      </x:c>
      <x:c r="Z93" s="21" t="str">
        <x:v>SRC-DKL-012,SRC-DKL-017,SRC-DKL-021,SRC-DKL-027,SRC-DKL-038,SRC-DKL-044</x:v>
      </x:c>
    </x:row>
    <x:row r="94" ht="184" customHeight="1">
      <x:c r="A94" s="21" t="str">
        <x:v>DKL-P003</x:v>
      </x:c>
      <x:c r="B94" s="21" t="str">
        <x:v>KB019</x:v>
      </x:c>
      <x:c r="C94" s="21" t="str">
        <x:v>Dear Klairs</x:v>
      </x:c>
      <x:c r="D94" s="21" t="n">
        <x:v>3</x:v>
      </x:c>
      <x:c r="E94" s="21" t="str">
        <x:v>Midnight Blue Calming Cream</x:v>
      </x:c>
      <x:c r="F94" s="21" t="str">
        <x:v>Lightweight Calming / Barrier Moisturizer</x:v>
      </x:c>
      <x:c r="G94" s="21" t="str">
        <x:v>Signature blue gel-cream for redness-prone, heat-stressed and post-active comfort routines.</x:v>
      </x:c>
      <x:c r="H94" s="21" t="str">
        <x:v>Guaiazulene, Centella Asiatica, niacinamide, Ceramide NP and phytosphingosine; exact U.S. label/claims to confirm</x:v>
      </x:c>
      <x:c r="I94" s="21" t="str">
        <x:v>60 g</x:v>
      </x:c>
      <x:c r="J94" s="31"/>
      <x:c r="K94" s="31" t="n">
        <x:v>31</x:v>
      </x:c>
      <x:c r="L94" s="31" t="n">
        <x:v>21.7</x:v>
      </x:c>
      <x:c r="M94" s="31" t="n">
        <x:v>0.3617</x:v>
      </x:c>
      <x:c r="N94" s="21" t="str">
        <x:v>Official DTC; Amazon; TikTok Shop; Olive Young U.S.; iHerb; Walmart/cross-border listings</x:v>
      </x:c>
      <x:c r="O94" s="33" t="n">
        <x:v>3022</x:v>
      </x:c>
      <x:c r="P94" s="27" t="n">
        <x:v>4.5</x:v>
      </x:c>
      <x:c r="Q94" s="21" t="str">
        <x:v>Amazon displayed 1K+ bought in past month, Amazon's Choice and #40 Facial Night Creams; official PDP showed 1,323 published reviews.</x:v>
      </x:c>
      <x:c r="R94" s="21" t="str">
        <x:v>Distinctive blue visual, high consumer recognition, lightweight sensitive-skin positioning and spa/post-treatment education potential.</x:v>
      </x:c>
      <x:c r="S94" s="21" t="str">
        <x:v>Amazon price around $14.95 in sampled display undermines $31 list; mixed value/moisture opinions; drug-like redness, irritation, repair and post-treatment claims need review.</x:v>
      </x:c>
      <x:c r="T94" s="21" t="str">
        <x:v>SKIN1004 Madagascar Centella Soothing Cream</x:v>
      </x:c>
      <x:c r="U94" s="21" t="str">
        <x:v>Both compete in lightweight cica comfort. Klairs has stronger blue visual identity and review depth; SKIN1004 is $22 at Ulta and offers 75 mL.</x:v>
      </x:c>
      <x:c r="V94" s="21" t="str">
        <x:v>Very High</x:v>
      </x:c>
      <x:c r="W94" s="21" t="str">
        <x:v>IMG-DKL-004</x:v>
      </x:c>
      <x:c r="X94" s="21" t="str">
        <x:v>https://www.amazon.com/dp/B07GR1JDBT</x:v>
      </x:c>
      <x:c r="Y94" s="25" t="str">
        <x:v>2026-08-01</x:v>
      </x:c>
      <x:c r="Z94" s="21" t="str">
        <x:v>SRC-DKL-013,SRC-DKL-018,SRC-DKL-021,SRC-DKL-029,SRC-DKL-039,SRC-DKL-045</x:v>
      </x:c>
    </x:row>
    <x:row r="95" ht="184" customHeight="1">
      <x:c r="A95" s="21" t="str">
        <x:v>DKL-P004</x:v>
      </x:c>
      <x:c r="B95" s="21" t="str">
        <x:v>KB019</x:v>
      </x:c>
      <x:c r="C95" s="21" t="str">
        <x:v>Dear Klairs</x:v>
      </x:c>
      <x:c r="D95" s="21" t="n">
        <x:v>4</x:v>
      </x:c>
      <x:c r="E95" s="21" t="str">
        <x:v>Rich Moist Soothing Cream</x:v>
      </x:c>
      <x:c r="F95" s="21" t="str">
        <x:v>Barrier-Support Moisturizer</x:v>
      </x:c>
      <x:c r="G95" s="21" t="str">
        <x:v>Fragrance-free-positioned daily cream for dry and sensitive-feeling skin with cushioned hydration.</x:v>
      </x:c>
      <x:c r="H95" s="21" t="str">
        <x:v>Beta-glucan, Ceramide NP, shea butter, jojoba oil and Centella; reconcile current official formula with older marketplace ingredient displays</x:v>
      </x:c>
      <x:c r="I95" s="21" t="str">
        <x:v>80 g</x:v>
      </x:c>
      <x:c r="J95" s="31"/>
      <x:c r="K95" s="31" t="n">
        <x:v>26</x:v>
      </x:c>
      <x:c r="L95" s="31" t="n">
        <x:v>18.2</x:v>
      </x:c>
      <x:c r="M95" s="31" t="n">
        <x:v>0.2275</x:v>
      </x:c>
      <x:c r="N95" s="21" t="str">
        <x:v>Official DTC; Amazon; TikTok Shop; Olive Young/cross-border retailers</x:v>
      </x:c>
      <x:c r="O95" s="33" t="n">
        <x:v>1621</x:v>
      </x:c>
      <x:c r="P95" s="27" t="n">
        <x:v>4.6</x:v>
      </x:c>
      <x:c r="Q95" s="21" t="str">
        <x:v>Amazon related display showed Amazon's Choice, $18.75 and 4.6/1,621; official PDP showed 817 first-party reviews and brand-reported 1M/2M proof points on different modules.</x:v>
      </x:c>
      <x:c r="R95" s="21" t="str">
        <x:v>Strong moisturizer review base, accessible size/value, barrier-category demand and toner cross-sell.</x:v>
      </x:c>
      <x:c r="S95" s="21" t="str">
        <x:v>Official/marketplace formula text appears inconsistent on fragrance/essential oils; heavier feel or breakout risk for some; routine price discounting.</x:v>
      </x:c>
      <x:c r="T95" s="21" t="str">
        <x:v>ETUDE SoonJung 2x Barrier Intensive Cream</x:v>
      </x:c>
      <x:c r="U95" s="21" t="str">
        <x:v>Both target sensitive-skin barrier care near $21-$26. Klairs offers 80 g and stronger historical awareness; ETUDE has current Ulta access and higher aggregate rating.</x:v>
      </x:c>
      <x:c r="V95" s="21" t="str">
        <x:v>High</x:v>
      </x:c>
      <x:c r="W95" s="21" t="str">
        <x:v>IMG-DKL-005</x:v>
      </x:c>
      <x:c r="X95" s="21" t="str">
        <x:v>https://www.amazon.com/dp/B092VNQS57</x:v>
      </x:c>
      <x:c r="Y95" s="25" t="str">
        <x:v>2026-08-01</x:v>
      </x:c>
      <x:c r="Z95" s="21" t="str">
        <x:v>SRC-DKL-014,SRC-DKL-019,SRC-DKL-021,SRC-DKL-030,SRC-DKL-046</x:v>
      </x:c>
    </x:row>
    <x:row r="96" ht="184" customHeight="1">
      <x:c r="A96" s="21" t="str">
        <x:v>DKL-P005</x:v>
      </x:c>
      <x:c r="B96" s="21" t="str">
        <x:v>KB019</x:v>
      </x:c>
      <x:c r="C96" s="21" t="str">
        <x:v>Dear Klairs</x:v>
      </x:c>
      <x:c r="D96" s="21" t="n">
        <x:v>5</x:v>
      </x:c>
      <x:c r="E96" s="21" t="str">
        <x:v>EGF Blue Youth Activating Drop</x:v>
      </x:c>
      <x:c r="F96" s="21" t="str">
        <x:v>Peptide / First-Step Serum</x:v>
      </x:c>
      <x:c r="G96" s="21" t="str">
        <x:v>Trend-led blue peptide serum for lightweight firmness and post-blemish-look routines.</x:v>
      </x:c>
      <x:c r="H96" s="21" t="str">
        <x:v>sh-Oligopeptide-1 (EGF), sh-Polypeptide-1 (bFGF), guaiazulene and adenosine; confirm U.S. cosmetic-claim substantiation</x:v>
      </x:c>
      <x:c r="I96" s="21" t="str">
        <x:v>20 mL / 50 mL</x:v>
      </x:c>
      <x:c r="J96" s="31"/>
      <x:c r="K96" s="31" t="n">
        <x:v>39.99</x:v>
      </x:c>
      <x:c r="L96" s="31" t="n">
        <x:v>29.99</x:v>
      </x:c>
      <x:c r="M96" s="31" t="n">
        <x:v>0.5998</x:v>
      </x:c>
      <x:c r="N96" s="21" t="str">
        <x:v>Official DTC; Amazon; official TikTok Shop; Olive Young U.S.</x:v>
      </x:c>
      <x:c r="O96" s="33" t="n">
        <x:v>1244</x:v>
      </x:c>
      <x:c r="P96" s="27" t="n">
        <x:v>4.4</x:v>
      </x:c>
      <x:c r="Q96" s="21" t="str">
        <x:v>Official TikTok Shop displayed about 5.5K sold; Amazon related display showed about 1,244 ratings and a $18.99 deal; official PDP showed about 4.9/453.</x:v>
      </x:c>
      <x:c r="R96" s="21" t="str">
        <x:v>Current U.S. launch support, Olive Young placement, visually distinctive formula, high TikTok sell-through and premium step-up potential.</x:v>
      </x:c>
      <x:c r="S96" s="21" t="str">
        <x:v>Severe $12.68-$29.99 observed channel spread; 20/50 mL size confusion; unverified Korea #1/one-every-four-seconds claims; EGF, repair and acne-mark wording need legal review.</x:v>
      </x:c>
      <x:c r="T96" s="21" t="str">
        <x:v>LANEIGE Cica Sleeping Mask</x:v>
      </x:c>
      <x:c r="U96" s="21" t="str">
        <x:v>Both sell visible comfort and barrier support, but Klairs is a watery peptide serum while LANEIGE is a $35 prestige sleeping mask with Sephora scale.</x:v>
      </x:c>
      <x:c r="V96" s="21" t="str">
        <x:v>High</x:v>
      </x:c>
      <x:c r="W96" s="21" t="str">
        <x:v>IMG-DKL-006</x:v>
      </x:c>
      <x:c r="X96" s="21" t="str">
        <x:v>https://www.klairs.com/products/egf-blue-youth-activating-drop</x:v>
      </x:c>
      <x:c r="Y96" s="25" t="str">
        <x:v>2026-08-01</x:v>
      </x:c>
      <x:c r="Z96" s="21" t="str">
        <x:v>SRC-DKL-015,SRC-DKL-020,SRC-DKL-021,SRC-DKL-025,SRC-DKL-040,SRC-DKL-047</x:v>
      </x:c>
    </x:row>
    <x:row r="97" ht="176" customHeight="1">
      <x:c r="A97" s="21" t="str">
        <x:v>HHW-P001</x:v>
      </x:c>
      <x:c r="B97" s="21" t="str">
        <x:v>KB020</x:v>
      </x:c>
      <x:c r="C97" s="21" t="str">
        <x:v>Haruharu Wonder</x:v>
      </x:c>
      <x:c r="D97" s="21" t="n">
        <x:v>1</x:v>
      </x:c>
      <x:c r="E97" s="21" t="str">
        <x:v>Black Rice Probiotics Barrier Essence</x:v>
      </x:c>
      <x:c r="F97" s="21" t="str">
        <x:v>Milky Barrier Essence</x:v>
      </x:c>
      <x:c r="G97" s="21" t="str">
        <x:v>Current U.S. anchor: a rich-but-lightweight ferment, ceramide, cholesterol and fatty-acid essence for hydration and barrier-support routines.</x:v>
      </x:c>
      <x:c r="H97" s="21" t="str">
        <x:v>Fermented black rice, Galactomyces and Bifida ferments, five ceramides, cholesterol, fatty acids, panthenol and squalane; exact current U.S. label/claims to confirm</x:v>
      </x:c>
      <x:c r="I97" s="21" t="str">
        <x:v>120 mL</x:v>
      </x:c>
      <x:c r="J97" s="31"/>
      <x:c r="K97" s="31" t="n">
        <x:v>28</x:v>
      </x:c>
      <x:c r="L97" s="31" t="n">
        <x:v>19.99</x:v>
      </x:c>
      <x:c r="M97" s="31" t="n">
        <x:v>0.1666</x:v>
      </x:c>
      <x:c r="N97" s="21" t="str">
        <x:v>Official DTC; Amazon; Target; TikTok Shop; StyleKorean</x:v>
      </x:c>
      <x:c r="O97" s="33" t="n">
        <x:v>90</x:v>
      </x:c>
      <x:c r="P97" s="27" t="n">
        <x:v>4.78</x:v>
      </x:c>
      <x:c r="Q97" s="21" t="str">
        <x:v>Amazon showed 10K+ bought/month, $19.99 and #21 Facial Toners; Target showed 6K+ bought/month across sizes and 4.78/90 on the 30 mL PDP.</x:v>
      </x:c>
      <x:c r="R97" s="21" t="str">
        <x:v>Largest official-seller Amazon hero, strong Target launch, distinctive milky texture and high-value barrier story.</x:v>
      </x:c>
      <x:c r="S97" s="21" t="str">
        <x:v>Ferment sensitivity, possible puffiness/congestion, official acne/inflammation language needs review, and aggressive marketplace/Target pricing.</x:v>
      </x:c>
      <x:c r="T97" s="21" t="str">
        <x:v>Dr. Ceuracle Vegan Kombucha Tea Essence</x:v>
      </x:c>
      <x:c r="U97" s="21" t="str">
        <x:v>Both are milky fermented barrier essences; Haruharu is cheaper at mainstream U.S. retail and has much stronger current Amazon/Target unit badges.</x:v>
      </x:c>
      <x:c r="V97" s="21" t="str">
        <x:v>Very High</x:v>
      </x:c>
      <x:c r="W97" s="21" t="str">
        <x:v>IMG-HHW-002</x:v>
      </x:c>
      <x:c r="X97" s="21" t="str">
        <x:v>https://haruharuwonder.com/products/haruharuwonder-black-rice-probiotics-barrier-essence</x:v>
      </x:c>
      <x:c r="Y97" s="25" t="str">
        <x:v>2026-08-01</x:v>
      </x:c>
      <x:c r="Z97" s="21" t="str">
        <x:v>SRC-HHW-013,SRC-HHW-016,SRC-HHW-021,SRC-HHW-026,SRC-HHW-036,SRC-HHW-043</x:v>
      </x:c>
    </x:row>
    <x:row r="98" ht="176" customHeight="1">
      <x:c r="A98" s="21" t="str">
        <x:v>HHW-P002</x:v>
      </x:c>
      <x:c r="B98" s="21" t="str">
        <x:v>KB020</x:v>
      </x:c>
      <x:c r="C98" s="21" t="str">
        <x:v>Haruharu Wonder</x:v>
      </x:c>
      <x:c r="D98" s="21" t="n">
        <x:v>2</x:v>
      </x:c>
      <x:c r="E98" s="21" t="str">
        <x:v>Black Rice Moisture Cleansing Oil</x:v>
      </x:c>
      <x:c r="F98" s="21" t="str">
        <x:v>Gentle Makeup-Removing Cleansing Oil</x:v>
      </x:c>
      <x:c r="G98" s="21" t="str">
        <x:v>High-velocity nine-ingredient oil cleanser for double cleansing, makeup/SPF removal and non-stripping routines.</x:v>
      </x:c>
      <x:c r="H98" s="21" t="str">
        <x:v>Rice bran, sunflower, olive, jojoba and macadamia oils, caprylic/capric triglyceride, sorbeth-30 tetraoleate and vitamin E</x:v>
      </x:c>
      <x:c r="I98" s="21" t="str">
        <x:v>150 mL</x:v>
      </x:c>
      <x:c r="J98" s="31"/>
      <x:c r="K98" s="31" t="n">
        <x:v>25</x:v>
      </x:c>
      <x:c r="L98" s="31" t="n">
        <x:v>15.99</x:v>
      </x:c>
      <x:c r="M98" s="31" t="n">
        <x:v>0.1066</x:v>
      </x:c>
      <x:c r="N98" s="21" t="str">
        <x:v>Official DTC; Amazon; Target; iHerb; StyleKorean</x:v>
      </x:c>
      <x:c r="O98" s="33" t="n">
        <x:v>4381</x:v>
      </x:c>
      <x:c r="P98" s="27" t="n">
        <x:v>4.4</x:v>
      </x:c>
      <x:c r="Q98" s="21" t="str">
        <x:v>Amazon showed 8K+ bought/month, 800+ bought/week, 4.4/4,381 and #6 Makeup Cleansing Oils; Target showed about 4.7/33.</x:v>
      </x:c>
      <x:c r="R98" s="21" t="str">
        <x:v>Excellent Amazon category rank, repeat-use cleansing format, simple formula and Target access.</x:v>
      </x:c>
      <x:c r="S98" s="21" t="str">
        <x:v>Eye stinging and breakout reports for some users; official inflammation/acne-index language needs review; deep discounting.</x:v>
      </x:c>
      <x:c r="T98" s="21" t="str">
        <x:v>ANUA Heartleaf Pore Control Cleansing Oil Mild</x:v>
      </x:c>
      <x:c r="U98" s="21" t="str">
        <x:v>Haruharu is smaller but cheaper in current U.S. retail and has stronger directly observed Amazon review/rank proof.</x:v>
      </x:c>
      <x:c r="V98" s="21" t="str">
        <x:v>Very High</x:v>
      </x:c>
      <x:c r="W98" s="21" t="str">
        <x:v>IMG-HHW-003</x:v>
      </x:c>
      <x:c r="X98" s="21" t="str">
        <x:v>https://haruharuwonder.com/products/haruharuwonder-black-rice-moisture-cleansing-oil</x:v>
      </x:c>
      <x:c r="Y98" s="25" t="str">
        <x:v>2026-08-01</x:v>
      </x:c>
      <x:c r="Z98" s="21" t="str">
        <x:v>SRC-HHW-014,SRC-HHW-022,SRC-HHW-027,SRC-HHW-031,SRC-HHW-039,SRC-HHW-044</x:v>
      </x:c>
    </x:row>
    <x:row r="99" ht="176" customHeight="1">
      <x:c r="A99" s="21" t="str">
        <x:v>HHW-P003</x:v>
      </x:c>
      <x:c r="B99" s="21" t="str">
        <x:v>KB020</x:v>
      </x:c>
      <x:c r="C99" s="21" t="str">
        <x:v>Haruharu Wonder</x:v>
      </x:c>
      <x:c r="D99" s="21" t="n">
        <x:v>3</x:v>
      </x:c>
      <x:c r="E99" s="21" t="str">
        <x:v>Black Rice Hyaluronic Toner Free of Alcohol &amp; Fragrance</x:v>
      </x:c>
      <x:c r="F99" s="21" t="str">
        <x:v>Fragrance-Free Hydrating Toner</x:v>
      </x:c>
      <x:c r="G99" s="21" t="str">
        <x:v>Legacy awareness anchor for sensitive, dehydrated and glass-skin routines; differentiated from the original essential-oil version.</x:v>
      </x:c>
      <x:c r="H99" s="21" t="str">
        <x:v>Fermented black rice, bamboo shoot bark, hyaluronic acid, beta-glucan, betaine and glycerin; exact current U.S. label to confirm</x:v>
      </x:c>
      <x:c r="I99" s="21" t="str">
        <x:v>150 mL</x:v>
      </x:c>
      <x:c r="J99" s="31"/>
      <x:c r="K99" s="31" t="n">
        <x:v>18</x:v>
      </x:c>
      <x:c r="L99" s="31" t="n">
        <x:v>13.99</x:v>
      </x:c>
      <x:c r="M99" s="31" t="n">
        <x:v>0.0933</x:v>
      </x:c>
      <x:c r="N99" s="21" t="str">
        <x:v>Official DTC; Amazon; Target; Walmart Marketplace; iHerb; StyleKorean</x:v>
      </x:c>
      <x:c r="O99" s="33" t="n">
        <x:v>27</x:v>
      </x:c>
      <x:c r="P99" s="27" t="n">
        <x:v>4.49</x:v>
      </x:c>
      <x:c r="Q99" s="21" t="str">
        <x:v>Amazon showed 3K+ bought/month, $13.99 and #41 Facial Toners; Target showed 4.49/27; iHerb's Haruharu toner page showed a 7,264-review aggregate and 300+ sold/30 days for the displayed variant.</x:v>
      </x:c>
      <x:c r="R99" s="21" t="str">
        <x:v>Strong price/value, established awareness, fragrance-free positioning and broad replenishment access.</x:v>
      </x:c>
      <x:c r="S99" s="21" t="str">
        <x:v>Original-versus-unscented formula confusion, packaging/version questions, and some users find it unremarkable or insufficiently hydrating.</x:v>
      </x:c>
      <x:c r="T99" s="21" t="str">
        <x:v>TIRTIR Milk Skin Toner</x:v>
      </x:c>
      <x:c r="U99" s="21" t="str">
        <x:v>Haruharu is lighter and materially cheaper in current U.S. retail; TIRTIR offers a milkier trend story and Ulta placement.</x:v>
      </x:c>
      <x:c r="V99" s="21" t="str">
        <x:v>Very High</x:v>
      </x:c>
      <x:c r="W99" s="21" t="str">
        <x:v>IMG-HHW-004</x:v>
      </x:c>
      <x:c r="X99" s="21" t="str">
        <x:v>https://haruharuwonder.com/products/haruharuwonder-black-rice-hyaluronic-toner-for-sensitive-skin</x:v>
      </x:c>
      <x:c r="Y99" s="25" t="str">
        <x:v>2026-08-01</x:v>
      </x:c>
      <x:c r="Z99" s="21" t="str">
        <x:v>SRC-HHW-015,SRC-HHW-023,SRC-HHW-028,SRC-HHW-032,SRC-HHW-038,SRC-HHW-042</x:v>
      </x:c>
    </x:row>
    <x:row r="100" ht="176" customHeight="1">
      <x:c r="A100" s="21" t="str">
        <x:v>HHW-P004</x:v>
      </x:c>
      <x:c r="B100" s="21" t="str">
        <x:v>KB020</x:v>
      </x:c>
      <x:c r="C100" s="21" t="str">
        <x:v>Haruharu Wonder</x:v>
      </x:c>
      <x:c r="D100" s="21" t="n">
        <x:v>4</x:v>
      </x:c>
      <x:c r="E100" s="21" t="str">
        <x:v>Black Rice Bakuchiol Eye Cream</x:v>
      </x:c>
      <x:c r="F100" s="21" t="str">
        <x:v>Bakuchiol Eye Cream</x:v>
      </x:c>
      <x:c r="G100" s="21" t="str">
        <x:v>Accessible, lightweight eye-care add-on for hydration and the appearance of fine lines/dark circles without a traditional retinoid story.</x:v>
      </x:c>
      <x:c r="H100" s="21" t="str">
        <x:v>Bakuchiol, fermented black rice and bamboo, niacinamide, adenosine, natto gum, sodium hyaluronate and madecassoside</x:v>
      </x:c>
      <x:c r="I100" s="21" t="str">
        <x:v>20 mL</x:v>
      </x:c>
      <x:c r="J100" s="31"/>
      <x:c r="K100" s="31" t="n">
        <x:v>22</x:v>
      </x:c>
      <x:c r="L100" s="31" t="n">
        <x:v>12.99</x:v>
      </x:c>
      <x:c r="M100" s="31" t="n">
        <x:v>0.6495</x:v>
      </x:c>
      <x:c r="N100" s="21" t="str">
        <x:v>Official DTC; Target; Amazon; TikTok Shop; iHerb; StyleKorean</x:v>
      </x:c>
      <x:c r="O100" s="33" t="n">
        <x:v>21</x:v>
      </x:c>
      <x:c r="P100" s="27" t="n">
        <x:v>4.3</x:v>
      </x:c>
      <x:c r="Q100" s="21" t="str">
        <x:v>Target showed 4K+ bought/month, $12.99 and about 4.3/21; Amazon's older snapshot showed 5K+ bought/month and Amazon's Choice, so it was treated as directional only.</x:v>
      </x:c>
      <x:c r="R100" s="21" t="str">
        <x:v>High Target velocity, compact pump, easy cross-sell and gentle-retinol-alternative positioning.</x:v>
      </x:c>
      <x:c r="S100" s="21" t="str">
        <x:v>Subtle results for some, potential irritation around very sensitive eyes and brand claims around wrinkles/dark circles require substantiation review.</x:v>
      </x:c>
      <x:c r="T100" s="21" t="str">
        <x:v>Beauty of Joseon Revive Eye Serum: Ginseng + Retinal</x:v>
      </x:c>
      <x:c r="U100" s="21" t="str">
        <x:v>Haruharu uses bakuchiol and is gentler-positioned; Beauty of Joseon uses retinal, costs $17 and offers a stronger active-treatment story.</x:v>
      </x:c>
      <x:c r="V100" s="21" t="str">
        <x:v>High</x:v>
      </x:c>
      <x:c r="W100" s="21" t="str">
        <x:v>IMG-HHW-005</x:v>
      </x:c>
      <x:c r="X100" s="21" t="str">
        <x:v>https://haruharuwonder.com/products/haruharuwonder-black-rice-bakuchiol-eye-cream-20ml</x:v>
      </x:c>
      <x:c r="Y100" s="25" t="str">
        <x:v>2026-08-01</x:v>
      </x:c>
      <x:c r="Z100" s="21" t="str">
        <x:v>SRC-HHW-017,SRC-HHW-025,SRC-HHW-029,SRC-HHW-037,SRC-HHW-045</x:v>
      </x:c>
    </x:row>
    <x:row r="101" ht="176" customHeight="1">
      <x:c r="A101" s="21" t="str">
        <x:v>HHW-P005</x:v>
      </x:c>
      <x:c r="B101" s="21" t="str">
        <x:v>KB020</x:v>
      </x:c>
      <x:c r="C101" s="21" t="str">
        <x:v>Haruharu Wonder</x:v>
      </x:c>
      <x:c r="D101" s="21" t="n">
        <x:v>5</x:v>
      </x:c>
      <x:c r="E101" s="21" t="str">
        <x:v>Black Rice Moisture Airyfit Daily Sunscreen SPF50+/PA++++</x:v>
      </x:c>
      <x:c r="F101" s="21" t="str">
        <x:v>Global Chemical Sunscreen — U.S. Regulatory Hold</x:v>
      </x:c>
      <x:c r="G101" s="21" t="str">
        <x:v>The brand's strongest Amazon visibility hero, included for market assessment only; do not source for U.S. distribution until exact OTC legality is documented.</x:v>
      </x:c>
      <x:c r="H101" s="21" t="str">
        <x:v>Ethylhexyl triazone, terephthalylidene dicamphor sulfonic acid, diethylamino hydroxybenzoyl hexyl benzoate, polysilicone-15 and bemotrizinol plus niacinamide/black-rice oil; exact U.S. Drug Facts absent from sampled listing</x:v>
      </x:c>
      <x:c r="I101" s="21" t="str">
        <x:v>50 mL</x:v>
      </x:c>
      <x:c r="J101" s="31"/>
      <x:c r="K101" s="31" t="n">
        <x:v>22</x:v>
      </x:c>
      <x:c r="L101" s="31"/>
      <x:c r="M101" s="31"/>
      <x:c r="N101" s="21" t="str">
        <x:v>Official global DTC; Amazon third-party seller; StyleKorean/cross-border retail</x:v>
      </x:c>
      <x:c r="O101" s="33"/>
      <x:c r="P101" s="27"/>
      <x:c r="Q101" s="21" t="str">
        <x:v>Amazon showed 30K+ bought/month, Amazon's Choice, #350 Beauty and #11 Facial Sunscreens, but seller was Breezesun; official global PDP was sold out at $22.</x:v>
      </x:c>
      <x:c r="R101" s="21" t="str">
        <x:v>Exceptional market demand, no-white-cast/velvet-finish awareness and strong social review visibility.</x:v>
      </x:c>
      <x:c r="S101" s="21" t="str">
        <x:v>Not sold by the official seller in the sampled Amazon offer; authenticity/version complaints; pilling/breakout reports; multiple non-monograph UV filters require NDA/ANDA or other exact legal pathway verification.</x:v>
      </x:c>
      <x:c r="T101" s="21" t="str">
        <x:v>SKIN1004 Hyalu-Cica Water-Fit Sun Serum</x:v>
      </x:c>
      <x:c r="U101" s="21" t="str">
        <x:v>Both are high-awareness Korean chemical sunscreens. Haruharu showed stronger current Amazon velocity, but neither global formula should be assumed U.S.-compliant without exact OTC evidence.</x:v>
      </x:c>
      <x:c r="V101" s="21" t="str">
        <x:v>Very High Demand / Hold</x:v>
      </x:c>
      <x:c r="W101" s="21" t="str">
        <x:v>IMG-HHW-006</x:v>
      </x:c>
      <x:c r="X101" s="21" t="str">
        <x:v>https://haruharuwonder.com/products/haruharuwonder-black-rice-moisture-airyfit-daily-sunscreen-unscented-spf50-50ml</x:v>
      </x:c>
      <x:c r="Y101" s="25" t="str">
        <x:v>2026-08-01</x:v>
      </x:c>
      <x:c r="Z101" s="21" t="str">
        <x:v>SRC-HHW-018,SRC-HHW-020,SRC-HHW-024,SRC-HHW-033,SRC-HHW-040,SRC-HHW-046,SRC-HHW-053</x:v>
      </x:c>
    </x:row>
    <x:row r="102">
      <x:c r="A102" s="21"/>
      <x:c r="B102" s="21"/>
      <x:c r="C102" s="21"/>
      <x:c r="D102" s="21"/>
      <x:c r="E102" s="21"/>
      <x:c r="F102" s="21"/>
      <x:c r="G102" s="21"/>
      <x:c r="H102" s="21"/>
      <x:c r="I102" s="21"/>
      <x:c r="J102" s="31"/>
      <x:c r="K102" s="31"/>
      <x:c r="L102" s="31"/>
      <x:c r="M102" s="31"/>
      <x:c r="N102" s="21"/>
      <x:c r="O102" s="33"/>
      <x:c r="P102" s="27"/>
      <x:c r="Q102" s="21"/>
      <x:c r="R102" s="21"/>
      <x:c r="S102" s="21"/>
      <x:c r="T102" s="21"/>
      <x:c r="U102" s="21"/>
      <x:c r="V102" s="21"/>
      <x:c r="W102" s="21"/>
      <x:c r="X102" s="21"/>
      <x:c r="Y102" s="25"/>
      <x:c r="Z102" s="21"/>
    </x:row>
    <x:row r="103">
      <x:c r="A103" s="21"/>
      <x:c r="B103" s="21"/>
      <x:c r="C103" s="21"/>
      <x:c r="D103" s="21"/>
      <x:c r="E103" s="21"/>
      <x:c r="F103" s="21"/>
      <x:c r="G103" s="21"/>
      <x:c r="H103" s="21"/>
      <x:c r="I103" s="21"/>
      <x:c r="J103" s="31"/>
      <x:c r="K103" s="31"/>
      <x:c r="L103" s="31"/>
      <x:c r="M103" s="31"/>
      <x:c r="N103" s="21"/>
      <x:c r="O103" s="33"/>
      <x:c r="P103" s="27"/>
      <x:c r="Q103" s="21"/>
      <x:c r="R103" s="21"/>
      <x:c r="S103" s="21"/>
      <x:c r="T103" s="21"/>
      <x:c r="U103" s="21"/>
      <x:c r="V103" s="21"/>
      <x:c r="W103" s="21"/>
      <x:c r="X103" s="21"/>
      <x:c r="Y103" s="25"/>
      <x:c r="Z103" s="21"/>
    </x:row>
    <x:row r="104">
      <x:c r="A104" s="21"/>
      <x:c r="B104" s="21"/>
      <x:c r="C104" s="21"/>
      <x:c r="D104" s="21"/>
      <x:c r="E104" s="21"/>
      <x:c r="F104" s="21"/>
      <x:c r="G104" s="21"/>
      <x:c r="H104" s="21"/>
      <x:c r="I104" s="21"/>
      <x:c r="J104" s="31"/>
      <x:c r="K104" s="31"/>
      <x:c r="L104" s="31"/>
      <x:c r="M104" s="31"/>
      <x:c r="N104" s="21"/>
      <x:c r="O104" s="33"/>
      <x:c r="P104" s="27"/>
      <x:c r="Q104" s="21"/>
      <x:c r="R104" s="21"/>
      <x:c r="S104" s="21"/>
      <x:c r="T104" s="21"/>
      <x:c r="U104" s="21"/>
      <x:c r="V104" s="21"/>
      <x:c r="W104" s="21"/>
      <x:c r="X104" s="21"/>
      <x:c r="Y104" s="25"/>
      <x:c r="Z104" s="21"/>
    </x:row>
    <x:row r="105">
      <x:c r="A105" s="21"/>
      <x:c r="B105" s="21"/>
      <x:c r="C105" s="21"/>
      <x:c r="D105" s="21"/>
      <x:c r="E105" s="21"/>
      <x:c r="F105" s="21"/>
      <x:c r="G105" s="21"/>
      <x:c r="H105" s="21"/>
      <x:c r="I105" s="21"/>
      <x:c r="J105" s="31"/>
      <x:c r="K105" s="31"/>
      <x:c r="L105" s="31"/>
      <x:c r="M105" s="31"/>
      <x:c r="N105" s="21"/>
      <x:c r="O105" s="33"/>
      <x:c r="P105" s="27"/>
      <x:c r="Q105" s="21"/>
      <x:c r="R105" s="21"/>
      <x:c r="S105" s="21"/>
      <x:c r="T105" s="21"/>
      <x:c r="U105" s="21"/>
      <x:c r="V105" s="21"/>
      <x:c r="W105" s="21"/>
      <x:c r="X105" s="21"/>
      <x:c r="Y105" s="25"/>
      <x:c r="Z105" s="21"/>
    </x:row>
    <x:row r="106">
      <x:c r="A106" s="21"/>
      <x:c r="B106" s="21"/>
      <x:c r="C106" s="21"/>
      <x:c r="D106" s="21"/>
      <x:c r="E106" s="21"/>
      <x:c r="F106" s="21"/>
      <x:c r="G106" s="21"/>
      <x:c r="H106" s="21"/>
      <x:c r="I106" s="21"/>
      <x:c r="J106" s="31"/>
      <x:c r="K106" s="31"/>
      <x:c r="L106" s="31"/>
      <x:c r="M106" s="31"/>
      <x:c r="N106" s="21"/>
      <x:c r="O106" s="33"/>
      <x:c r="P106" s="27"/>
      <x:c r="Q106" s="21"/>
      <x:c r="R106" s="21"/>
      <x:c r="S106" s="21"/>
      <x:c r="T106" s="21"/>
      <x:c r="U106" s="21"/>
      <x:c r="V106" s="21"/>
      <x:c r="W106" s="21"/>
      <x:c r="X106" s="21"/>
      <x:c r="Y106" s="25"/>
      <x:c r="Z106" s="21"/>
    </x:row>
    <x:row r="107">
      <x:c r="A107" s="21"/>
      <x:c r="B107" s="21"/>
      <x:c r="C107" s="21"/>
      <x:c r="D107" s="21"/>
      <x:c r="E107" s="21"/>
      <x:c r="F107" s="21"/>
      <x:c r="G107" s="21"/>
      <x:c r="H107" s="21"/>
      <x:c r="I107" s="21"/>
      <x:c r="J107" s="31"/>
      <x:c r="K107" s="31"/>
      <x:c r="L107" s="31"/>
      <x:c r="M107" s="31"/>
      <x:c r="N107" s="21"/>
      <x:c r="O107" s="33"/>
      <x:c r="P107" s="27"/>
      <x:c r="Q107" s="21"/>
      <x:c r="R107" s="21"/>
      <x:c r="S107" s="21"/>
      <x:c r="T107" s="21"/>
      <x:c r="U107" s="21"/>
      <x:c r="V107" s="21"/>
      <x:c r="W107" s="21"/>
      <x:c r="X107" s="21"/>
      <x:c r="Y107" s="25"/>
      <x:c r="Z107" s="21"/>
    </x:row>
    <x:row r="108">
      <x:c r="A108" s="21"/>
      <x:c r="B108" s="21"/>
      <x:c r="C108" s="21"/>
      <x:c r="D108" s="21"/>
      <x:c r="E108" s="21"/>
      <x:c r="F108" s="21"/>
      <x:c r="G108" s="21"/>
      <x:c r="H108" s="21"/>
      <x:c r="I108" s="21"/>
      <x:c r="J108" s="31"/>
      <x:c r="K108" s="31"/>
      <x:c r="L108" s="31"/>
      <x:c r="M108" s="31"/>
      <x:c r="N108" s="21"/>
      <x:c r="O108" s="33"/>
      <x:c r="P108" s="27"/>
      <x:c r="Q108" s="21"/>
      <x:c r="R108" s="21"/>
      <x:c r="S108" s="21"/>
      <x:c r="T108" s="21"/>
      <x:c r="U108" s="21"/>
      <x:c r="V108" s="21"/>
      <x:c r="W108" s="21"/>
      <x:c r="X108" s="21"/>
      <x:c r="Y108" s="25"/>
      <x:c r="Z108" s="21"/>
    </x:row>
    <x:row r="109">
      <x:c r="A109" s="21"/>
      <x:c r="B109" s="21"/>
      <x:c r="C109" s="21"/>
      <x:c r="D109" s="21"/>
      <x:c r="E109" s="21"/>
      <x:c r="F109" s="21"/>
      <x:c r="G109" s="21"/>
      <x:c r="H109" s="21"/>
      <x:c r="I109" s="21"/>
      <x:c r="J109" s="31"/>
      <x:c r="K109" s="31"/>
      <x:c r="L109" s="31"/>
      <x:c r="M109" s="31"/>
      <x:c r="N109" s="21"/>
      <x:c r="O109" s="33"/>
      <x:c r="P109" s="27"/>
      <x:c r="Q109" s="21"/>
      <x:c r="R109" s="21"/>
      <x:c r="S109" s="21"/>
      <x:c r="T109" s="21"/>
      <x:c r="U109" s="21"/>
      <x:c r="V109" s="21"/>
      <x:c r="W109" s="21"/>
      <x:c r="X109" s="21"/>
      <x:c r="Y109" s="25"/>
      <x:c r="Z109" s="21"/>
    </x:row>
    <x:row r="110">
      <x:c r="A110" s="21"/>
      <x:c r="B110" s="21"/>
      <x:c r="C110" s="21"/>
      <x:c r="D110" s="21"/>
      <x:c r="E110" s="21"/>
      <x:c r="F110" s="21"/>
      <x:c r="G110" s="21"/>
      <x:c r="H110" s="21"/>
      <x:c r="I110" s="21"/>
      <x:c r="J110" s="31"/>
      <x:c r="K110" s="31"/>
      <x:c r="L110" s="31"/>
      <x:c r="M110" s="31"/>
      <x:c r="N110" s="21"/>
      <x:c r="O110" s="33"/>
      <x:c r="P110" s="27"/>
      <x:c r="Q110" s="21"/>
      <x:c r="R110" s="21"/>
      <x:c r="S110" s="21"/>
      <x:c r="T110" s="21"/>
      <x:c r="U110" s="21"/>
      <x:c r="V110" s="21"/>
      <x:c r="W110" s="21"/>
      <x:c r="X110" s="21"/>
      <x:c r="Y110" s="25"/>
      <x:c r="Z110" s="21"/>
    </x:row>
    <x:row r="111">
      <x:c r="A111" s="21"/>
      <x:c r="B111" s="21"/>
      <x:c r="C111" s="21"/>
      <x:c r="D111" s="21"/>
      <x:c r="E111" s="21"/>
      <x:c r="F111" s="21"/>
      <x:c r="G111" s="21"/>
      <x:c r="H111" s="21"/>
      <x:c r="I111" s="21"/>
      <x:c r="J111" s="31"/>
      <x:c r="K111" s="31"/>
      <x:c r="L111" s="31"/>
      <x:c r="M111" s="31"/>
      <x:c r="N111" s="21"/>
      <x:c r="O111" s="33"/>
      <x:c r="P111" s="27"/>
      <x:c r="Q111" s="21"/>
      <x:c r="R111" s="21"/>
      <x:c r="S111" s="21"/>
      <x:c r="T111" s="21"/>
      <x:c r="U111" s="21"/>
      <x:c r="V111" s="21"/>
      <x:c r="W111" s="21"/>
      <x:c r="X111" s="21"/>
      <x:c r="Y111" s="25"/>
      <x:c r="Z111" s="21"/>
    </x:row>
    <x:row r="112">
      <x:c r="A112" s="21"/>
      <x:c r="B112" s="21"/>
      <x:c r="C112" s="21"/>
      <x:c r="D112" s="21"/>
      <x:c r="E112" s="21"/>
      <x:c r="F112" s="21"/>
      <x:c r="G112" s="21"/>
      <x:c r="H112" s="21"/>
      <x:c r="I112" s="21"/>
      <x:c r="J112" s="31"/>
      <x:c r="K112" s="31"/>
      <x:c r="L112" s="31"/>
      <x:c r="M112" s="31"/>
      <x:c r="N112" s="21"/>
      <x:c r="O112" s="33"/>
      <x:c r="P112" s="27"/>
      <x:c r="Q112" s="21"/>
      <x:c r="R112" s="21"/>
      <x:c r="S112" s="21"/>
      <x:c r="T112" s="21"/>
      <x:c r="U112" s="21"/>
      <x:c r="V112" s="21"/>
      <x:c r="W112" s="21"/>
      <x:c r="X112" s="21"/>
      <x:c r="Y112" s="25"/>
      <x:c r="Z112" s="21"/>
    </x:row>
    <x:row r="113">
      <x:c r="A113" s="21"/>
      <x:c r="B113" s="21"/>
      <x:c r="C113" s="21"/>
      <x:c r="D113" s="21"/>
      <x:c r="E113" s="21"/>
      <x:c r="F113" s="21"/>
      <x:c r="G113" s="21"/>
      <x:c r="H113" s="21"/>
      <x:c r="I113" s="21"/>
      <x:c r="J113" s="31"/>
      <x:c r="K113" s="31"/>
      <x:c r="L113" s="31"/>
      <x:c r="M113" s="31"/>
      <x:c r="N113" s="21"/>
      <x:c r="O113" s="33"/>
      <x:c r="P113" s="27"/>
      <x:c r="Q113" s="21"/>
      <x:c r="R113" s="21"/>
      <x:c r="S113" s="21"/>
      <x:c r="T113" s="21"/>
      <x:c r="U113" s="21"/>
      <x:c r="V113" s="21"/>
      <x:c r="W113" s="21"/>
      <x:c r="X113" s="21"/>
      <x:c r="Y113" s="25"/>
      <x:c r="Z113" s="21"/>
    </x:row>
    <x:row r="114">
      <x:c r="A114" s="21"/>
      <x:c r="B114" s="21"/>
      <x:c r="C114" s="21"/>
      <x:c r="D114" s="21"/>
      <x:c r="E114" s="21"/>
      <x:c r="F114" s="21"/>
      <x:c r="G114" s="21"/>
      <x:c r="H114" s="21"/>
      <x:c r="I114" s="21"/>
      <x:c r="J114" s="31"/>
      <x:c r="K114" s="31"/>
      <x:c r="L114" s="31"/>
      <x:c r="M114" s="31"/>
      <x:c r="N114" s="21"/>
      <x:c r="O114" s="33"/>
      <x:c r="P114" s="27"/>
      <x:c r="Q114" s="21"/>
      <x:c r="R114" s="21"/>
      <x:c r="S114" s="21"/>
      <x:c r="T114" s="21"/>
      <x:c r="U114" s="21"/>
      <x:c r="V114" s="21"/>
      <x:c r="W114" s="21"/>
      <x:c r="X114" s="21"/>
      <x:c r="Y114" s="25"/>
      <x:c r="Z114" s="21"/>
    </x:row>
    <x:row r="115">
      <x:c r="A115" s="21"/>
      <x:c r="B115" s="21"/>
      <x:c r="C115" s="21"/>
      <x:c r="D115" s="21"/>
      <x:c r="E115" s="21"/>
      <x:c r="F115" s="21"/>
      <x:c r="G115" s="21"/>
      <x:c r="H115" s="21"/>
      <x:c r="I115" s="21"/>
      <x:c r="J115" s="31"/>
      <x:c r="K115" s="31"/>
      <x:c r="L115" s="31"/>
      <x:c r="M115" s="31"/>
      <x:c r="N115" s="21"/>
      <x:c r="O115" s="33"/>
      <x:c r="P115" s="27"/>
      <x:c r="Q115" s="21"/>
      <x:c r="R115" s="21"/>
      <x:c r="S115" s="21"/>
      <x:c r="T115" s="21"/>
      <x:c r="U115" s="21"/>
      <x:c r="V115" s="21"/>
      <x:c r="W115" s="21"/>
      <x:c r="X115" s="21"/>
      <x:c r="Y115" s="25"/>
      <x:c r="Z115" s="21"/>
    </x:row>
    <x:row r="116">
      <x:c r="A116" s="21"/>
      <x:c r="B116" s="21"/>
      <x:c r="C116" s="21"/>
      <x:c r="D116" s="21"/>
      <x:c r="E116" s="21"/>
      <x:c r="F116" s="21"/>
      <x:c r="G116" s="21"/>
      <x:c r="H116" s="21"/>
      <x:c r="I116" s="21"/>
      <x:c r="J116" s="31"/>
      <x:c r="K116" s="31"/>
      <x:c r="L116" s="31"/>
      <x:c r="M116" s="31"/>
      <x:c r="N116" s="21"/>
      <x:c r="O116" s="33"/>
      <x:c r="P116" s="27"/>
      <x:c r="Q116" s="21"/>
      <x:c r="R116" s="21"/>
      <x:c r="S116" s="21"/>
      <x:c r="T116" s="21"/>
      <x:c r="U116" s="21"/>
      <x:c r="V116" s="21"/>
      <x:c r="W116" s="21"/>
      <x:c r="X116" s="21"/>
      <x:c r="Y116" s="25"/>
      <x:c r="Z116" s="21"/>
    </x:row>
    <x:row r="117">
      <x:c r="A117" s="21"/>
      <x:c r="B117" s="21"/>
      <x:c r="C117" s="21"/>
      <x:c r="D117" s="21"/>
      <x:c r="E117" s="21"/>
      <x:c r="F117" s="21"/>
      <x:c r="G117" s="21"/>
      <x:c r="H117" s="21"/>
      <x:c r="I117" s="21"/>
      <x:c r="J117" s="31"/>
      <x:c r="K117" s="31"/>
      <x:c r="L117" s="31"/>
      <x:c r="M117" s="31"/>
      <x:c r="N117" s="21"/>
      <x:c r="O117" s="33"/>
      <x:c r="P117" s="27"/>
      <x:c r="Q117" s="21"/>
      <x:c r="R117" s="21"/>
      <x:c r="S117" s="21"/>
      <x:c r="T117" s="21"/>
      <x:c r="U117" s="21"/>
      <x:c r="V117" s="21"/>
      <x:c r="W117" s="21"/>
      <x:c r="X117" s="21"/>
      <x:c r="Y117" s="25"/>
      <x:c r="Z117" s="21"/>
    </x:row>
    <x:row r="118">
      <x:c r="A118" s="21"/>
      <x:c r="B118" s="21"/>
      <x:c r="C118" s="21"/>
      <x:c r="D118" s="21"/>
      <x:c r="E118" s="21"/>
      <x:c r="F118" s="21"/>
      <x:c r="G118" s="21"/>
      <x:c r="H118" s="21"/>
      <x:c r="I118" s="21"/>
      <x:c r="J118" s="31"/>
      <x:c r="K118" s="31"/>
      <x:c r="L118" s="31"/>
      <x:c r="M118" s="31"/>
      <x:c r="N118" s="21"/>
      <x:c r="O118" s="33"/>
      <x:c r="P118" s="27"/>
      <x:c r="Q118" s="21"/>
      <x:c r="R118" s="21"/>
      <x:c r="S118" s="21"/>
      <x:c r="T118" s="21"/>
      <x:c r="U118" s="21"/>
      <x:c r="V118" s="21"/>
      <x:c r="W118" s="21"/>
      <x:c r="X118" s="21"/>
      <x:c r="Y118" s="25"/>
      <x:c r="Z118" s="21"/>
    </x:row>
    <x:row r="119">
      <x:c r="A119" s="21"/>
      <x:c r="B119" s="21"/>
      <x:c r="C119" s="21"/>
      <x:c r="D119" s="21"/>
      <x:c r="E119" s="21"/>
      <x:c r="F119" s="21"/>
      <x:c r="G119" s="21"/>
      <x:c r="H119" s="21"/>
      <x:c r="I119" s="21"/>
      <x:c r="J119" s="31"/>
      <x:c r="K119" s="31"/>
      <x:c r="L119" s="31"/>
      <x:c r="M119" s="31"/>
      <x:c r="N119" s="21"/>
      <x:c r="O119" s="33"/>
      <x:c r="P119" s="27"/>
      <x:c r="Q119" s="21"/>
      <x:c r="R119" s="21"/>
      <x:c r="S119" s="21"/>
      <x:c r="T119" s="21"/>
      <x:c r="U119" s="21"/>
      <x:c r="V119" s="21"/>
      <x:c r="W119" s="21"/>
      <x:c r="X119" s="21"/>
      <x:c r="Y119" s="25"/>
      <x:c r="Z119" s="21"/>
    </x:row>
    <x:row r="120">
      <x:c r="A120" s="21"/>
      <x:c r="B120" s="21"/>
      <x:c r="C120" s="21"/>
      <x:c r="D120" s="21"/>
      <x:c r="E120" s="21"/>
      <x:c r="F120" s="21"/>
      <x:c r="G120" s="21"/>
      <x:c r="H120" s="21"/>
      <x:c r="I120" s="21"/>
      <x:c r="J120" s="31"/>
      <x:c r="K120" s="31"/>
      <x:c r="L120" s="31"/>
      <x:c r="M120" s="31"/>
      <x:c r="N120" s="21"/>
      <x:c r="O120" s="33"/>
      <x:c r="P120" s="27"/>
      <x:c r="Q120" s="21"/>
      <x:c r="R120" s="21"/>
      <x:c r="S120" s="21"/>
      <x:c r="T120" s="21"/>
      <x:c r="U120" s="21"/>
      <x:c r="V120" s="21"/>
      <x:c r="W120" s="21"/>
      <x:c r="X120" s="21"/>
      <x:c r="Y120" s="25"/>
      <x:c r="Z120" s="21"/>
    </x:row>
    <x:row r="121">
      <x:c r="A121" s="21"/>
      <x:c r="B121" s="21"/>
      <x:c r="C121" s="21"/>
      <x:c r="D121" s="21"/>
      <x:c r="E121" s="21"/>
      <x:c r="F121" s="21"/>
      <x:c r="G121" s="21"/>
      <x:c r="H121" s="21"/>
      <x:c r="I121" s="21"/>
      <x:c r="J121" s="31"/>
      <x:c r="K121" s="31"/>
      <x:c r="L121" s="31"/>
      <x:c r="M121" s="31"/>
      <x:c r="N121" s="21"/>
      <x:c r="O121" s="33"/>
      <x:c r="P121" s="27"/>
      <x:c r="Q121" s="21"/>
      <x:c r="R121" s="21"/>
      <x:c r="S121" s="21"/>
      <x:c r="T121" s="21"/>
      <x:c r="U121" s="21"/>
      <x:c r="V121" s="21"/>
      <x:c r="W121" s="21"/>
      <x:c r="X121" s="21"/>
      <x:c r="Y121" s="25"/>
      <x:c r="Z121" s="21"/>
    </x:row>
    <x:row r="122">
      <x:c r="A122" s="21"/>
      <x:c r="B122" s="21"/>
      <x:c r="C122" s="21"/>
      <x:c r="D122" s="21"/>
      <x:c r="E122" s="21"/>
      <x:c r="F122" s="21"/>
      <x:c r="G122" s="21"/>
      <x:c r="H122" s="21"/>
      <x:c r="I122" s="21"/>
      <x:c r="J122" s="31"/>
      <x:c r="K122" s="31"/>
      <x:c r="L122" s="31"/>
      <x:c r="M122" s="31"/>
      <x:c r="N122" s="21"/>
      <x:c r="O122" s="33"/>
      <x:c r="P122" s="27"/>
      <x:c r="Q122" s="21"/>
      <x:c r="R122" s="21"/>
      <x:c r="S122" s="21"/>
      <x:c r="T122" s="21"/>
      <x:c r="U122" s="21"/>
      <x:c r="V122" s="21"/>
      <x:c r="W122" s="21"/>
      <x:c r="X122" s="21"/>
      <x:c r="Y122" s="25"/>
      <x:c r="Z122" s="21"/>
    </x:row>
    <x:row r="123">
      <x:c r="A123" s="21"/>
      <x:c r="B123" s="21"/>
      <x:c r="C123" s="21"/>
      <x:c r="D123" s="21"/>
      <x:c r="E123" s="21"/>
      <x:c r="F123" s="21"/>
      <x:c r="G123" s="21"/>
      <x:c r="H123" s="21"/>
      <x:c r="I123" s="21"/>
      <x:c r="J123" s="31"/>
      <x:c r="K123" s="31"/>
      <x:c r="L123" s="31"/>
      <x:c r="M123" s="31"/>
      <x:c r="N123" s="21"/>
      <x:c r="O123" s="33"/>
      <x:c r="P123" s="27"/>
      <x:c r="Q123" s="21"/>
      <x:c r="R123" s="21"/>
      <x:c r="S123" s="21"/>
      <x:c r="T123" s="21"/>
      <x:c r="U123" s="21"/>
      <x:c r="V123" s="21"/>
      <x:c r="W123" s="21"/>
      <x:c r="X123" s="21"/>
      <x:c r="Y123" s="25"/>
      <x:c r="Z123" s="21"/>
    </x:row>
    <x:row r="124">
      <x:c r="A124" s="21"/>
      <x:c r="B124" s="21"/>
      <x:c r="C124" s="21"/>
      <x:c r="D124" s="21"/>
      <x:c r="E124" s="21"/>
      <x:c r="F124" s="21"/>
      <x:c r="G124" s="21"/>
      <x:c r="H124" s="21"/>
      <x:c r="I124" s="21"/>
      <x:c r="J124" s="31"/>
      <x:c r="K124" s="31"/>
      <x:c r="L124" s="31"/>
      <x:c r="M124" s="31"/>
      <x:c r="N124" s="21"/>
      <x:c r="O124" s="33"/>
      <x:c r="P124" s="27"/>
      <x:c r="Q124" s="21"/>
      <x:c r="R124" s="21"/>
      <x:c r="S124" s="21"/>
      <x:c r="T124" s="21"/>
      <x:c r="U124" s="21"/>
      <x:c r="V124" s="21"/>
      <x:c r="W124" s="21"/>
      <x:c r="X124" s="21"/>
      <x:c r="Y124" s="25"/>
      <x:c r="Z124" s="21"/>
    </x:row>
    <x:row r="125">
      <x:c r="A125" s="21"/>
      <x:c r="B125" s="21"/>
      <x:c r="C125" s="21"/>
      <x:c r="D125" s="21"/>
      <x:c r="E125" s="21"/>
      <x:c r="F125" s="21"/>
      <x:c r="G125" s="21"/>
      <x:c r="H125" s="21"/>
      <x:c r="I125" s="21"/>
      <x:c r="J125" s="31"/>
      <x:c r="K125" s="31"/>
      <x:c r="L125" s="31"/>
      <x:c r="M125" s="31"/>
      <x:c r="N125" s="21"/>
      <x:c r="O125" s="33"/>
      <x:c r="P125" s="27"/>
      <x:c r="Q125" s="21"/>
      <x:c r="R125" s="21"/>
      <x:c r="S125" s="21"/>
      <x:c r="T125" s="21"/>
      <x:c r="U125" s="21"/>
      <x:c r="V125" s="21"/>
      <x:c r="W125" s="21"/>
      <x:c r="X125" s="21"/>
      <x:c r="Y125" s="25"/>
      <x:c r="Z125" s="21"/>
    </x:row>
    <x:row r="126">
      <x:c r="A126" s="21"/>
      <x:c r="B126" s="21"/>
      <x:c r="C126" s="21"/>
      <x:c r="D126" s="21"/>
      <x:c r="E126" s="21"/>
      <x:c r="F126" s="21"/>
      <x:c r="G126" s="21"/>
      <x:c r="H126" s="21"/>
      <x:c r="I126" s="21"/>
      <x:c r="J126" s="31"/>
      <x:c r="K126" s="31"/>
      <x:c r="L126" s="31"/>
      <x:c r="M126" s="31"/>
      <x:c r="N126" s="21"/>
      <x:c r="O126" s="33"/>
      <x:c r="P126" s="27"/>
      <x:c r="Q126" s="21"/>
      <x:c r="R126" s="21"/>
      <x:c r="S126" s="21"/>
      <x:c r="T126" s="21"/>
      <x:c r="U126" s="21"/>
      <x:c r="V126" s="21"/>
      <x:c r="W126" s="21"/>
      <x:c r="X126" s="21"/>
      <x:c r="Y126" s="25"/>
      <x:c r="Z126" s="21"/>
    </x:row>
    <x:row r="127">
      <x:c r="A127" s="21"/>
      <x:c r="B127" s="21"/>
      <x:c r="C127" s="21"/>
      <x:c r="D127" s="21"/>
      <x:c r="E127" s="21"/>
      <x:c r="F127" s="21"/>
      <x:c r="G127" s="21"/>
      <x:c r="H127" s="21"/>
      <x:c r="I127" s="21"/>
      <x:c r="J127" s="31"/>
      <x:c r="K127" s="31"/>
      <x:c r="L127" s="31"/>
      <x:c r="M127" s="31"/>
      <x:c r="N127" s="21"/>
      <x:c r="O127" s="33"/>
      <x:c r="P127" s="27"/>
      <x:c r="Q127" s="21"/>
      <x:c r="R127" s="21"/>
      <x:c r="S127" s="21"/>
      <x:c r="T127" s="21"/>
      <x:c r="U127" s="21"/>
      <x:c r="V127" s="21"/>
      <x:c r="W127" s="21"/>
      <x:c r="X127" s="21"/>
      <x:c r="Y127" s="25"/>
      <x:c r="Z127" s="21"/>
    </x:row>
    <x:row r="128">
      <x:c r="A128" s="21"/>
      <x:c r="B128" s="21"/>
      <x:c r="C128" s="21"/>
      <x:c r="D128" s="21"/>
      <x:c r="E128" s="21"/>
      <x:c r="F128" s="21"/>
      <x:c r="G128" s="21"/>
      <x:c r="H128" s="21"/>
      <x:c r="I128" s="21"/>
      <x:c r="J128" s="31"/>
      <x:c r="K128" s="31"/>
      <x:c r="L128" s="31"/>
      <x:c r="M128" s="31"/>
      <x:c r="N128" s="21"/>
      <x:c r="O128" s="33"/>
      <x:c r="P128" s="27"/>
      <x:c r="Q128" s="21"/>
      <x:c r="R128" s="21"/>
      <x:c r="S128" s="21"/>
      <x:c r="T128" s="21"/>
      <x:c r="U128" s="21"/>
      <x:c r="V128" s="21"/>
      <x:c r="W128" s="21"/>
      <x:c r="X128" s="21"/>
      <x:c r="Y128" s="25"/>
      <x:c r="Z128" s="21"/>
    </x:row>
    <x:row r="129">
      <x:c r="A129" s="21"/>
      <x:c r="B129" s="21"/>
      <x:c r="C129" s="21"/>
      <x:c r="D129" s="21"/>
      <x:c r="E129" s="21"/>
      <x:c r="F129" s="21"/>
      <x:c r="G129" s="21"/>
      <x:c r="H129" s="21"/>
      <x:c r="I129" s="21"/>
      <x:c r="J129" s="31"/>
      <x:c r="K129" s="31"/>
      <x:c r="L129" s="31"/>
      <x:c r="M129" s="31"/>
      <x:c r="N129" s="21"/>
      <x:c r="O129" s="33"/>
      <x:c r="P129" s="27"/>
      <x:c r="Q129" s="21"/>
      <x:c r="R129" s="21"/>
      <x:c r="S129" s="21"/>
      <x:c r="T129" s="21"/>
      <x:c r="U129" s="21"/>
      <x:c r="V129" s="21"/>
      <x:c r="W129" s="21"/>
      <x:c r="X129" s="21"/>
      <x:c r="Y129" s="25"/>
      <x:c r="Z129" s="21"/>
    </x:row>
    <x:row r="130">
      <x:c r="A130" s="21"/>
      <x:c r="B130" s="21"/>
      <x:c r="C130" s="21"/>
      <x:c r="D130" s="21"/>
      <x:c r="E130" s="21"/>
      <x:c r="F130" s="21"/>
      <x:c r="G130" s="21"/>
      <x:c r="H130" s="21"/>
      <x:c r="I130" s="21"/>
      <x:c r="J130" s="31"/>
      <x:c r="K130" s="31"/>
      <x:c r="L130" s="31"/>
      <x:c r="M130" s="31"/>
      <x:c r="N130" s="21"/>
      <x:c r="O130" s="33"/>
      <x:c r="P130" s="27"/>
      <x:c r="Q130" s="21"/>
      <x:c r="R130" s="21"/>
      <x:c r="S130" s="21"/>
      <x:c r="T130" s="21"/>
      <x:c r="U130" s="21"/>
      <x:c r="V130" s="21"/>
      <x:c r="W130" s="21"/>
      <x:c r="X130" s="21"/>
      <x:c r="Y130" s="25"/>
      <x:c r="Z130" s="21"/>
    </x:row>
    <x:row r="131">
      <x:c r="A131" s="21"/>
      <x:c r="B131" s="21"/>
      <x:c r="C131" s="21"/>
      <x:c r="D131" s="21"/>
      <x:c r="E131" s="21"/>
      <x:c r="F131" s="21"/>
      <x:c r="G131" s="21"/>
      <x:c r="H131" s="21"/>
      <x:c r="I131" s="21"/>
      <x:c r="J131" s="31"/>
      <x:c r="K131" s="31"/>
      <x:c r="L131" s="31"/>
      <x:c r="M131" s="31"/>
      <x:c r="N131" s="21"/>
      <x:c r="O131" s="33"/>
      <x:c r="P131" s="27"/>
      <x:c r="Q131" s="21"/>
      <x:c r="R131" s="21"/>
      <x:c r="S131" s="21"/>
      <x:c r="T131" s="21"/>
      <x:c r="U131" s="21"/>
      <x:c r="V131" s="21"/>
      <x:c r="W131" s="21"/>
      <x:c r="X131" s="21"/>
      <x:c r="Y131" s="25"/>
      <x:c r="Z131" s="21"/>
    </x:row>
    <x:row r="132">
      <x:c r="A132" s="21"/>
      <x:c r="B132" s="21"/>
      <x:c r="C132" s="21"/>
      <x:c r="D132" s="21"/>
      <x:c r="E132" s="21"/>
      <x:c r="F132" s="21"/>
      <x:c r="G132" s="21"/>
      <x:c r="H132" s="21"/>
      <x:c r="I132" s="21"/>
      <x:c r="J132" s="31"/>
      <x:c r="K132" s="31"/>
      <x:c r="L132" s="31"/>
      <x:c r="M132" s="31"/>
      <x:c r="N132" s="21"/>
      <x:c r="O132" s="33"/>
      <x:c r="P132" s="27"/>
      <x:c r="Q132" s="21"/>
      <x:c r="R132" s="21"/>
      <x:c r="S132" s="21"/>
      <x:c r="T132" s="21"/>
      <x:c r="U132" s="21"/>
      <x:c r="V132" s="21"/>
      <x:c r="W132" s="21"/>
      <x:c r="X132" s="21"/>
      <x:c r="Y132" s="25"/>
      <x:c r="Z132" s="21"/>
    </x:row>
    <x:row r="133">
      <x:c r="A133" s="21"/>
      <x:c r="B133" s="21"/>
      <x:c r="C133" s="21"/>
      <x:c r="D133" s="21"/>
      <x:c r="E133" s="21"/>
      <x:c r="F133" s="21"/>
      <x:c r="G133" s="21"/>
      <x:c r="H133" s="21"/>
      <x:c r="I133" s="21"/>
      <x:c r="J133" s="31"/>
      <x:c r="K133" s="31"/>
      <x:c r="L133" s="31"/>
      <x:c r="M133" s="31"/>
      <x:c r="N133" s="21"/>
      <x:c r="O133" s="33"/>
      <x:c r="P133" s="27"/>
      <x:c r="Q133" s="21"/>
      <x:c r="R133" s="21"/>
      <x:c r="S133" s="21"/>
      <x:c r="T133" s="21"/>
      <x:c r="U133" s="21"/>
      <x:c r="V133" s="21"/>
      <x:c r="W133" s="21"/>
      <x:c r="X133" s="21"/>
      <x:c r="Y133" s="25"/>
      <x:c r="Z133" s="21"/>
    </x:row>
    <x:row r="134">
      <x:c r="A134" s="21"/>
      <x:c r="B134" s="21"/>
      <x:c r="C134" s="21"/>
      <x:c r="D134" s="21"/>
      <x:c r="E134" s="21"/>
      <x:c r="F134" s="21"/>
      <x:c r="G134" s="21"/>
      <x:c r="H134" s="21"/>
      <x:c r="I134" s="21"/>
      <x:c r="J134" s="31"/>
      <x:c r="K134" s="31"/>
      <x:c r="L134" s="31"/>
      <x:c r="M134" s="31"/>
      <x:c r="N134" s="21"/>
      <x:c r="O134" s="33"/>
      <x:c r="P134" s="27"/>
      <x:c r="Q134" s="21"/>
      <x:c r="R134" s="21"/>
      <x:c r="S134" s="21"/>
      <x:c r="T134" s="21"/>
      <x:c r="U134" s="21"/>
      <x:c r="V134" s="21"/>
      <x:c r="W134" s="21"/>
      <x:c r="X134" s="21"/>
      <x:c r="Y134" s="25"/>
      <x:c r="Z134" s="21"/>
    </x:row>
    <x:row r="135">
      <x:c r="A135" s="21"/>
      <x:c r="B135" s="21"/>
      <x:c r="C135" s="21"/>
      <x:c r="D135" s="21"/>
      <x:c r="E135" s="21"/>
      <x:c r="F135" s="21"/>
      <x:c r="G135" s="21"/>
      <x:c r="H135" s="21"/>
      <x:c r="I135" s="21"/>
      <x:c r="J135" s="31"/>
      <x:c r="K135" s="31"/>
      <x:c r="L135" s="31"/>
      <x:c r="M135" s="31"/>
      <x:c r="N135" s="21"/>
      <x:c r="O135" s="33"/>
      <x:c r="P135" s="27"/>
      <x:c r="Q135" s="21"/>
      <x:c r="R135" s="21"/>
      <x:c r="S135" s="21"/>
      <x:c r="T135" s="21"/>
      <x:c r="U135" s="21"/>
      <x:c r="V135" s="21"/>
      <x:c r="W135" s="21"/>
      <x:c r="X135" s="21"/>
      <x:c r="Y135" s="25"/>
      <x:c r="Z135" s="21"/>
    </x:row>
    <x:row r="136">
      <x:c r="A136" s="21"/>
      <x:c r="B136" s="21"/>
      <x:c r="C136" s="21"/>
      <x:c r="D136" s="21"/>
      <x:c r="E136" s="21"/>
      <x:c r="F136" s="21"/>
      <x:c r="G136" s="21"/>
      <x:c r="H136" s="21"/>
      <x:c r="I136" s="21"/>
      <x:c r="J136" s="31"/>
      <x:c r="K136" s="31"/>
      <x:c r="L136" s="31"/>
      <x:c r="M136" s="31"/>
      <x:c r="N136" s="21"/>
      <x:c r="O136" s="33"/>
      <x:c r="P136" s="27"/>
      <x:c r="Q136" s="21"/>
      <x:c r="R136" s="21"/>
      <x:c r="S136" s="21"/>
      <x:c r="T136" s="21"/>
      <x:c r="U136" s="21"/>
      <x:c r="V136" s="21"/>
      <x:c r="W136" s="21"/>
      <x:c r="X136" s="21"/>
      <x:c r="Y136" s="25"/>
      <x:c r="Z136" s="21"/>
    </x:row>
    <x:row r="137">
      <x:c r="A137" s="21"/>
      <x:c r="B137" s="21"/>
      <x:c r="C137" s="21"/>
      <x:c r="D137" s="21"/>
      <x:c r="E137" s="21"/>
      <x:c r="F137" s="21"/>
      <x:c r="G137" s="21"/>
      <x:c r="H137" s="21"/>
      <x:c r="I137" s="21"/>
      <x:c r="J137" s="31"/>
      <x:c r="K137" s="31"/>
      <x:c r="L137" s="31"/>
      <x:c r="M137" s="31"/>
      <x:c r="N137" s="21"/>
      <x:c r="O137" s="33"/>
      <x:c r="P137" s="27"/>
      <x:c r="Q137" s="21"/>
      <x:c r="R137" s="21"/>
      <x:c r="S137" s="21"/>
      <x:c r="T137" s="21"/>
      <x:c r="U137" s="21"/>
      <x:c r="V137" s="21"/>
      <x:c r="W137" s="21"/>
      <x:c r="X137" s="21"/>
      <x:c r="Y137" s="25"/>
      <x:c r="Z137" s="21"/>
    </x:row>
    <x:row r="138">
      <x:c r="A138" s="21"/>
      <x:c r="B138" s="21"/>
      <x:c r="C138" s="21"/>
      <x:c r="D138" s="21"/>
      <x:c r="E138" s="21"/>
      <x:c r="F138" s="21"/>
      <x:c r="G138" s="21"/>
      <x:c r="H138" s="21"/>
      <x:c r="I138" s="21"/>
      <x:c r="J138" s="31"/>
      <x:c r="K138" s="31"/>
      <x:c r="L138" s="31"/>
      <x:c r="M138" s="31"/>
      <x:c r="N138" s="21"/>
      <x:c r="O138" s="33"/>
      <x:c r="P138" s="27"/>
      <x:c r="Q138" s="21"/>
      <x:c r="R138" s="21"/>
      <x:c r="S138" s="21"/>
      <x:c r="T138" s="21"/>
      <x:c r="U138" s="21"/>
      <x:c r="V138" s="21"/>
      <x:c r="W138" s="21"/>
      <x:c r="X138" s="21"/>
      <x:c r="Y138" s="25"/>
      <x:c r="Z138" s="21"/>
    </x:row>
    <x:row r="139">
      <x:c r="A139" s="21"/>
      <x:c r="B139" s="21"/>
      <x:c r="C139" s="21"/>
      <x:c r="D139" s="21"/>
      <x:c r="E139" s="21"/>
      <x:c r="F139" s="21"/>
      <x:c r="G139" s="21"/>
      <x:c r="H139" s="21"/>
      <x:c r="I139" s="21"/>
      <x:c r="J139" s="31"/>
      <x:c r="K139" s="31"/>
      <x:c r="L139" s="31"/>
      <x:c r="M139" s="31"/>
      <x:c r="N139" s="21"/>
      <x:c r="O139" s="33"/>
      <x:c r="P139" s="27"/>
      <x:c r="Q139" s="21"/>
      <x:c r="R139" s="21"/>
      <x:c r="S139" s="21"/>
      <x:c r="T139" s="21"/>
      <x:c r="U139" s="21"/>
      <x:c r="V139" s="21"/>
      <x:c r="W139" s="21"/>
      <x:c r="X139" s="21"/>
      <x:c r="Y139" s="25"/>
      <x:c r="Z139" s="21"/>
    </x:row>
    <x:row r="140">
      <x:c r="A140" s="21"/>
      <x:c r="B140" s="21"/>
      <x:c r="C140" s="21"/>
      <x:c r="D140" s="21"/>
      <x:c r="E140" s="21"/>
      <x:c r="F140" s="21"/>
      <x:c r="G140" s="21"/>
      <x:c r="H140" s="21"/>
      <x:c r="I140" s="21"/>
      <x:c r="J140" s="31"/>
      <x:c r="K140" s="31"/>
      <x:c r="L140" s="31"/>
      <x:c r="M140" s="31"/>
      <x:c r="N140" s="21"/>
      <x:c r="O140" s="33"/>
      <x:c r="P140" s="27"/>
      <x:c r="Q140" s="21"/>
      <x:c r="R140" s="21"/>
      <x:c r="S140" s="21"/>
      <x:c r="T140" s="21"/>
      <x:c r="U140" s="21"/>
      <x:c r="V140" s="21"/>
      <x:c r="W140" s="21"/>
      <x:c r="X140" s="21"/>
      <x:c r="Y140" s="25"/>
      <x:c r="Z140" s="21"/>
    </x:row>
    <x:row r="141">
      <x:c r="A141" s="21"/>
      <x:c r="B141" s="21"/>
      <x:c r="C141" s="21"/>
      <x:c r="D141" s="21"/>
      <x:c r="E141" s="21"/>
      <x:c r="F141" s="21"/>
      <x:c r="G141" s="21"/>
      <x:c r="H141" s="21"/>
      <x:c r="I141" s="21"/>
      <x:c r="J141" s="31"/>
      <x:c r="K141" s="31"/>
      <x:c r="L141" s="31"/>
      <x:c r="M141" s="31"/>
      <x:c r="N141" s="21"/>
      <x:c r="O141" s="33"/>
      <x:c r="P141" s="27"/>
      <x:c r="Q141" s="21"/>
      <x:c r="R141" s="21"/>
      <x:c r="S141" s="21"/>
      <x:c r="T141" s="21"/>
      <x:c r="U141" s="21"/>
      <x:c r="V141" s="21"/>
      <x:c r="W141" s="21"/>
      <x:c r="X141" s="21"/>
      <x:c r="Y141" s="25"/>
      <x:c r="Z141" s="21"/>
    </x:row>
    <x:row r="142">
      <x:c r="A142" s="21"/>
      <x:c r="B142" s="21"/>
      <x:c r="C142" s="21"/>
      <x:c r="D142" s="21"/>
      <x:c r="E142" s="21"/>
      <x:c r="F142" s="21"/>
      <x:c r="G142" s="21"/>
      <x:c r="H142" s="21"/>
      <x:c r="I142" s="21"/>
      <x:c r="J142" s="31"/>
      <x:c r="K142" s="31"/>
      <x:c r="L142" s="31"/>
      <x:c r="M142" s="31"/>
      <x:c r="N142" s="21"/>
      <x:c r="O142" s="33"/>
      <x:c r="P142" s="27"/>
      <x:c r="Q142" s="21"/>
      <x:c r="R142" s="21"/>
      <x:c r="S142" s="21"/>
      <x:c r="T142" s="21"/>
      <x:c r="U142" s="21"/>
      <x:c r="V142" s="21"/>
      <x:c r="W142" s="21"/>
      <x:c r="X142" s="21"/>
      <x:c r="Y142" s="25"/>
      <x:c r="Z142" s="21"/>
    </x:row>
    <x:row r="143">
      <x:c r="A143" s="21"/>
      <x:c r="B143" s="21"/>
      <x:c r="C143" s="21"/>
      <x:c r="D143" s="21"/>
      <x:c r="E143" s="21"/>
      <x:c r="F143" s="21"/>
      <x:c r="G143" s="21"/>
      <x:c r="H143" s="21"/>
      <x:c r="I143" s="21"/>
      <x:c r="J143" s="31"/>
      <x:c r="K143" s="31"/>
      <x:c r="L143" s="31"/>
      <x:c r="M143" s="31"/>
      <x:c r="N143" s="21"/>
      <x:c r="O143" s="33"/>
      <x:c r="P143" s="27"/>
      <x:c r="Q143" s="21"/>
      <x:c r="R143" s="21"/>
      <x:c r="S143" s="21"/>
      <x:c r="T143" s="21"/>
      <x:c r="U143" s="21"/>
      <x:c r="V143" s="21"/>
      <x:c r="W143" s="21"/>
      <x:c r="X143" s="21"/>
      <x:c r="Y143" s="25"/>
      <x:c r="Z143" s="21"/>
    </x:row>
    <x:row r="144">
      <x:c r="A144" s="21"/>
      <x:c r="B144" s="21"/>
      <x:c r="C144" s="21"/>
      <x:c r="D144" s="21"/>
      <x:c r="E144" s="21"/>
      <x:c r="F144" s="21"/>
      <x:c r="G144" s="21"/>
      <x:c r="H144" s="21"/>
      <x:c r="I144" s="21"/>
      <x:c r="J144" s="31"/>
      <x:c r="K144" s="31"/>
      <x:c r="L144" s="31"/>
      <x:c r="M144" s="31"/>
      <x:c r="N144" s="21"/>
      <x:c r="O144" s="33"/>
      <x:c r="P144" s="27"/>
      <x:c r="Q144" s="21"/>
      <x:c r="R144" s="21"/>
      <x:c r="S144" s="21"/>
      <x:c r="T144" s="21"/>
      <x:c r="U144" s="21"/>
      <x:c r="V144" s="21"/>
      <x:c r="W144" s="21"/>
      <x:c r="X144" s="21"/>
      <x:c r="Y144" s="25"/>
      <x:c r="Z144" s="21"/>
    </x:row>
    <x:row r="145">
      <x:c r="A145" s="21"/>
      <x:c r="B145" s="21"/>
      <x:c r="C145" s="21"/>
      <x:c r="D145" s="21"/>
      <x:c r="E145" s="21"/>
      <x:c r="F145" s="21"/>
      <x:c r="G145" s="21"/>
      <x:c r="H145" s="21"/>
      <x:c r="I145" s="21"/>
      <x:c r="J145" s="31"/>
      <x:c r="K145" s="31"/>
      <x:c r="L145" s="31"/>
      <x:c r="M145" s="31"/>
      <x:c r="N145" s="21"/>
      <x:c r="O145" s="33"/>
      <x:c r="P145" s="27"/>
      <x:c r="Q145" s="21"/>
      <x:c r="R145" s="21"/>
      <x:c r="S145" s="21"/>
      <x:c r="T145" s="21"/>
      <x:c r="U145" s="21"/>
      <x:c r="V145" s="21"/>
      <x:c r="W145" s="21"/>
      <x:c r="X145" s="21"/>
      <x:c r="Y145" s="25"/>
      <x:c r="Z145" s="21"/>
    </x:row>
    <x:row r="146">
      <x:c r="A146" s="21"/>
      <x:c r="B146" s="21"/>
      <x:c r="C146" s="21"/>
      <x:c r="D146" s="21"/>
      <x:c r="E146" s="21"/>
      <x:c r="F146" s="21"/>
      <x:c r="G146" s="21"/>
      <x:c r="H146" s="21"/>
      <x:c r="I146" s="21"/>
      <x:c r="J146" s="31"/>
      <x:c r="K146" s="31"/>
      <x:c r="L146" s="31"/>
      <x:c r="M146" s="31"/>
      <x:c r="N146" s="21"/>
      <x:c r="O146" s="33"/>
      <x:c r="P146" s="27"/>
      <x:c r="Q146" s="21"/>
      <x:c r="R146" s="21"/>
      <x:c r="S146" s="21"/>
      <x:c r="T146" s="21"/>
      <x:c r="U146" s="21"/>
      <x:c r="V146" s="21"/>
      <x:c r="W146" s="21"/>
      <x:c r="X146" s="21"/>
      <x:c r="Y146" s="25"/>
      <x:c r="Z146" s="21"/>
    </x:row>
    <x:row r="147">
      <x:c r="A147" s="21"/>
      <x:c r="B147" s="21"/>
      <x:c r="C147" s="21"/>
      <x:c r="D147" s="21"/>
      <x:c r="E147" s="21"/>
      <x:c r="F147" s="21"/>
      <x:c r="G147" s="21"/>
      <x:c r="H147" s="21"/>
      <x:c r="I147" s="21"/>
      <x:c r="J147" s="31"/>
      <x:c r="K147" s="31"/>
      <x:c r="L147" s="31"/>
      <x:c r="M147" s="31"/>
      <x:c r="N147" s="21"/>
      <x:c r="O147" s="33"/>
      <x:c r="P147" s="27"/>
      <x:c r="Q147" s="21"/>
      <x:c r="R147" s="21"/>
      <x:c r="S147" s="21"/>
      <x:c r="T147" s="21"/>
      <x:c r="U147" s="21"/>
      <x:c r="V147" s="21"/>
      <x:c r="W147" s="21"/>
      <x:c r="X147" s="21"/>
      <x:c r="Y147" s="25"/>
      <x:c r="Z147" s="21"/>
    </x:row>
    <x:row r="148">
      <x:c r="A148" s="21"/>
      <x:c r="B148" s="21"/>
      <x:c r="C148" s="21"/>
      <x:c r="D148" s="21"/>
      <x:c r="E148" s="21"/>
      <x:c r="F148" s="21"/>
      <x:c r="G148" s="21"/>
      <x:c r="H148" s="21"/>
      <x:c r="I148" s="21"/>
      <x:c r="J148" s="31"/>
      <x:c r="K148" s="31"/>
      <x:c r="L148" s="31"/>
      <x:c r="M148" s="31"/>
      <x:c r="N148" s="21"/>
      <x:c r="O148" s="33"/>
      <x:c r="P148" s="27"/>
      <x:c r="Q148" s="21"/>
      <x:c r="R148" s="21"/>
      <x:c r="S148" s="21"/>
      <x:c r="T148" s="21"/>
      <x:c r="U148" s="21"/>
      <x:c r="V148" s="21"/>
      <x:c r="W148" s="21"/>
      <x:c r="X148" s="21"/>
      <x:c r="Y148" s="25"/>
      <x:c r="Z148" s="21"/>
    </x:row>
    <x:row r="149">
      <x:c r="A149" s="21"/>
      <x:c r="B149" s="21"/>
      <x:c r="C149" s="21"/>
      <x:c r="D149" s="21"/>
      <x:c r="E149" s="21"/>
      <x:c r="F149" s="21"/>
      <x:c r="G149" s="21"/>
      <x:c r="H149" s="21"/>
      <x:c r="I149" s="21"/>
      <x:c r="J149" s="31"/>
      <x:c r="K149" s="31"/>
      <x:c r="L149" s="31"/>
      <x:c r="M149" s="31"/>
      <x:c r="N149" s="21"/>
      <x:c r="O149" s="33"/>
      <x:c r="P149" s="27"/>
      <x:c r="Q149" s="21"/>
      <x:c r="R149" s="21"/>
      <x:c r="S149" s="21"/>
      <x:c r="T149" s="21"/>
      <x:c r="U149" s="21"/>
      <x:c r="V149" s="21"/>
      <x:c r="W149" s="21"/>
      <x:c r="X149" s="21"/>
      <x:c r="Y149" s="25"/>
      <x:c r="Z149" s="21"/>
    </x:row>
    <x:row r="150">
      <x:c r="A150" s="21"/>
      <x:c r="B150" s="21"/>
      <x:c r="C150" s="21"/>
      <x:c r="D150" s="21"/>
      <x:c r="E150" s="21"/>
      <x:c r="F150" s="21"/>
      <x:c r="G150" s="21"/>
      <x:c r="H150" s="21"/>
      <x:c r="I150" s="21"/>
      <x:c r="J150" s="31"/>
      <x:c r="K150" s="31"/>
      <x:c r="L150" s="31"/>
      <x:c r="M150" s="31"/>
      <x:c r="N150" s="21"/>
      <x:c r="O150" s="33"/>
      <x:c r="P150" s="27"/>
      <x:c r="Q150" s="21"/>
      <x:c r="R150" s="21"/>
      <x:c r="S150" s="21"/>
      <x:c r="T150" s="21"/>
      <x:c r="U150" s="21"/>
      <x:c r="V150" s="21"/>
      <x:c r="W150" s="21"/>
      <x:c r="X150" s="21"/>
      <x:c r="Y150" s="25"/>
      <x:c r="Z150" s="21"/>
    </x:row>
    <x:row r="151">
      <x:c r="A151" s="21"/>
      <x:c r="B151" s="21"/>
      <x:c r="C151" s="21"/>
      <x:c r="D151" s="21"/>
      <x:c r="E151" s="21"/>
      <x:c r="F151" s="21"/>
      <x:c r="G151" s="21"/>
      <x:c r="H151" s="21"/>
      <x:c r="I151" s="21"/>
      <x:c r="J151" s="31"/>
      <x:c r="K151" s="31"/>
      <x:c r="L151" s="31"/>
      <x:c r="M151" s="31"/>
      <x:c r="N151" s="21"/>
      <x:c r="O151" s="33"/>
      <x:c r="P151" s="27"/>
      <x:c r="Q151" s="21"/>
      <x:c r="R151" s="21"/>
      <x:c r="S151" s="21"/>
      <x:c r="T151" s="21"/>
      <x:c r="U151" s="21"/>
      <x:c r="V151" s="21"/>
      <x:c r="W151" s="21"/>
      <x:c r="X151" s="21"/>
      <x:c r="Y151" s="25"/>
      <x:c r="Z151" s="21"/>
    </x:row>
    <x:row r="152">
      <x:c r="A152" s="21"/>
      <x:c r="B152" s="21"/>
      <x:c r="C152" s="21"/>
      <x:c r="D152" s="21"/>
      <x:c r="E152" s="21"/>
      <x:c r="F152" s="21"/>
      <x:c r="G152" s="21"/>
      <x:c r="H152" s="21"/>
      <x:c r="I152" s="21"/>
      <x:c r="J152" s="31"/>
      <x:c r="K152" s="31"/>
      <x:c r="L152" s="31"/>
      <x:c r="M152" s="31"/>
      <x:c r="N152" s="21"/>
      <x:c r="O152" s="33"/>
      <x:c r="P152" s="27"/>
      <x:c r="Q152" s="21"/>
      <x:c r="R152" s="21"/>
      <x:c r="S152" s="21"/>
      <x:c r="T152" s="21"/>
      <x:c r="U152" s="21"/>
      <x:c r="V152" s="21"/>
      <x:c r="W152" s="21"/>
      <x:c r="X152" s="21"/>
      <x:c r="Y152" s="25"/>
      <x:c r="Z152" s="21"/>
    </x:row>
    <x:row r="153">
      <x:c r="A153" s="21"/>
      <x:c r="B153" s="21"/>
      <x:c r="C153" s="21"/>
      <x:c r="D153" s="21"/>
      <x:c r="E153" s="21"/>
      <x:c r="F153" s="21"/>
      <x:c r="G153" s="21"/>
      <x:c r="H153" s="21"/>
      <x:c r="I153" s="21"/>
      <x:c r="J153" s="31"/>
      <x:c r="K153" s="31"/>
      <x:c r="L153" s="31"/>
      <x:c r="M153" s="31"/>
      <x:c r="N153" s="21"/>
      <x:c r="O153" s="33"/>
      <x:c r="P153" s="27"/>
      <x:c r="Q153" s="21"/>
      <x:c r="R153" s="21"/>
      <x:c r="S153" s="21"/>
      <x:c r="T153" s="21"/>
      <x:c r="U153" s="21"/>
      <x:c r="V153" s="21"/>
      <x:c r="W153" s="21"/>
      <x:c r="X153" s="21"/>
      <x:c r="Y153" s="25"/>
      <x:c r="Z153" s="21"/>
    </x:row>
    <x:row r="154">
      <x:c r="A154" s="21"/>
      <x:c r="B154" s="21"/>
      <x:c r="C154" s="21"/>
      <x:c r="D154" s="21"/>
      <x:c r="E154" s="21"/>
      <x:c r="F154" s="21"/>
      <x:c r="G154" s="21"/>
      <x:c r="H154" s="21"/>
      <x:c r="I154" s="21"/>
      <x:c r="J154" s="31"/>
      <x:c r="K154" s="31"/>
      <x:c r="L154" s="31"/>
      <x:c r="M154" s="31"/>
      <x:c r="N154" s="21"/>
      <x:c r="O154" s="33"/>
      <x:c r="P154" s="27"/>
      <x:c r="Q154" s="21"/>
      <x:c r="R154" s="21"/>
      <x:c r="S154" s="21"/>
      <x:c r="T154" s="21"/>
      <x:c r="U154" s="21"/>
      <x:c r="V154" s="21"/>
      <x:c r="W154" s="21"/>
      <x:c r="X154" s="21"/>
      <x:c r="Y154" s="25"/>
      <x:c r="Z154" s="21"/>
    </x:row>
    <x:row r="155">
      <x:c r="A155" s="21"/>
      <x:c r="B155" s="21"/>
      <x:c r="C155" s="21"/>
      <x:c r="D155" s="21"/>
      <x:c r="E155" s="21"/>
      <x:c r="F155" s="21"/>
      <x:c r="G155" s="21"/>
      <x:c r="H155" s="21"/>
      <x:c r="I155" s="21"/>
      <x:c r="J155" s="31"/>
      <x:c r="K155" s="31"/>
      <x:c r="L155" s="31"/>
      <x:c r="M155" s="31"/>
      <x:c r="N155" s="21"/>
      <x:c r="O155" s="33"/>
      <x:c r="P155" s="27"/>
      <x:c r="Q155" s="21"/>
      <x:c r="R155" s="21"/>
      <x:c r="S155" s="21"/>
      <x:c r="T155" s="21"/>
      <x:c r="U155" s="21"/>
      <x:c r="V155" s="21"/>
      <x:c r="W155" s="21"/>
      <x:c r="X155" s="21"/>
      <x:c r="Y155" s="25"/>
      <x:c r="Z155" s="21"/>
    </x:row>
    <x:row r="156">
      <x:c r="A156" s="21"/>
      <x:c r="B156" s="21"/>
      <x:c r="C156" s="21"/>
      <x:c r="D156" s="21"/>
      <x:c r="E156" s="21"/>
      <x:c r="F156" s="21"/>
      <x:c r="G156" s="21"/>
      <x:c r="H156" s="21"/>
      <x:c r="I156" s="21"/>
      <x:c r="J156" s="31"/>
      <x:c r="K156" s="31"/>
      <x:c r="L156" s="31"/>
      <x:c r="M156" s="31"/>
      <x:c r="N156" s="21"/>
      <x:c r="O156" s="33"/>
      <x:c r="P156" s="27"/>
      <x:c r="Q156" s="21"/>
      <x:c r="R156" s="21"/>
      <x:c r="S156" s="21"/>
      <x:c r="T156" s="21"/>
      <x:c r="U156" s="21"/>
      <x:c r="V156" s="21"/>
      <x:c r="W156" s="21"/>
      <x:c r="X156" s="21"/>
      <x:c r="Y156" s="25"/>
      <x:c r="Z156" s="21"/>
    </x:row>
    <x:row r="157">
      <x:c r="A157" s="21"/>
      <x:c r="B157" s="21"/>
      <x:c r="C157" s="21"/>
      <x:c r="D157" s="21"/>
      <x:c r="E157" s="21"/>
      <x:c r="F157" s="21"/>
      <x:c r="G157" s="21"/>
      <x:c r="H157" s="21"/>
      <x:c r="I157" s="21"/>
      <x:c r="J157" s="31"/>
      <x:c r="K157" s="31"/>
      <x:c r="L157" s="31"/>
      <x:c r="M157" s="31"/>
      <x:c r="N157" s="21"/>
      <x:c r="O157" s="33"/>
      <x:c r="P157" s="27"/>
      <x:c r="Q157" s="21"/>
      <x:c r="R157" s="21"/>
      <x:c r="S157" s="21"/>
      <x:c r="T157" s="21"/>
      <x:c r="U157" s="21"/>
      <x:c r="V157" s="21"/>
      <x:c r="W157" s="21"/>
      <x:c r="X157" s="21"/>
      <x:c r="Y157" s="25"/>
      <x:c r="Z157" s="21"/>
    </x:row>
    <x:row r="158">
      <x:c r="A158" s="21"/>
      <x:c r="B158" s="21"/>
      <x:c r="C158" s="21"/>
      <x:c r="D158" s="21"/>
      <x:c r="E158" s="21"/>
      <x:c r="F158" s="21"/>
      <x:c r="G158" s="21"/>
      <x:c r="H158" s="21"/>
      <x:c r="I158" s="21"/>
      <x:c r="J158" s="31"/>
      <x:c r="K158" s="31"/>
      <x:c r="L158" s="31"/>
      <x:c r="M158" s="31"/>
      <x:c r="N158" s="21"/>
      <x:c r="O158" s="33"/>
      <x:c r="P158" s="27"/>
      <x:c r="Q158" s="21"/>
      <x:c r="R158" s="21"/>
      <x:c r="S158" s="21"/>
      <x:c r="T158" s="21"/>
      <x:c r="U158" s="21"/>
      <x:c r="V158" s="21"/>
      <x:c r="W158" s="21"/>
      <x:c r="X158" s="21"/>
      <x:c r="Y158" s="25"/>
      <x:c r="Z158" s="21"/>
    </x:row>
    <x:row r="159">
      <x:c r="A159" s="21"/>
      <x:c r="B159" s="21"/>
      <x:c r="C159" s="21"/>
      <x:c r="D159" s="21"/>
      <x:c r="E159" s="21"/>
      <x:c r="F159" s="21"/>
      <x:c r="G159" s="21"/>
      <x:c r="H159" s="21"/>
      <x:c r="I159" s="21"/>
      <x:c r="J159" s="31"/>
      <x:c r="K159" s="31"/>
      <x:c r="L159" s="31"/>
      <x:c r="M159" s="31"/>
      <x:c r="N159" s="21"/>
      <x:c r="O159" s="33"/>
      <x:c r="P159" s="27"/>
      <x:c r="Q159" s="21"/>
      <x:c r="R159" s="21"/>
      <x:c r="S159" s="21"/>
      <x:c r="T159" s="21"/>
      <x:c r="U159" s="21"/>
      <x:c r="V159" s="21"/>
      <x:c r="W159" s="21"/>
      <x:c r="X159" s="21"/>
      <x:c r="Y159" s="25"/>
      <x:c r="Z159" s="21"/>
    </x:row>
    <x:row r="160">
      <x:c r="A160" s="21"/>
      <x:c r="B160" s="21"/>
      <x:c r="C160" s="21"/>
      <x:c r="D160" s="21"/>
      <x:c r="E160" s="21"/>
      <x:c r="F160" s="21"/>
      <x:c r="G160" s="21"/>
      <x:c r="H160" s="21"/>
      <x:c r="I160" s="21"/>
      <x:c r="J160" s="31"/>
      <x:c r="K160" s="31"/>
      <x:c r="L160" s="31"/>
      <x:c r="M160" s="31"/>
      <x:c r="N160" s="21"/>
      <x:c r="O160" s="33"/>
      <x:c r="P160" s="27"/>
      <x:c r="Q160" s="21"/>
      <x:c r="R160" s="21"/>
      <x:c r="S160" s="21"/>
      <x:c r="T160" s="21"/>
      <x:c r="U160" s="21"/>
      <x:c r="V160" s="21"/>
      <x:c r="W160" s="21"/>
      <x:c r="X160" s="21"/>
      <x:c r="Y160" s="25"/>
      <x:c r="Z160" s="21"/>
    </x:row>
    <x:row r="161">
      <x:c r="A161" s="21"/>
      <x:c r="B161" s="21"/>
      <x:c r="C161" s="21"/>
      <x:c r="D161" s="21"/>
      <x:c r="E161" s="21"/>
      <x:c r="F161" s="21"/>
      <x:c r="G161" s="21"/>
      <x:c r="H161" s="21"/>
      <x:c r="I161" s="21"/>
      <x:c r="J161" s="31"/>
      <x:c r="K161" s="31"/>
      <x:c r="L161" s="31"/>
      <x:c r="M161" s="31"/>
      <x:c r="N161" s="21"/>
      <x:c r="O161" s="33"/>
      <x:c r="P161" s="27"/>
      <x:c r="Q161" s="21"/>
      <x:c r="R161" s="21"/>
      <x:c r="S161" s="21"/>
      <x:c r="T161" s="21"/>
      <x:c r="U161" s="21"/>
      <x:c r="V161" s="21"/>
      <x:c r="W161" s="21"/>
      <x:c r="X161" s="21"/>
      <x:c r="Y161" s="25"/>
      <x:c r="Z161" s="21"/>
    </x:row>
    <x:row r="162">
      <x:c r="A162" s="21"/>
      <x:c r="B162" s="21"/>
      <x:c r="C162" s="21"/>
      <x:c r="D162" s="21"/>
      <x:c r="E162" s="21"/>
      <x:c r="F162" s="21"/>
      <x:c r="G162" s="21"/>
      <x:c r="H162" s="21"/>
      <x:c r="I162" s="21"/>
      <x:c r="J162" s="31"/>
      <x:c r="K162" s="31"/>
      <x:c r="L162" s="31"/>
      <x:c r="M162" s="31"/>
      <x:c r="N162" s="21"/>
      <x:c r="O162" s="33"/>
      <x:c r="P162" s="27"/>
      <x:c r="Q162" s="21"/>
      <x:c r="R162" s="21"/>
      <x:c r="S162" s="21"/>
      <x:c r="T162" s="21"/>
      <x:c r="U162" s="21"/>
      <x:c r="V162" s="21"/>
      <x:c r="W162" s="21"/>
      <x:c r="X162" s="21"/>
      <x:c r="Y162" s="25"/>
      <x:c r="Z162" s="21"/>
    </x:row>
    <x:row r="163">
      <x:c r="A163" s="21"/>
      <x:c r="B163" s="21"/>
      <x:c r="C163" s="21"/>
      <x:c r="D163" s="21"/>
      <x:c r="E163" s="21"/>
      <x:c r="F163" s="21"/>
      <x:c r="G163" s="21"/>
      <x:c r="H163" s="21"/>
      <x:c r="I163" s="21"/>
      <x:c r="J163" s="31"/>
      <x:c r="K163" s="31"/>
      <x:c r="L163" s="31"/>
      <x:c r="M163" s="31"/>
      <x:c r="N163" s="21"/>
      <x:c r="O163" s="33"/>
      <x:c r="P163" s="27"/>
      <x:c r="Q163" s="21"/>
      <x:c r="R163" s="21"/>
      <x:c r="S163" s="21"/>
      <x:c r="T163" s="21"/>
      <x:c r="U163" s="21"/>
      <x:c r="V163" s="21"/>
      <x:c r="W163" s="21"/>
      <x:c r="X163" s="21"/>
      <x:c r="Y163" s="25"/>
      <x:c r="Z163" s="21"/>
    </x:row>
    <x:row r="164">
      <x:c r="A164" s="21"/>
      <x:c r="B164" s="21"/>
      <x:c r="C164" s="21"/>
      <x:c r="D164" s="21"/>
      <x:c r="E164" s="21"/>
      <x:c r="F164" s="21"/>
      <x:c r="G164" s="21"/>
      <x:c r="H164" s="21"/>
      <x:c r="I164" s="21"/>
      <x:c r="J164" s="31"/>
      <x:c r="K164" s="31"/>
      <x:c r="L164" s="31"/>
      <x:c r="M164" s="31"/>
      <x:c r="N164" s="21"/>
      <x:c r="O164" s="33"/>
      <x:c r="P164" s="27"/>
      <x:c r="Q164" s="21"/>
      <x:c r="R164" s="21"/>
      <x:c r="S164" s="21"/>
      <x:c r="T164" s="21"/>
      <x:c r="U164" s="21"/>
      <x:c r="V164" s="21"/>
      <x:c r="W164" s="21"/>
      <x:c r="X164" s="21"/>
      <x:c r="Y164" s="25"/>
      <x:c r="Z164" s="21"/>
    </x:row>
    <x:row r="165">
      <x:c r="A165" s="21"/>
      <x:c r="B165" s="21"/>
      <x:c r="C165" s="21"/>
      <x:c r="D165" s="21"/>
      <x:c r="E165" s="21"/>
      <x:c r="F165" s="21"/>
      <x:c r="G165" s="21"/>
      <x:c r="H165" s="21"/>
      <x:c r="I165" s="21"/>
      <x:c r="J165" s="31"/>
      <x:c r="K165" s="31"/>
      <x:c r="L165" s="31"/>
      <x:c r="M165" s="31"/>
      <x:c r="N165" s="21"/>
      <x:c r="O165" s="33"/>
      <x:c r="P165" s="27"/>
      <x:c r="Q165" s="21"/>
      <x:c r="R165" s="21"/>
      <x:c r="S165" s="21"/>
      <x:c r="T165" s="21"/>
      <x:c r="U165" s="21"/>
      <x:c r="V165" s="21"/>
      <x:c r="W165" s="21"/>
      <x:c r="X165" s="21"/>
      <x:c r="Y165" s="25"/>
      <x:c r="Z165" s="21"/>
    </x:row>
    <x:row r="166">
      <x:c r="A166" s="21"/>
      <x:c r="B166" s="21"/>
      <x:c r="C166" s="21"/>
      <x:c r="D166" s="21"/>
      <x:c r="E166" s="21"/>
      <x:c r="F166" s="21"/>
      <x:c r="G166" s="21"/>
      <x:c r="H166" s="21"/>
      <x:c r="I166" s="21"/>
      <x:c r="J166" s="31"/>
      <x:c r="K166" s="31"/>
      <x:c r="L166" s="31"/>
      <x:c r="M166" s="31"/>
      <x:c r="N166" s="21"/>
      <x:c r="O166" s="33"/>
      <x:c r="P166" s="27"/>
      <x:c r="Q166" s="21"/>
      <x:c r="R166" s="21"/>
      <x:c r="S166" s="21"/>
      <x:c r="T166" s="21"/>
      <x:c r="U166" s="21"/>
      <x:c r="V166" s="21"/>
      <x:c r="W166" s="21"/>
      <x:c r="X166" s="21"/>
      <x:c r="Y166" s="25"/>
      <x:c r="Z166" s="21"/>
    </x:row>
    <x:row r="167">
      <x:c r="A167" s="21"/>
      <x:c r="B167" s="21"/>
      <x:c r="C167" s="21"/>
      <x:c r="D167" s="21"/>
      <x:c r="E167" s="21"/>
      <x:c r="F167" s="21"/>
      <x:c r="G167" s="21"/>
      <x:c r="H167" s="21"/>
      <x:c r="I167" s="21"/>
      <x:c r="J167" s="31"/>
      <x:c r="K167" s="31"/>
      <x:c r="L167" s="31"/>
      <x:c r="M167" s="31"/>
      <x:c r="N167" s="21"/>
      <x:c r="O167" s="33"/>
      <x:c r="P167" s="27"/>
      <x:c r="Q167" s="21"/>
      <x:c r="R167" s="21"/>
      <x:c r="S167" s="21"/>
      <x:c r="T167" s="21"/>
      <x:c r="U167" s="21"/>
      <x:c r="V167" s="21"/>
      <x:c r="W167" s="21"/>
      <x:c r="X167" s="21"/>
      <x:c r="Y167" s="25"/>
      <x:c r="Z167" s="21"/>
    </x:row>
    <x:row r="168">
      <x:c r="A168" s="21"/>
      <x:c r="B168" s="21"/>
      <x:c r="C168" s="21"/>
      <x:c r="D168" s="21"/>
      <x:c r="E168" s="21"/>
      <x:c r="F168" s="21"/>
      <x:c r="G168" s="21"/>
      <x:c r="H168" s="21"/>
      <x:c r="I168" s="21"/>
      <x:c r="J168" s="31"/>
      <x:c r="K168" s="31"/>
      <x:c r="L168" s="31"/>
      <x:c r="M168" s="31"/>
      <x:c r="N168" s="21"/>
      <x:c r="O168" s="33"/>
      <x:c r="P168" s="27"/>
      <x:c r="Q168" s="21"/>
      <x:c r="R168" s="21"/>
      <x:c r="S168" s="21"/>
      <x:c r="T168" s="21"/>
      <x:c r="U168" s="21"/>
      <x:c r="V168" s="21"/>
      <x:c r="W168" s="21"/>
      <x:c r="X168" s="21"/>
      <x:c r="Y168" s="25"/>
      <x:c r="Z168" s="21"/>
    </x:row>
    <x:row r="169">
      <x:c r="A169" s="21"/>
      <x:c r="B169" s="21"/>
      <x:c r="C169" s="21"/>
      <x:c r="D169" s="21"/>
      <x:c r="E169" s="21"/>
      <x:c r="F169" s="21"/>
      <x:c r="G169" s="21"/>
      <x:c r="H169" s="21"/>
      <x:c r="I169" s="21"/>
      <x:c r="J169" s="31"/>
      <x:c r="K169" s="31"/>
      <x:c r="L169" s="31"/>
      <x:c r="M169" s="31"/>
      <x:c r="N169" s="21"/>
      <x:c r="O169" s="33"/>
      <x:c r="P169" s="27"/>
      <x:c r="Q169" s="21"/>
      <x:c r="R169" s="21"/>
      <x:c r="S169" s="21"/>
      <x:c r="T169" s="21"/>
      <x:c r="U169" s="21"/>
      <x:c r="V169" s="21"/>
      <x:c r="W169" s="21"/>
      <x:c r="X169" s="21"/>
      <x:c r="Y169" s="25"/>
      <x:c r="Z169" s="21"/>
    </x:row>
    <x:row r="170">
      <x:c r="A170" s="21"/>
      <x:c r="B170" s="21"/>
      <x:c r="C170" s="21"/>
      <x:c r="D170" s="21"/>
      <x:c r="E170" s="21"/>
      <x:c r="F170" s="21"/>
      <x:c r="G170" s="21"/>
      <x:c r="H170" s="21"/>
      <x:c r="I170" s="21"/>
      <x:c r="J170" s="31"/>
      <x:c r="K170" s="31"/>
      <x:c r="L170" s="31"/>
      <x:c r="M170" s="31"/>
      <x:c r="N170" s="21"/>
      <x:c r="O170" s="33"/>
      <x:c r="P170" s="27"/>
      <x:c r="Q170" s="21"/>
      <x:c r="R170" s="21"/>
      <x:c r="S170" s="21"/>
      <x:c r="T170" s="21"/>
      <x:c r="U170" s="21"/>
      <x:c r="V170" s="21"/>
      <x:c r="W170" s="21"/>
      <x:c r="X170" s="21"/>
      <x:c r="Y170" s="25"/>
      <x:c r="Z170" s="21"/>
    </x:row>
    <x:row r="171">
      <x:c r="A171" s="21"/>
      <x:c r="B171" s="21"/>
      <x:c r="C171" s="21"/>
      <x:c r="D171" s="21"/>
      <x:c r="E171" s="21"/>
      <x:c r="F171" s="21"/>
      <x:c r="G171" s="21"/>
      <x:c r="H171" s="21"/>
      <x:c r="I171" s="21"/>
      <x:c r="J171" s="31"/>
      <x:c r="K171" s="31"/>
      <x:c r="L171" s="31"/>
      <x:c r="M171" s="31"/>
      <x:c r="N171" s="21"/>
      <x:c r="O171" s="33"/>
      <x:c r="P171" s="27"/>
      <x:c r="Q171" s="21"/>
      <x:c r="R171" s="21"/>
      <x:c r="S171" s="21"/>
      <x:c r="T171" s="21"/>
      <x:c r="U171" s="21"/>
      <x:c r="V171" s="21"/>
      <x:c r="W171" s="21"/>
      <x:c r="X171" s="21"/>
      <x:c r="Y171" s="25"/>
      <x:c r="Z171" s="21"/>
    </x:row>
    <x:row r="172">
      <x:c r="A172" s="21"/>
      <x:c r="B172" s="21"/>
      <x:c r="C172" s="21"/>
      <x:c r="D172" s="21"/>
      <x:c r="E172" s="21"/>
      <x:c r="F172" s="21"/>
      <x:c r="G172" s="21"/>
      <x:c r="H172" s="21"/>
      <x:c r="I172" s="21"/>
      <x:c r="J172" s="31"/>
      <x:c r="K172" s="31"/>
      <x:c r="L172" s="31"/>
      <x:c r="M172" s="31"/>
      <x:c r="N172" s="21"/>
      <x:c r="O172" s="33"/>
      <x:c r="P172" s="27"/>
      <x:c r="Q172" s="21"/>
      <x:c r="R172" s="21"/>
      <x:c r="S172" s="21"/>
      <x:c r="T172" s="21"/>
      <x:c r="U172" s="21"/>
      <x:c r="V172" s="21"/>
      <x:c r="W172" s="21"/>
      <x:c r="X172" s="21"/>
      <x:c r="Y172" s="25"/>
      <x:c r="Z172" s="21"/>
    </x:row>
    <x:row r="173">
      <x:c r="A173" s="21"/>
      <x:c r="B173" s="21"/>
      <x:c r="C173" s="21"/>
      <x:c r="D173" s="21"/>
      <x:c r="E173" s="21"/>
      <x:c r="F173" s="21"/>
      <x:c r="G173" s="21"/>
      <x:c r="H173" s="21"/>
      <x:c r="I173" s="21"/>
      <x:c r="J173" s="31"/>
      <x:c r="K173" s="31"/>
      <x:c r="L173" s="31"/>
      <x:c r="M173" s="31"/>
      <x:c r="N173" s="21"/>
      <x:c r="O173" s="33"/>
      <x:c r="P173" s="27"/>
      <x:c r="Q173" s="21"/>
      <x:c r="R173" s="21"/>
      <x:c r="S173" s="21"/>
      <x:c r="T173" s="21"/>
      <x:c r="U173" s="21"/>
      <x:c r="V173" s="21"/>
      <x:c r="W173" s="21"/>
      <x:c r="X173" s="21"/>
      <x:c r="Y173" s="25"/>
      <x:c r="Z173" s="21"/>
    </x:row>
    <x:row r="174">
      <x:c r="A174" s="21"/>
      <x:c r="B174" s="21"/>
      <x:c r="C174" s="21"/>
      <x:c r="D174" s="21"/>
      <x:c r="E174" s="21"/>
      <x:c r="F174" s="21"/>
      <x:c r="G174" s="21"/>
      <x:c r="H174" s="21"/>
      <x:c r="I174" s="21"/>
      <x:c r="J174" s="31"/>
      <x:c r="K174" s="31"/>
      <x:c r="L174" s="31"/>
      <x:c r="M174" s="31"/>
      <x:c r="N174" s="21"/>
      <x:c r="O174" s="33"/>
      <x:c r="P174" s="27"/>
      <x:c r="Q174" s="21"/>
      <x:c r="R174" s="21"/>
      <x:c r="S174" s="21"/>
      <x:c r="T174" s="21"/>
      <x:c r="U174" s="21"/>
      <x:c r="V174" s="21"/>
      <x:c r="W174" s="21"/>
      <x:c r="X174" s="21"/>
      <x:c r="Y174" s="25"/>
      <x:c r="Z174" s="21"/>
    </x:row>
    <x:row r="175">
      <x:c r="A175" s="21"/>
      <x:c r="B175" s="21"/>
      <x:c r="C175" s="21"/>
      <x:c r="D175" s="21"/>
      <x:c r="E175" s="21"/>
      <x:c r="F175" s="21"/>
      <x:c r="G175" s="21"/>
      <x:c r="H175" s="21"/>
      <x:c r="I175" s="21"/>
      <x:c r="J175" s="31"/>
      <x:c r="K175" s="31"/>
      <x:c r="L175" s="31"/>
      <x:c r="M175" s="31"/>
      <x:c r="N175" s="21"/>
      <x:c r="O175" s="33"/>
      <x:c r="P175" s="27"/>
      <x:c r="Q175" s="21"/>
      <x:c r="R175" s="21"/>
      <x:c r="S175" s="21"/>
      <x:c r="T175" s="21"/>
      <x:c r="U175" s="21"/>
      <x:c r="V175" s="21"/>
      <x:c r="W175" s="21"/>
      <x:c r="X175" s="21"/>
      <x:c r="Y175" s="25"/>
      <x:c r="Z175" s="21"/>
    </x:row>
    <x:row r="176">
      <x:c r="A176" s="21"/>
      <x:c r="B176" s="21"/>
      <x:c r="C176" s="21"/>
      <x:c r="D176" s="21"/>
      <x:c r="E176" s="21"/>
      <x:c r="F176" s="21"/>
      <x:c r="G176" s="21"/>
      <x:c r="H176" s="21"/>
      <x:c r="I176" s="21"/>
      <x:c r="J176" s="31"/>
      <x:c r="K176" s="31"/>
      <x:c r="L176" s="31"/>
      <x:c r="M176" s="31"/>
      <x:c r="N176" s="21"/>
      <x:c r="O176" s="33"/>
      <x:c r="P176" s="27"/>
      <x:c r="Q176" s="21"/>
      <x:c r="R176" s="21"/>
      <x:c r="S176" s="21"/>
      <x:c r="T176" s="21"/>
      <x:c r="U176" s="21"/>
      <x:c r="V176" s="21"/>
      <x:c r="W176" s="21"/>
      <x:c r="X176" s="21"/>
      <x:c r="Y176" s="25"/>
      <x:c r="Z176" s="21"/>
    </x:row>
    <x:row r="177">
      <x:c r="A177" s="21"/>
      <x:c r="B177" s="21"/>
      <x:c r="C177" s="21"/>
      <x:c r="D177" s="21"/>
      <x:c r="E177" s="21"/>
      <x:c r="F177" s="21"/>
      <x:c r="G177" s="21"/>
      <x:c r="H177" s="21"/>
      <x:c r="I177" s="21"/>
      <x:c r="J177" s="31"/>
      <x:c r="K177" s="31"/>
      <x:c r="L177" s="31"/>
      <x:c r="M177" s="31"/>
      <x:c r="N177" s="21"/>
      <x:c r="O177" s="33"/>
      <x:c r="P177" s="27"/>
      <x:c r="Q177" s="21"/>
      <x:c r="R177" s="21"/>
      <x:c r="S177" s="21"/>
      <x:c r="T177" s="21"/>
      <x:c r="U177" s="21"/>
      <x:c r="V177" s="21"/>
      <x:c r="W177" s="21"/>
      <x:c r="X177" s="21"/>
      <x:c r="Y177" s="25"/>
      <x:c r="Z177" s="21"/>
    </x:row>
    <x:row r="178">
      <x:c r="A178" s="21"/>
      <x:c r="B178" s="21"/>
      <x:c r="C178" s="21"/>
      <x:c r="D178" s="21"/>
      <x:c r="E178" s="21"/>
      <x:c r="F178" s="21"/>
      <x:c r="G178" s="21"/>
      <x:c r="H178" s="21"/>
      <x:c r="I178" s="21"/>
      <x:c r="J178" s="31"/>
      <x:c r="K178" s="31"/>
      <x:c r="L178" s="31"/>
      <x:c r="M178" s="31"/>
      <x:c r="N178" s="21"/>
      <x:c r="O178" s="33"/>
      <x:c r="P178" s="27"/>
      <x:c r="Q178" s="21"/>
      <x:c r="R178" s="21"/>
      <x:c r="S178" s="21"/>
      <x:c r="T178" s="21"/>
      <x:c r="U178" s="21"/>
      <x:c r="V178" s="21"/>
      <x:c r="W178" s="21"/>
      <x:c r="X178" s="21"/>
      <x:c r="Y178" s="25"/>
      <x:c r="Z178" s="21"/>
    </x:row>
    <x:row r="179">
      <x:c r="A179" s="21"/>
      <x:c r="B179" s="21"/>
      <x:c r="C179" s="21"/>
      <x:c r="D179" s="21"/>
      <x:c r="E179" s="21"/>
      <x:c r="F179" s="21"/>
      <x:c r="G179" s="21"/>
      <x:c r="H179" s="21"/>
      <x:c r="I179" s="21"/>
      <x:c r="J179" s="31"/>
      <x:c r="K179" s="31"/>
      <x:c r="L179" s="31"/>
      <x:c r="M179" s="31"/>
      <x:c r="N179" s="21"/>
      <x:c r="O179" s="33"/>
      <x:c r="P179" s="27"/>
      <x:c r="Q179" s="21"/>
      <x:c r="R179" s="21"/>
      <x:c r="S179" s="21"/>
      <x:c r="T179" s="21"/>
      <x:c r="U179" s="21"/>
      <x:c r="V179" s="21"/>
      <x:c r="W179" s="21"/>
      <x:c r="X179" s="21"/>
      <x:c r="Y179" s="25"/>
      <x:c r="Z179" s="21"/>
    </x:row>
    <x:row r="180">
      <x:c r="A180" s="21"/>
      <x:c r="B180" s="21"/>
      <x:c r="C180" s="21"/>
      <x:c r="D180" s="21"/>
      <x:c r="E180" s="21"/>
      <x:c r="F180" s="21"/>
      <x:c r="G180" s="21"/>
      <x:c r="H180" s="21"/>
      <x:c r="I180" s="21"/>
      <x:c r="J180" s="31"/>
      <x:c r="K180" s="31"/>
      <x:c r="L180" s="31"/>
      <x:c r="M180" s="31"/>
      <x:c r="N180" s="21"/>
      <x:c r="O180" s="33"/>
      <x:c r="P180" s="27"/>
      <x:c r="Q180" s="21"/>
      <x:c r="R180" s="21"/>
      <x:c r="S180" s="21"/>
      <x:c r="T180" s="21"/>
      <x:c r="U180" s="21"/>
      <x:c r="V180" s="21"/>
      <x:c r="W180" s="21"/>
      <x:c r="X180" s="21"/>
      <x:c r="Y180" s="25"/>
      <x:c r="Z180" s="21"/>
    </x:row>
    <x:row r="181">
      <x:c r="A181" s="21"/>
      <x:c r="B181" s="21"/>
      <x:c r="C181" s="21"/>
      <x:c r="D181" s="21"/>
      <x:c r="E181" s="21"/>
      <x:c r="F181" s="21"/>
      <x:c r="G181" s="21"/>
      <x:c r="H181" s="21"/>
      <x:c r="I181" s="21"/>
      <x:c r="J181" s="31"/>
      <x:c r="K181" s="31"/>
      <x:c r="L181" s="31"/>
      <x:c r="M181" s="31"/>
      <x:c r="N181" s="21"/>
      <x:c r="O181" s="33"/>
      <x:c r="P181" s="27"/>
      <x:c r="Q181" s="21"/>
      <x:c r="R181" s="21"/>
      <x:c r="S181" s="21"/>
      <x:c r="T181" s="21"/>
      <x:c r="U181" s="21"/>
      <x:c r="V181" s="21"/>
      <x:c r="W181" s="21"/>
      <x:c r="X181" s="21"/>
      <x:c r="Y181" s="25"/>
      <x:c r="Z181" s="21"/>
    </x:row>
    <x:row r="182">
      <x:c r="A182" s="21"/>
      <x:c r="B182" s="21"/>
      <x:c r="C182" s="21"/>
      <x:c r="D182" s="21"/>
      <x:c r="E182" s="21"/>
      <x:c r="F182" s="21"/>
      <x:c r="G182" s="21"/>
      <x:c r="H182" s="21"/>
      <x:c r="I182" s="21"/>
      <x:c r="J182" s="31"/>
      <x:c r="K182" s="31"/>
      <x:c r="L182" s="31"/>
      <x:c r="M182" s="31"/>
      <x:c r="N182" s="21"/>
      <x:c r="O182" s="33"/>
      <x:c r="P182" s="27"/>
      <x:c r="Q182" s="21"/>
      <x:c r="R182" s="21"/>
      <x:c r="S182" s="21"/>
      <x:c r="T182" s="21"/>
      <x:c r="U182" s="21"/>
      <x:c r="V182" s="21"/>
      <x:c r="W182" s="21"/>
      <x:c r="X182" s="21"/>
      <x:c r="Y182" s="25"/>
      <x:c r="Z182" s="21"/>
    </x:row>
    <x:row r="183">
      <x:c r="A183" s="21"/>
      <x:c r="B183" s="21"/>
      <x:c r="C183" s="21"/>
      <x:c r="D183" s="21"/>
      <x:c r="E183" s="21"/>
      <x:c r="F183" s="21"/>
      <x:c r="G183" s="21"/>
      <x:c r="H183" s="21"/>
      <x:c r="I183" s="21"/>
      <x:c r="J183" s="31"/>
      <x:c r="K183" s="31"/>
      <x:c r="L183" s="31"/>
      <x:c r="M183" s="31"/>
      <x:c r="N183" s="21"/>
      <x:c r="O183" s="33"/>
      <x:c r="P183" s="27"/>
      <x:c r="Q183" s="21"/>
      <x:c r="R183" s="21"/>
      <x:c r="S183" s="21"/>
      <x:c r="T183" s="21"/>
      <x:c r="U183" s="21"/>
      <x:c r="V183" s="21"/>
      <x:c r="W183" s="21"/>
      <x:c r="X183" s="21"/>
      <x:c r="Y183" s="25"/>
      <x:c r="Z183" s="21"/>
    </x:row>
    <x:row r="184">
      <x:c r="A184" s="21"/>
      <x:c r="B184" s="21"/>
      <x:c r="C184" s="21"/>
      <x:c r="D184" s="21"/>
      <x:c r="E184" s="21"/>
      <x:c r="F184" s="21"/>
      <x:c r="G184" s="21"/>
      <x:c r="H184" s="21"/>
      <x:c r="I184" s="21"/>
      <x:c r="J184" s="31"/>
      <x:c r="K184" s="31"/>
      <x:c r="L184" s="31"/>
      <x:c r="M184" s="31"/>
      <x:c r="N184" s="21"/>
      <x:c r="O184" s="33"/>
      <x:c r="P184" s="27"/>
      <x:c r="Q184" s="21"/>
      <x:c r="R184" s="21"/>
      <x:c r="S184" s="21"/>
      <x:c r="T184" s="21"/>
      <x:c r="U184" s="21"/>
      <x:c r="V184" s="21"/>
      <x:c r="W184" s="21"/>
      <x:c r="X184" s="21"/>
      <x:c r="Y184" s="25"/>
      <x:c r="Z184" s="21"/>
    </x:row>
    <x:row r="185">
      <x:c r="A185" s="21"/>
      <x:c r="B185" s="21"/>
      <x:c r="C185" s="21"/>
      <x:c r="D185" s="21"/>
      <x:c r="E185" s="21"/>
      <x:c r="F185" s="21"/>
      <x:c r="G185" s="21"/>
      <x:c r="H185" s="21"/>
      <x:c r="I185" s="21"/>
      <x:c r="J185" s="31"/>
      <x:c r="K185" s="31"/>
      <x:c r="L185" s="31"/>
      <x:c r="M185" s="31"/>
      <x:c r="N185" s="21"/>
      <x:c r="O185" s="33"/>
      <x:c r="P185" s="27"/>
      <x:c r="Q185" s="21"/>
      <x:c r="R185" s="21"/>
      <x:c r="S185" s="21"/>
      <x:c r="T185" s="21"/>
      <x:c r="U185" s="21"/>
      <x:c r="V185" s="21"/>
      <x:c r="W185" s="21"/>
      <x:c r="X185" s="21"/>
      <x:c r="Y185" s="25"/>
      <x:c r="Z185" s="21"/>
    </x:row>
    <x:row r="186">
      <x:c r="A186" s="21"/>
      <x:c r="B186" s="21"/>
      <x:c r="C186" s="21"/>
      <x:c r="D186" s="21"/>
      <x:c r="E186" s="21"/>
      <x:c r="F186" s="21"/>
      <x:c r="G186" s="21"/>
      <x:c r="H186" s="21"/>
      <x:c r="I186" s="21"/>
      <x:c r="J186" s="31"/>
      <x:c r="K186" s="31"/>
      <x:c r="L186" s="31"/>
      <x:c r="M186" s="31"/>
      <x:c r="N186" s="21"/>
      <x:c r="O186" s="33"/>
      <x:c r="P186" s="27"/>
      <x:c r="Q186" s="21"/>
      <x:c r="R186" s="21"/>
      <x:c r="S186" s="21"/>
      <x:c r="T186" s="21"/>
      <x:c r="U186" s="21"/>
      <x:c r="V186" s="21"/>
      <x:c r="W186" s="21"/>
      <x:c r="X186" s="21"/>
      <x:c r="Y186" s="25"/>
      <x:c r="Z186" s="21"/>
    </x:row>
    <x:row r="187">
      <x:c r="A187" s="21"/>
      <x:c r="B187" s="21"/>
      <x:c r="C187" s="21"/>
      <x:c r="D187" s="21"/>
      <x:c r="E187" s="21"/>
      <x:c r="F187" s="21"/>
      <x:c r="G187" s="21"/>
      <x:c r="H187" s="21"/>
      <x:c r="I187" s="21"/>
      <x:c r="J187" s="31"/>
      <x:c r="K187" s="31"/>
      <x:c r="L187" s="31"/>
      <x:c r="M187" s="31"/>
      <x:c r="N187" s="21"/>
      <x:c r="O187" s="33"/>
      <x:c r="P187" s="27"/>
      <x:c r="Q187" s="21"/>
      <x:c r="R187" s="21"/>
      <x:c r="S187" s="21"/>
      <x:c r="T187" s="21"/>
      <x:c r="U187" s="21"/>
      <x:c r="V187" s="21"/>
      <x:c r="W187" s="21"/>
      <x:c r="X187" s="21"/>
      <x:c r="Y187" s="25"/>
      <x:c r="Z187" s="21"/>
    </x:row>
    <x:row r="188">
      <x:c r="A188" s="21"/>
      <x:c r="B188" s="21"/>
      <x:c r="C188" s="21"/>
      <x:c r="D188" s="21"/>
      <x:c r="E188" s="21"/>
      <x:c r="F188" s="21"/>
      <x:c r="G188" s="21"/>
      <x:c r="H188" s="21"/>
      <x:c r="I188" s="21"/>
      <x:c r="J188" s="31"/>
      <x:c r="K188" s="31"/>
      <x:c r="L188" s="31"/>
      <x:c r="M188" s="31"/>
      <x:c r="N188" s="21"/>
      <x:c r="O188" s="33"/>
      <x:c r="P188" s="27"/>
      <x:c r="Q188" s="21"/>
      <x:c r="R188" s="21"/>
      <x:c r="S188" s="21"/>
      <x:c r="T188" s="21"/>
      <x:c r="U188" s="21"/>
      <x:c r="V188" s="21"/>
      <x:c r="W188" s="21"/>
      <x:c r="X188" s="21"/>
      <x:c r="Y188" s="25"/>
      <x:c r="Z188" s="21"/>
    </x:row>
    <x:row r="189">
      <x:c r="A189" s="21"/>
      <x:c r="B189" s="21"/>
      <x:c r="C189" s="21"/>
      <x:c r="D189" s="21"/>
      <x:c r="E189" s="21"/>
      <x:c r="F189" s="21"/>
      <x:c r="G189" s="21"/>
      <x:c r="H189" s="21"/>
      <x:c r="I189" s="21"/>
      <x:c r="J189" s="31"/>
      <x:c r="K189" s="31"/>
      <x:c r="L189" s="31"/>
      <x:c r="M189" s="31"/>
      <x:c r="N189" s="21"/>
      <x:c r="O189" s="33"/>
      <x:c r="P189" s="27"/>
      <x:c r="Q189" s="21"/>
      <x:c r="R189" s="21"/>
      <x:c r="S189" s="21"/>
      <x:c r="T189" s="21"/>
      <x:c r="U189" s="21"/>
      <x:c r="V189" s="21"/>
      <x:c r="W189" s="21"/>
      <x:c r="X189" s="21"/>
      <x:c r="Y189" s="25"/>
      <x:c r="Z189" s="21"/>
    </x:row>
    <x:row r="190">
      <x:c r="A190" s="21"/>
      <x:c r="B190" s="21"/>
      <x:c r="C190" s="21"/>
      <x:c r="D190" s="21"/>
      <x:c r="E190" s="21"/>
      <x:c r="F190" s="21"/>
      <x:c r="G190" s="21"/>
      <x:c r="H190" s="21"/>
      <x:c r="I190" s="21"/>
      <x:c r="J190" s="31"/>
      <x:c r="K190" s="31"/>
      <x:c r="L190" s="31"/>
      <x:c r="M190" s="31"/>
      <x:c r="N190" s="21"/>
      <x:c r="O190" s="33"/>
      <x:c r="P190" s="27"/>
      <x:c r="Q190" s="21"/>
      <x:c r="R190" s="21"/>
      <x:c r="S190" s="21"/>
      <x:c r="T190" s="21"/>
      <x:c r="U190" s="21"/>
      <x:c r="V190" s="21"/>
      <x:c r="W190" s="21"/>
      <x:c r="X190" s="21"/>
      <x:c r="Y190" s="25"/>
      <x:c r="Z190" s="21"/>
    </x:row>
    <x:row r="191">
      <x:c r="A191" s="21"/>
      <x:c r="B191" s="21"/>
      <x:c r="C191" s="21"/>
      <x:c r="D191" s="21"/>
      <x:c r="E191" s="21"/>
      <x:c r="F191" s="21"/>
      <x:c r="G191" s="21"/>
      <x:c r="H191" s="21"/>
      <x:c r="I191" s="21"/>
      <x:c r="J191" s="31"/>
      <x:c r="K191" s="31"/>
      <x:c r="L191" s="31"/>
      <x:c r="M191" s="31"/>
      <x:c r="N191" s="21"/>
      <x:c r="O191" s="33"/>
      <x:c r="P191" s="27"/>
      <x:c r="Q191" s="21"/>
      <x:c r="R191" s="21"/>
      <x:c r="S191" s="21"/>
      <x:c r="T191" s="21"/>
      <x:c r="U191" s="21"/>
      <x:c r="V191" s="21"/>
      <x:c r="W191" s="21"/>
      <x:c r="X191" s="21"/>
      <x:c r="Y191" s="25"/>
      <x:c r="Z191" s="21"/>
    </x:row>
    <x:row r="192">
      <x:c r="A192" s="21"/>
      <x:c r="B192" s="21"/>
      <x:c r="C192" s="21"/>
      <x:c r="D192" s="21"/>
      <x:c r="E192" s="21"/>
      <x:c r="F192" s="21"/>
      <x:c r="G192" s="21"/>
      <x:c r="H192" s="21"/>
      <x:c r="I192" s="21"/>
      <x:c r="J192" s="31"/>
      <x:c r="K192" s="31"/>
      <x:c r="L192" s="31"/>
      <x:c r="M192" s="31"/>
      <x:c r="N192" s="21"/>
      <x:c r="O192" s="33"/>
      <x:c r="P192" s="27"/>
      <x:c r="Q192" s="21"/>
      <x:c r="R192" s="21"/>
      <x:c r="S192" s="21"/>
      <x:c r="T192" s="21"/>
      <x:c r="U192" s="21"/>
      <x:c r="V192" s="21"/>
      <x:c r="W192" s="21"/>
      <x:c r="X192" s="21"/>
      <x:c r="Y192" s="25"/>
      <x:c r="Z192" s="21"/>
    </x:row>
    <x:row r="193">
      <x:c r="A193" s="21"/>
      <x:c r="B193" s="21"/>
      <x:c r="C193" s="21"/>
      <x:c r="D193" s="21"/>
      <x:c r="E193" s="21"/>
      <x:c r="F193" s="21"/>
      <x:c r="G193" s="21"/>
      <x:c r="H193" s="21"/>
      <x:c r="I193" s="21"/>
      <x:c r="J193" s="31"/>
      <x:c r="K193" s="31"/>
      <x:c r="L193" s="31"/>
      <x:c r="M193" s="31"/>
      <x:c r="N193" s="21"/>
      <x:c r="O193" s="33"/>
      <x:c r="P193" s="27"/>
      <x:c r="Q193" s="21"/>
      <x:c r="R193" s="21"/>
      <x:c r="S193" s="21"/>
      <x:c r="T193" s="21"/>
      <x:c r="U193" s="21"/>
      <x:c r="V193" s="21"/>
      <x:c r="W193" s="21"/>
      <x:c r="X193" s="21"/>
      <x:c r="Y193" s="25"/>
      <x:c r="Z193" s="21"/>
    </x:row>
    <x:row r="194">
      <x:c r="A194" s="21"/>
      <x:c r="B194" s="21"/>
      <x:c r="C194" s="21"/>
      <x:c r="D194" s="21"/>
      <x:c r="E194" s="21"/>
      <x:c r="F194" s="21"/>
      <x:c r="G194" s="21"/>
      <x:c r="H194" s="21"/>
      <x:c r="I194" s="21"/>
      <x:c r="J194" s="31"/>
      <x:c r="K194" s="31"/>
      <x:c r="L194" s="31"/>
      <x:c r="M194" s="31"/>
      <x:c r="N194" s="21"/>
      <x:c r="O194" s="33"/>
      <x:c r="P194" s="27"/>
      <x:c r="Q194" s="21"/>
      <x:c r="R194" s="21"/>
      <x:c r="S194" s="21"/>
      <x:c r="T194" s="21"/>
      <x:c r="U194" s="21"/>
      <x:c r="V194" s="21"/>
      <x:c r="W194" s="21"/>
      <x:c r="X194" s="21"/>
      <x:c r="Y194" s="25"/>
      <x:c r="Z194" s="21"/>
    </x:row>
    <x:row r="195">
      <x:c r="A195" s="21"/>
      <x:c r="B195" s="21"/>
      <x:c r="C195" s="21"/>
      <x:c r="D195" s="21"/>
      <x:c r="E195" s="21"/>
      <x:c r="F195" s="21"/>
      <x:c r="G195" s="21"/>
      <x:c r="H195" s="21"/>
      <x:c r="I195" s="21"/>
      <x:c r="J195" s="31"/>
      <x:c r="K195" s="31"/>
      <x:c r="L195" s="31"/>
      <x:c r="M195" s="31"/>
      <x:c r="N195" s="21"/>
      <x:c r="O195" s="33"/>
      <x:c r="P195" s="27"/>
      <x:c r="Q195" s="21"/>
      <x:c r="R195" s="21"/>
      <x:c r="S195" s="21"/>
      <x:c r="T195" s="21"/>
      <x:c r="U195" s="21"/>
      <x:c r="V195" s="21"/>
      <x:c r="W195" s="21"/>
      <x:c r="X195" s="21"/>
      <x:c r="Y195" s="25"/>
      <x:c r="Z195" s="21"/>
    </x:row>
    <x:row r="196">
      <x:c r="A196" s="21"/>
      <x:c r="B196" s="21"/>
      <x:c r="C196" s="21"/>
      <x:c r="D196" s="21"/>
      <x:c r="E196" s="21"/>
      <x:c r="F196" s="21"/>
      <x:c r="G196" s="21"/>
      <x:c r="H196" s="21"/>
      <x:c r="I196" s="21"/>
      <x:c r="J196" s="31"/>
      <x:c r="K196" s="31"/>
      <x:c r="L196" s="31"/>
      <x:c r="M196" s="31"/>
      <x:c r="N196" s="21"/>
      <x:c r="O196" s="33"/>
      <x:c r="P196" s="27"/>
      <x:c r="Q196" s="21"/>
      <x:c r="R196" s="21"/>
      <x:c r="S196" s="21"/>
      <x:c r="T196" s="21"/>
      <x:c r="U196" s="21"/>
      <x:c r="V196" s="21"/>
      <x:c r="W196" s="21"/>
      <x:c r="X196" s="21"/>
      <x:c r="Y196" s="25"/>
      <x:c r="Z196" s="21"/>
    </x:row>
    <x:row r="197">
      <x:c r="A197" s="21"/>
      <x:c r="B197" s="21"/>
      <x:c r="C197" s="21"/>
      <x:c r="D197" s="21"/>
      <x:c r="E197" s="21"/>
      <x:c r="F197" s="21"/>
      <x:c r="G197" s="21"/>
      <x:c r="H197" s="21"/>
      <x:c r="I197" s="21"/>
      <x:c r="J197" s="31"/>
      <x:c r="K197" s="31"/>
      <x:c r="L197" s="31"/>
      <x:c r="M197" s="31"/>
      <x:c r="N197" s="21"/>
      <x:c r="O197" s="33"/>
      <x:c r="P197" s="27"/>
      <x:c r="Q197" s="21"/>
      <x:c r="R197" s="21"/>
      <x:c r="S197" s="21"/>
      <x:c r="T197" s="21"/>
      <x:c r="U197" s="21"/>
      <x:c r="V197" s="21"/>
      <x:c r="W197" s="21"/>
      <x:c r="X197" s="21"/>
      <x:c r="Y197" s="25"/>
      <x:c r="Z197" s="21"/>
    </x:row>
    <x:row r="198">
      <x:c r="A198" s="21"/>
      <x:c r="B198" s="21"/>
      <x:c r="C198" s="21"/>
      <x:c r="D198" s="21"/>
      <x:c r="E198" s="21"/>
      <x:c r="F198" s="21"/>
      <x:c r="G198" s="21"/>
      <x:c r="H198" s="21"/>
      <x:c r="I198" s="21"/>
      <x:c r="J198" s="31"/>
      <x:c r="K198" s="31"/>
      <x:c r="L198" s="31"/>
      <x:c r="M198" s="31"/>
      <x:c r="N198" s="21"/>
      <x:c r="O198" s="33"/>
      <x:c r="P198" s="27"/>
      <x:c r="Q198" s="21"/>
      <x:c r="R198" s="21"/>
      <x:c r="S198" s="21"/>
      <x:c r="T198" s="21"/>
      <x:c r="U198" s="21"/>
      <x:c r="V198" s="21"/>
      <x:c r="W198" s="21"/>
      <x:c r="X198" s="21"/>
      <x:c r="Y198" s="25"/>
      <x:c r="Z198" s="21"/>
    </x:row>
    <x:row r="199">
      <x:c r="A199" s="21"/>
      <x:c r="B199" s="21"/>
      <x:c r="C199" s="21"/>
      <x:c r="D199" s="21"/>
      <x:c r="E199" s="21"/>
      <x:c r="F199" s="21"/>
      <x:c r="G199" s="21"/>
      <x:c r="H199" s="21"/>
      <x:c r="I199" s="21"/>
      <x:c r="J199" s="31"/>
      <x:c r="K199" s="31"/>
      <x:c r="L199" s="31"/>
      <x:c r="M199" s="31"/>
      <x:c r="N199" s="21"/>
      <x:c r="O199" s="33"/>
      <x:c r="P199" s="27"/>
      <x:c r="Q199" s="21"/>
      <x:c r="R199" s="21"/>
      <x:c r="S199" s="21"/>
      <x:c r="T199" s="21"/>
      <x:c r="U199" s="21"/>
      <x:c r="V199" s="21"/>
      <x:c r="W199" s="21"/>
      <x:c r="X199" s="21"/>
      <x:c r="Y199" s="25"/>
      <x:c r="Z199" s="21"/>
    </x:row>
    <x:row r="200">
      <x:c r="A200" s="21"/>
      <x:c r="B200" s="21"/>
      <x:c r="C200" s="21"/>
      <x:c r="D200" s="21"/>
      <x:c r="E200" s="21"/>
      <x:c r="F200" s="21"/>
      <x:c r="G200" s="21"/>
      <x:c r="H200" s="21"/>
      <x:c r="I200" s="21"/>
      <x:c r="J200" s="31"/>
      <x:c r="K200" s="31"/>
      <x:c r="L200" s="31"/>
      <x:c r="M200" s="31"/>
      <x:c r="N200" s="21"/>
      <x:c r="O200" s="33"/>
      <x:c r="P200" s="27"/>
      <x:c r="Q200" s="21"/>
      <x:c r="R200" s="21"/>
      <x:c r="S200" s="21"/>
      <x:c r="T200" s="21"/>
      <x:c r="U200" s="21"/>
      <x:c r="V200" s="21"/>
      <x:c r="W200" s="21"/>
      <x:c r="X200" s="21"/>
      <x:c r="Y200" s="25"/>
      <x:c r="Z200" s="21"/>
    </x:row>
    <x:row r="201">
      <x:c r="A201" s="21"/>
      <x:c r="B201" s="21"/>
      <x:c r="C201" s="21"/>
      <x:c r="D201" s="21"/>
      <x:c r="E201" s="21"/>
      <x:c r="F201" s="21"/>
      <x:c r="G201" s="21"/>
      <x:c r="H201" s="21"/>
      <x:c r="I201" s="21"/>
      <x:c r="J201" s="31"/>
      <x:c r="K201" s="31"/>
      <x:c r="L201" s="31"/>
      <x:c r="M201" s="31"/>
      <x:c r="N201" s="21"/>
      <x:c r="O201" s="33"/>
      <x:c r="P201" s="27"/>
      <x:c r="Q201" s="21"/>
      <x:c r="R201" s="21"/>
      <x:c r="S201" s="21"/>
      <x:c r="T201" s="21"/>
      <x:c r="U201" s="21"/>
      <x:c r="V201" s="21"/>
      <x:c r="W201" s="21"/>
      <x:c r="X201" s="21"/>
      <x:c r="Y201" s="25"/>
      <x:c r="Z201" s="21"/>
    </x:row>
  </x:sheetData>
  <x:pageMargins left="0.7" right="0.7" top="0.75" bottom="0.75" header="0.3" footer="0.3"/>
  <x:tableParts count="1">
    <x:tablePart xmlns:r="http://schemas.openxmlformats.org/officeDocument/2006/relationships" r:id="R0fe253a87c9349d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8" hidden="0" customWidth="1"/>
    <x:col min="5" max="5" width="38" hidden="0" customWidth="1"/>
    <x:col min="6" max="6" width="22" hidden="0" customWidth="1"/>
    <x:col min="7" max="7" width="18" hidden="0" customWidth="1"/>
    <x:col min="8" max="8" width="14" hidden="0" customWidth="1"/>
    <x:col min="9" max="9" width="14" hidden="0" customWidth="1"/>
    <x:col min="10" max="10" width="14" hidden="0" customWidth="1"/>
    <x:col min="11" max="11" width="16" hidden="0" customWidth="1"/>
    <x:col min="12" max="12" width="16" hidden="0" customWidth="1"/>
    <x:col min="13" max="13" width="16" hidden="0" customWidth="1"/>
    <x:col min="14" max="14" width="16" hidden="0" customWidth="1"/>
    <x:col min="15" max="15" width="18" hidden="0" customWidth="1"/>
    <x:col min="16" max="16" width="18" hidden="0" customWidth="1"/>
    <x:col min="17" max="17" width="38" hidden="0" customWidth="1"/>
    <x:col min="18" max="18" width="38" hidden="0" customWidth="1"/>
    <x:col min="19" max="19" width="38" hidden="0" customWidth="1"/>
    <x:col min="20" max="20" width="16" hidden="0" customWidth="1"/>
    <x:col min="21" max="21" width="16" hidden="0" customWidth="1"/>
    <x:col min="22" max="22" width="16" hidden="0" customWidth="1"/>
    <x:col min="23" max="23" width="16" hidden="0" customWidth="1"/>
  </x:cols>
  <x:sheetData>
    <x:row r="1">
      <x:c r="A1" s="14" t="str">
        <x:v>Tracking_ID</x:v>
      </x:c>
      <x:c r="B1" s="14" t="str">
        <x:v>Brand_ID</x:v>
      </x:c>
      <x:c r="C1" s="14" t="str">
        <x:v>Product_ID</x:v>
      </x:c>
      <x:c r="D1" s="14" t="str">
        <x:v>Channel</x:v>
      </x:c>
      <x:c r="E1" s="14" t="str">
        <x:v>Sales Page</x:v>
      </x:c>
      <x:c r="F1" s="14" t="str">
        <x:v>Seller Name</x:v>
      </x:c>
      <x:c r="G1" s="14" t="str">
        <x:v>Official Status</x:v>
      </x:c>
      <x:c r="H1" s="14" t="str">
        <x:v>List Price</x:v>
      </x:c>
      <x:c r="I1" s="14" t="str">
        <x:v>Sale Price</x:v>
      </x:c>
      <x:c r="J1" s="14" t="str">
        <x:v>Discount</x:v>
      </x:c>
      <x:c r="K1" s="14" t="str">
        <x:v>Review Count</x:v>
      </x:c>
      <x:c r="L1" s="14" t="str">
        <x:v>Rating</x:v>
      </x:c>
      <x:c r="M1" s="14" t="str">
        <x:v>BSR / Rank</x:v>
      </x:c>
      <x:c r="N1" s="14" t="str">
        <x:v>Purchase / Sales Display</x:v>
      </x:c>
      <x:c r="O1" s="14" t="str">
        <x:v>Stock Status</x:v>
      </x:c>
      <x:c r="P1" s="14" t="str">
        <x:v>Recent Review Velocity</x:v>
      </x:c>
      <x:c r="Q1" s="14" t="str">
        <x:v>Verified Facts</x:v>
      </x:c>
      <x:c r="R1" s="14" t="str">
        <x:v>Sales Estimate</x:v>
      </x:c>
      <x:c r="S1" s="14" t="str">
        <x:v>Estimation Basis</x:v>
      </x:c>
      <x:c r="T1" s="14" t="str">
        <x:v>Confidence</x:v>
      </x:c>
      <x:c r="U1" s="14" t="str">
        <x:v>Check Date</x:v>
      </x:c>
      <x:c r="V1" s="14" t="str">
        <x:v>Source_ID</x:v>
      </x:c>
      <x:c r="W1" s="14" t="str">
        <x:v>Notes</x:v>
      </x:c>
    </x:row>
    <x:row r="2" ht="90" customHeight="1">
      <x:c r="A2" s="20" t="str">
        <x:v>CH-COSRX-001</x:v>
      </x:c>
      <x:c r="B2" s="20" t="str">
        <x:v>KB001</x:v>
      </x:c>
      <x:c r="C2" s="20" t="str">
        <x:v>COSRX-P001</x:v>
      </x:c>
      <x:c r="D2" s="20" t="str">
        <x:v>Amazon U.S.</x:v>
      </x:c>
      <x:c r="E2" s="20" t="str">
        <x:v>https://www.amazon.com/dp/B00PBX3L7K</x:v>
      </x:c>
      <x:c r="F2" s="20" t="str">
        <x:v>COSRX</x:v>
      </x:c>
      <x:c r="G2" s="20" t="str">
        <x:v>Official seller observed</x:v>
      </x:c>
      <x:c r="H2" s="51" t="n">
        <x:v>25</x:v>
      </x:c>
      <x:c r="I2" s="51" t="n">
        <x:v>18.5</x:v>
      </x:c>
      <x:c r="J2" s="34" t="n">
        <x:v>0.26</x:v>
      </x:c>
      <x:c r="K2" s="32" t="n">
        <x:v>105965</x:v>
      </x:c>
      <x:c r="L2" s="53" t="n">
        <x:v>4.6</x:v>
      </x:c>
      <x:c r="M2" s="20" t="str">
        <x:v>#191 Beauty &amp; Personal Care; #9 Facial Serums</x:v>
      </x:c>
      <x:c r="N2" s="20" t="str">
        <x:v>40K+ bought in past month</x:v>
      </x:c>
      <x:c r="O2" s="20" t="str">
        <x:v>In Stock</x:v>
      </x:c>
      <x:c r="P2" s="20" t="str">
        <x:v>Not calculated</x:v>
      </x:c>
      <x:c r="Q2" s="20" t="str">
        <x:v>Sold by COSRX and shipped by Amazon; BSR and purchase badge observed directly.</x:v>
      </x:c>
      <x:c r="R2" s="20" t="str">
        <x:v>Very High velocity / category-leading hero</x:v>
      </x:c>
      <x:c r="S2" s="20" t="str">
        <x:v>Current BSR, 40K+ monthly badge and 105,965 cumulative reviews; not audited units or revenue.</x:v>
      </x:c>
      <x:c r="T2" s="20" t="str">
        <x:v>High</x:v>
      </x:c>
      <x:c r="U2" s="24" t="str">
        <x:v>2026-07-29</x:v>
      </x:c>
      <x:c r="V2" s="20" t="str">
        <x:v>SRC-COSRX-005</x:v>
      </x:c>
      <x:c r="W2" s="20" t="str">
        <x:v>ASIN B00PBX3L7K; current rank is not the historical #1 claim.</x:v>
      </x:c>
    </x:row>
    <x:row r="3" ht="90" customHeight="1">
      <x:c r="A3" s="21" t="str">
        <x:v>CH-COSRX-002</x:v>
      </x:c>
      <x:c r="B3" s="21" t="str">
        <x:v>KB001</x:v>
      </x:c>
      <x:c r="C3" s="21" t="str">
        <x:v>COSRX-P003</x:v>
      </x:c>
      <x:c r="D3" s="21" t="str">
        <x:v>Amazon U.S.</x:v>
      </x:c>
      <x:c r="E3" s="21" t="str">
        <x:v>https://www.amazon.com/dp/B016NRXO06</x:v>
      </x:c>
      <x:c r="F3" s="21" t="str">
        <x:v>COSRX</x:v>
      </x:c>
      <x:c r="G3" s="21" t="str">
        <x:v>Official seller observed</x:v>
      </x:c>
      <x:c r="H3" s="52" t="n">
        <x:v>14</x:v>
      </x:c>
      <x:c r="I3" s="52" t="n">
        <x:v>11.9</x:v>
      </x:c>
      <x:c r="J3" s="35" t="n">
        <x:v>0.15</x:v>
      </x:c>
      <x:c r="K3" s="33" t="n">
        <x:v>21110</x:v>
      </x:c>
      <x:c r="L3" s="54" t="n">
        <x:v>4.5</x:v>
      </x:c>
      <x:c r="M3" s="21" t="str">
        <x:v>#1,853 Beauty &amp; Personal Care; #9 Facial Cleansing Gels</x:v>
      </x:c>
      <x:c r="N3" s="21" t="str">
        <x:v>10K+ bought in past month</x:v>
      </x:c>
      <x:c r="O3" s="21" t="str">
        <x:v>In Stock</x:v>
      </x:c>
      <x:c r="P3" s="21" t="str">
        <x:v>Not calculated</x:v>
      </x:c>
      <x:c r="Q3" s="21" t="str">
        <x:v>Sold by COSRX and shipped by Amazon; rank and purchase badge observed directly.</x:v>
      </x:c>
      <x:c r="R3" s="21" t="str">
        <x:v>High velocity</x:v>
      </x:c>
      <x:c r="S3" s="21" t="str">
        <x:v>Current BSR, monthly badge and cumulative review volume.</x:v>
      </x:c>
      <x:c r="T3" s="21" t="str">
        <x:v>High</x:v>
      </x:c>
      <x:c r="U3" s="25" t="str">
        <x:v>2026-07-29</x:v>
      </x:c>
      <x:c r="V3" s="21" t="str">
        <x:v>SRC-COSRX-018</x:v>
      </x:c>
      <x:c r="W3" s="21" t="str">
        <x:v>ASIN B016NRXO06.</x:v>
      </x:c>
    </x:row>
    <x:row r="4" ht="90" customHeight="1">
      <x:c r="A4" s="21" t="str">
        <x:v>CH-COSRX-003</x:v>
      </x:c>
      <x:c r="B4" s="21" t="str">
        <x:v>KB001</x:v>
      </x:c>
      <x:c r="C4" s="21" t="str">
        <x:v>COSRX-P002</x:v>
      </x:c>
      <x:c r="D4" s="21" t="str">
        <x:v>Amazon U.S.</x:v>
      </x:c>
      <x:c r="E4" s="21" t="str">
        <x:v>https://www.amazon.com/dp/B0DFH3MPWL</x:v>
      </x:c>
      <x:c r="F4" s="21" t="str">
        <x:v>COSRX</x:v>
      </x:c>
      <x:c r="G4" s="21" t="str">
        <x:v>Official seller observed</x:v>
      </x:c>
      <x:c r="H4" s="52"/>
      <x:c r="I4" s="52" t="n">
        <x:v>8.89</x:v>
      </x:c>
      <x:c r="J4" s="35"/>
      <x:c r="K4" s="33" t="n">
        <x:v>63102</x:v>
      </x:c>
      <x:c r="L4" s="54" t="n">
        <x:v>4.5</x:v>
      </x:c>
      <x:c r="M4" s="21"/>
      <x:c r="N4" s="21" t="str">
        <x:v>4K+ bought in past month; Amazon's Choice</x:v>
      </x:c>
      <x:c r="O4" s="21" t="str">
        <x:v>In Stock</x:v>
      </x:c>
      <x:c r="P4" s="21" t="str">
        <x:v>Not calculated</x:v>
      </x:c>
      <x:c r="Q4" s="21" t="str">
        <x:v>Current sampled listing is 48 patches and differs from the 24-patch official hero SKU.</x:v>
      </x:c>
      <x:c r="R4" s="21" t="str">
        <x:v>High velocity</x:v>
      </x:c>
      <x:c r="S4" s="21" t="str">
        <x:v>Purchase badge and cumulative reviews; pack mismatch prevents direct price comparison.</x:v>
      </x:c>
      <x:c r="T4" s="21" t="str">
        <x:v>High</x:v>
      </x:c>
      <x:c r="U4" s="25" t="str">
        <x:v>2026-07-29</x:v>
      </x:c>
      <x:c r="V4" s="21" t="str">
        <x:v>SRC-COSRX-019</x:v>
      </x:c>
      <x:c r="W4" s="21" t="str">
        <x:v>ASIN B0DFH3MPWL; older 24-count ASIN checked returned Page Not Found.</x:v>
      </x:c>
    </x:row>
    <x:row r="5" ht="90" customHeight="1">
      <x:c r="A5" s="21" t="str">
        <x:v>CH-COSRX-004</x:v>
      </x:c>
      <x:c r="B5" s="21" t="str">
        <x:v>KB001</x:v>
      </x:c>
      <x:c r="C5" s="21" t="str">
        <x:v>COSRX-P004</x:v>
      </x:c>
      <x:c r="D5" s="21" t="str">
        <x:v>Amazon U.S.</x:v>
      </x:c>
      <x:c r="E5" s="21" t="str">
        <x:v>https://www.amazon.com/dp/B0CCJ3SRB9</x:v>
      </x:c>
      <x:c r="F5" s="21" t="str">
        <x:v>COSRX</x:v>
      </x:c>
      <x:c r="G5" s="21" t="str">
        <x:v>Official seller observed</x:v>
      </x:c>
      <x:c r="H5" s="52" t="n">
        <x:v>25</x:v>
      </x:c>
      <x:c r="I5" s="52" t="n">
        <x:v>21</x:v>
      </x:c>
      <x:c r="J5" s="35" t="n">
        <x:v>0.16</x:v>
      </x:c>
      <x:c r="K5" s="33" t="n">
        <x:v>12363</x:v>
      </x:c>
      <x:c r="L5" s="54" t="n">
        <x:v>4.6</x:v>
      </x:c>
      <x:c r="M5" s="21"/>
      <x:c r="N5" s="21" t="str">
        <x:v>10K+ bought in past month</x:v>
      </x:c>
      <x:c r="O5" s="21" t="str">
        <x:v>In Stock</x:v>
      </x:c>
      <x:c r="P5" s="21" t="str">
        <x:v>Not calculated</x:v>
      </x:c>
      <x:c r="Q5" s="21" t="str">
        <x:v>Sold by COSRX and shipped by Amazon; title currently uses “6X Peptide Collagen Skin Booster.”</x:v>
      </x:c>
      <x:c r="R5" s="21" t="str">
        <x:v>High velocity</x:v>
      </x:c>
      <x:c r="S5" s="21" t="str">
        <x:v>Monthly badge and cumulative reviews.</x:v>
      </x:c>
      <x:c r="T5" s="21" t="str">
        <x:v>High</x:v>
      </x:c>
      <x:c r="U5" s="25" t="str">
        <x:v>2026-07-29</x:v>
      </x:c>
      <x:c r="V5" s="21" t="str">
        <x:v>SRC-COSRX-020</x:v>
      </x:c>
      <x:c r="W5" s="21" t="str">
        <x:v>ASIN B0CCJ3SRB9.</x:v>
      </x:c>
    </x:row>
    <x:row r="6" ht="90" customHeight="1">
      <x:c r="A6" s="21" t="str">
        <x:v>CH-COSRX-005</x:v>
      </x:c>
      <x:c r="B6" s="21" t="str">
        <x:v>KB001</x:v>
      </x:c>
      <x:c r="C6" s="21" t="str">
        <x:v>COSRX-P005</x:v>
      </x:c>
      <x:c r="D6" s="21" t="str">
        <x:v>Amazon U.S.</x:v>
      </x:c>
      <x:c r="E6" s="21" t="str">
        <x:v>https://www.amazon.com/dp/B01LEJ5MSK</x:v>
      </x:c>
      <x:c r="F6" s="21" t="str">
        <x:v>COSRX</x:v>
      </x:c>
      <x:c r="G6" s="21" t="str">
        <x:v>Official seller observed</x:v>
      </x:c>
      <x:c r="H6" s="52" t="n">
        <x:v>26</x:v>
      </x:c>
      <x:c r="I6" s="52" t="n">
        <x:v>19.99</x:v>
      </x:c>
      <x:c r="J6" s="35" t="n">
        <x:v>0.23</x:v>
      </x:c>
      <x:c r="K6" s="33" t="n">
        <x:v>61571</x:v>
      </x:c>
      <x:c r="L6" s="54" t="n">
        <x:v>4.5</x:v>
      </x:c>
      <x:c r="M6" s="21"/>
      <x:c r="N6" s="21" t="str">
        <x:v>10K+ bought in past month</x:v>
      </x:c>
      <x:c r="O6" s="21" t="str">
        <x:v>In Stock</x:v>
      </x:c>
      <x:c r="P6" s="21" t="str">
        <x:v>Not calculated</x:v>
      </x:c>
      <x:c r="Q6" s="21" t="str">
        <x:v>Sold by COSRX and shipped by Amazon.</x:v>
      </x:c>
      <x:c r="R6" s="21" t="str">
        <x:v>High velocity</x:v>
      </x:c>
      <x:c r="S6" s="21" t="str">
        <x:v>Monthly badge and cumulative reviews.</x:v>
      </x:c>
      <x:c r="T6" s="21" t="str">
        <x:v>High</x:v>
      </x:c>
      <x:c r="U6" s="25" t="str">
        <x:v>2026-07-29</x:v>
      </x:c>
      <x:c r="V6" s="21" t="str">
        <x:v>SRC-COSRX-021</x:v>
      </x:c>
      <x:c r="W6" s="21" t="str">
        <x:v>ASIN B01LEJ5MSK.</x:v>
      </x:c>
    </x:row>
    <x:row r="7" ht="90" customHeight="1">
      <x:c r="A7" s="21" t="str">
        <x:v>CH-COSRX-006</x:v>
      </x:c>
      <x:c r="B7" s="21" t="str">
        <x:v>KB001</x:v>
      </x:c>
      <x:c r="C7" s="21"/>
      <x:c r="D7" s="21" t="str">
        <x:v>TikTok Shop U.S.</x:v>
      </x:c>
      <x:c r="E7" s="21" t="str">
        <x:v>https://shop.tiktok.com/us/store/cosrx-us/7495173442985953451</x:v>
      </x:c>
      <x:c r="F7" s="21" t="str">
        <x:v>COSRX US</x:v>
      </x:c>
      <x:c r="G7" s="21" t="str">
        <x:v>Official verified shop</x:v>
      </x:c>
      <x:c r="H7" s="52"/>
      <x:c r="I7" s="52"/>
      <x:c r="J7" s="35"/>
      <x:c r="K7" s="33"/>
      <x:c r="L7" s="54"/>
      <x:c r="M7" s="21"/>
      <x:c r="N7" s="21" t="str">
        <x:v>Store displayed 1.3M sold; 123.6K+ followers; 2,327 videos</x:v>
      </x:c>
      <x:c r="O7" s="21" t="str">
        <x:v>Active</x:v>
      </x:c>
      <x:c r="P7" s="21" t="str">
        <x:v>Not calculated</x:v>
      </x:c>
      <x:c r="Q7" s="21" t="str">
        <x:v>Official shop-level aggregate display.</x:v>
      </x:c>
      <x:c r="R7" s="21" t="str">
        <x:v>Very High social-commerce scale</x:v>
      </x:c>
      <x:c r="S7" s="21" t="str">
        <x:v>Public platform totals are cumulative/displayed metrics, not audited period sell-through.</x:v>
      </x:c>
      <x:c r="T7" s="21" t="str">
        <x:v>High</x:v>
      </x:c>
      <x:c r="U7" s="25" t="str">
        <x:v>2026-07-29</x:v>
      </x:c>
      <x:c r="V7" s="21" t="str">
        <x:v>SRC-COSRX-003</x:v>
      </x:c>
      <x:c r="W7" s="21" t="str">
        <x:v>Do not treat storewide sold count as U.S. revenue.</x:v>
      </x:c>
    </x:row>
    <x:row r="8" ht="90" customHeight="1">
      <x:c r="A8" s="21" t="str">
        <x:v>CH-COSRX-007</x:v>
      </x:c>
      <x:c r="B8" s="21" t="str">
        <x:v>KB001</x:v>
      </x:c>
      <x:c r="C8" s="21" t="str">
        <x:v>COSRX-P001</x:v>
      </x:c>
      <x:c r="D8" s="21" t="str">
        <x:v>TikTok Shop U.S.</x:v>
      </x:c>
      <x:c r="E8" s="21" t="str">
        <x:v>https://shop.tiktok.com/us/pdp/advanced-snail-96-mucin-power-essence-100ml-by-cosrx-hydrating-soothing/1729415415172468907</x:v>
      </x:c>
      <x:c r="F8" s="21" t="str">
        <x:v>COSRX US</x:v>
      </x:c>
      <x:c r="G8" s="21" t="str">
        <x:v>Official verified shop</x:v>
      </x:c>
      <x:c r="H8" s="52" t="n">
        <x:v>25</x:v>
      </x:c>
      <x:c r="I8" s="52" t="n">
        <x:v>25</x:v>
      </x:c>
      <x:c r="J8" s="35" t="n">
        <x:v>0</x:v>
      </x:c>
      <x:c r="K8" s="33"/>
      <x:c r="L8" s="54" t="n">
        <x:v>4.8</x:v>
      </x:c>
      <x:c r="M8" s="21"/>
      <x:c r="N8" s="21" t="str">
        <x:v>43.9K sold displayed</x:v>
      </x:c>
      <x:c r="O8" s="21" t="str">
        <x:v>Active</x:v>
      </x:c>
      <x:c r="P8" s="21" t="str">
        <x:v>Not calculated</x:v>
      </x:c>
      <x:c r="Q8" s="21" t="str">
        <x:v>Product-level sold display and rating observed.</x:v>
      </x:c>
      <x:c r="R8" s="21" t="str">
        <x:v>Very High social-commerce momentum</x:v>
      </x:c>
      <x:c r="S8" s="21" t="str">
        <x:v>Cumulative platform display; measurement window not stated.</x:v>
      </x:c>
      <x:c r="T8" s="21" t="str">
        <x:v>Medium-High</x:v>
      </x:c>
      <x:c r="U8" s="25" t="str">
        <x:v>2026-07-29</x:v>
      </x:c>
      <x:c r="V8" s="21" t="str">
        <x:v>SRC-COSRX-023</x:v>
      </x:c>
      <x:c r="W8" s="21" t="str">
        <x:v>Price can change quickly.</x:v>
      </x:c>
    </x:row>
    <x:row r="9" ht="90" customHeight="1">
      <x:c r="A9" s="21" t="str">
        <x:v>CH-COSRX-008</x:v>
      </x:c>
      <x:c r="B9" s="21" t="str">
        <x:v>KB001</x:v>
      </x:c>
      <x:c r="C9" s="21" t="str">
        <x:v>COSRX-P003</x:v>
      </x:c>
      <x:c r="D9" s="21" t="str">
        <x:v>TikTok Shop U.S.</x:v>
      </x:c>
      <x:c r="E9" s="21" t="str">
        <x:v>https://shop.tiktok.com/us/pdp/low-ph-good-morning-gel-cleanser-by-cosrx-soothing-formula-for-sensitive-skin/1729440499725275307</x:v>
      </x:c>
      <x:c r="F9" s="21" t="str">
        <x:v>COSRX US</x:v>
      </x:c>
      <x:c r="G9" s="21" t="str">
        <x:v>Official verified shop</x:v>
      </x:c>
      <x:c r="H9" s="52" t="n">
        <x:v>9</x:v>
      </x:c>
      <x:c r="I9" s="52" t="n">
        <x:v>8.25</x:v>
      </x:c>
      <x:c r="J9" s="35" t="n">
        <x:v>0.0833</x:v>
      </x:c>
      <x:c r="K9" s="33"/>
      <x:c r="L9" s="54" t="n">
        <x:v>4.6</x:v>
      </x:c>
      <x:c r="M9" s="21"/>
      <x:c r="N9" s="21" t="str">
        <x:v>23.2K sold displayed</x:v>
      </x:c>
      <x:c r="O9" s="21" t="str">
        <x:v>Active</x:v>
      </x:c>
      <x:c r="P9" s="21" t="str">
        <x:v>Not calculated</x:v>
      </x:c>
      <x:c r="Q9" s="21" t="str">
        <x:v>Flash price and product-level sold display observed.</x:v>
      </x:c>
      <x:c r="R9" s="21" t="str">
        <x:v>High social-commerce momentum</x:v>
      </x:c>
      <x:c r="S9" s="21" t="str">
        <x:v>Cumulative platform display; price is promotion-sensitive.</x:v>
      </x:c>
      <x:c r="T9" s="21" t="str">
        <x:v>Medium-High</x:v>
      </x:c>
      <x:c r="U9" s="25" t="str">
        <x:v>2026-07-29</x:v>
      </x:c>
      <x:c r="V9" s="21" t="str">
        <x:v>SRC-COSRX-024</x:v>
      </x:c>
      <x:c r="W9" s="21" t="str">
        <x:v>Observed TikTok list price differs from official DTC list price.</x:v>
      </x:c>
    </x:row>
    <x:row r="10" ht="90" customHeight="1">
      <x:c r="A10" s="21" t="str">
        <x:v>CH-COSRX-009</x:v>
      </x:c>
      <x:c r="B10" s="21" t="str">
        <x:v>KB001</x:v>
      </x:c>
      <x:c r="C10" s="21" t="str">
        <x:v>COSRX-P004</x:v>
      </x:c>
      <x:c r="D10" s="21" t="str">
        <x:v>TikTok Shop U.S.</x:v>
      </x:c>
      <x:c r="E10" s="21" t="str">
        <x:v>https://shop.tiktok.com/us/pdp/skin-booster-serum-by-cosrx-6-peptides-for-elasticity-radiance-150ml/1729415422204940459</x:v>
      </x:c>
      <x:c r="F10" s="21" t="str">
        <x:v>COSRX US</x:v>
      </x:c>
      <x:c r="G10" s="21" t="str">
        <x:v>Official verified shop</x:v>
      </x:c>
      <x:c r="H10" s="52" t="n">
        <x:v>30</x:v>
      </x:c>
      <x:c r="I10" s="52" t="n">
        <x:v>30</x:v>
      </x:c>
      <x:c r="J10" s="35" t="n">
        <x:v>0</x:v>
      </x:c>
      <x:c r="K10" s="33"/>
      <x:c r="L10" s="54" t="n">
        <x:v>4.7</x:v>
      </x:c>
      <x:c r="M10" s="21"/>
      <x:c r="N10" s="21" t="str">
        <x:v>52.0K sold displayed</x:v>
      </x:c>
      <x:c r="O10" s="21" t="str">
        <x:v>Active</x:v>
      </x:c>
      <x:c r="P10" s="21" t="str">
        <x:v>Not calculated</x:v>
      </x:c>
      <x:c r="Q10" s="21" t="str">
        <x:v>Product-level sold display observed.</x:v>
      </x:c>
      <x:c r="R10" s="21" t="str">
        <x:v>Very High social-commerce momentum</x:v>
      </x:c>
      <x:c r="S10" s="21" t="str">
        <x:v>Cumulative platform display; measurement window not stated.</x:v>
      </x:c>
      <x:c r="T10" s="21" t="str">
        <x:v>Medium-High</x:v>
      </x:c>
      <x:c r="U10" s="25" t="str">
        <x:v>2026-07-29</x:v>
      </x:c>
      <x:c r="V10" s="21" t="str">
        <x:v>SRC-COSRX-023</x:v>
      </x:c>
      <x:c r="W10" s="21" t="str">
        <x:v>TikTok price observed above official U.S. DTC list price.</x:v>
      </x:c>
    </x:row>
    <x:row r="11" ht="90" customHeight="1">
      <x:c r="A11" s="21" t="str">
        <x:v>CH-COSRX-010</x:v>
      </x:c>
      <x:c r="B11" s="21" t="str">
        <x:v>KB001</x:v>
      </x:c>
      <x:c r="C11" s="21" t="str">
        <x:v>COSRX-P005</x:v>
      </x:c>
      <x:c r="D11" s="21" t="str">
        <x:v>TikTok Shop U.S.</x:v>
      </x:c>
      <x:c r="E11" s="21" t="str">
        <x:v>https://shop.tiktok.com/us/pdp/advanced-snail-92-cream-by-cosrx-hydrating-repairing-100g/1729415430093181099</x:v>
      </x:c>
      <x:c r="F11" s="21" t="str">
        <x:v>COSRX US</x:v>
      </x:c>
      <x:c r="G11" s="21" t="str">
        <x:v>Official verified shop</x:v>
      </x:c>
      <x:c r="H11" s="52" t="n">
        <x:v>26</x:v>
      </x:c>
      <x:c r="I11" s="52" t="n">
        <x:v>26</x:v>
      </x:c>
      <x:c r="J11" s="35" t="n">
        <x:v>0</x:v>
      </x:c>
      <x:c r="K11" s="33"/>
      <x:c r="L11" s="54" t="n">
        <x:v>4.7</x:v>
      </x:c>
      <x:c r="M11" s="21"/>
      <x:c r="N11" s="21" t="str">
        <x:v>24.6K sold displayed</x:v>
      </x:c>
      <x:c r="O11" s="21" t="str">
        <x:v>Active</x:v>
      </x:c>
      <x:c r="P11" s="21" t="str">
        <x:v>Not calculated</x:v>
      </x:c>
      <x:c r="Q11" s="21" t="str">
        <x:v>Product-level sold display observed.</x:v>
      </x:c>
      <x:c r="R11" s="21" t="str">
        <x:v>High social-commerce momentum</x:v>
      </x:c>
      <x:c r="S11" s="21" t="str">
        <x:v>Cumulative platform display; measurement window not stated.</x:v>
      </x:c>
      <x:c r="T11" s="21" t="str">
        <x:v>Medium-High</x:v>
      </x:c>
      <x:c r="U11" s="25" t="str">
        <x:v>2026-07-29</x:v>
      </x:c>
      <x:c r="V11" s="21" t="str">
        <x:v>SRC-COSRX-023</x:v>
      </x:c>
      <x:c r="W11" s="21" t="str">
        <x:v>Public product page.</x:v>
      </x:c>
    </x:row>
    <x:row r="12" ht="90" customHeight="1">
      <x:c r="A12" s="21" t="str">
        <x:v>CH-COSRX-011</x:v>
      </x:c>
      <x:c r="B12" s="21" t="str">
        <x:v>KB001</x:v>
      </x:c>
      <x:c r="C12" s="21" t="str">
        <x:v>COSRX-P001</x:v>
      </x:c>
      <x:c r="D12" s="21" t="str">
        <x:v>Ulta Beauty</x:v>
      </x:c>
      <x:c r="E12" s="21" t="str">
        <x:v>https://www.ulta.com/p/advanced-snail-96-mucin-power-essence-xlsImpprod15641052?sku=2504912</x:v>
      </x:c>
      <x:c r="F12" s="21" t="str">
        <x:v>Ulta Beauty</x:v>
      </x:c>
      <x:c r="G12" s="21" t="str">
        <x:v>Authorized U.S. retailer</x:v>
      </x:c>
      <x:c r="H12" s="52" t="n">
        <x:v>25</x:v>
      </x:c>
      <x:c r="I12" s="52" t="n">
        <x:v>20.9</x:v>
      </x:c>
      <x:c r="J12" s="35" t="n">
        <x:v>0.164</x:v>
      </x:c>
      <x:c r="K12" s="33" t="n">
        <x:v>4064</x:v>
      </x:c>
      <x:c r="L12" s="54" t="n">
        <x:v>4.7</x:v>
      </x:c>
      <x:c r="M12" s="21"/>
      <x:c r="N12" s="21"/>
      <x:c r="O12" s="21" t="str">
        <x:v>In Stock</x:v>
      </x:c>
      <x:c r="P12" s="21" t="str">
        <x:v>Not calculated</x:v>
      </x:c>
      <x:c r="Q12" s="21" t="str">
        <x:v>Ulta brand page displayed 46 COSRX products; hero page price/reviews observed.</x:v>
      </x:c>
      <x:c r="R12" s="21" t="str">
        <x:v>High mainstream specialty presence</x:v>
      </x:c>
      <x:c r="S12" s="21" t="str">
        <x:v>Assortment breadth and cumulative reviews.</x:v>
      </x:c>
      <x:c r="T12" s="21" t="str">
        <x:v>High</x:v>
      </x:c>
      <x:c r="U12" s="25" t="str">
        <x:v>2026-07-29</x:v>
      </x:c>
      <x:c r="V12" s="21" t="str">
        <x:v>SRC-COSRX-025,SRC-COSRX-026</x:v>
      </x:c>
      <x:c r="W12" s="21" t="str">
        <x:v>Full-size observed; mini also offered.</x:v>
      </x:c>
    </x:row>
    <x:row r="13" ht="90" customHeight="1">
      <x:c r="A13" s="21" t="str">
        <x:v>CH-COSRX-012</x:v>
      </x:c>
      <x:c r="B13" s="21" t="str">
        <x:v>KB001</x:v>
      </x:c>
      <x:c r="C13" s="21" t="str">
        <x:v>COSRX-P002</x:v>
      </x:c>
      <x:c r="D13" s="21" t="str">
        <x:v>Ulta Beauty</x:v>
      </x:c>
      <x:c r="E13" s="21" t="str">
        <x:v>https://www.ulta.com/p/acne-pimple-master-patch-original-care-xlsImpprod16661021</x:v>
      </x:c>
      <x:c r="F13" s="21" t="str">
        <x:v>Ulta Beauty</x:v>
      </x:c>
      <x:c r="G13" s="21" t="str">
        <x:v>Authorized U.S. retailer</x:v>
      </x:c>
      <x:c r="H13" s="52" t="n">
        <x:v>6</x:v>
      </x:c>
      <x:c r="I13" s="52" t="n">
        <x:v>6</x:v>
      </x:c>
      <x:c r="J13" s="35" t="n">
        <x:v>0</x:v>
      </x:c>
      <x:c r="K13" s="33" t="n">
        <x:v>722</x:v>
      </x:c>
      <x:c r="L13" s="54" t="n">
        <x:v>4.6</x:v>
      </x:c>
      <x:c r="M13" s="21"/>
      <x:c r="N13" s="21"/>
      <x:c r="O13" s="21" t="str">
        <x:v>Listed</x:v>
      </x:c>
      <x:c r="P13" s="21" t="str">
        <x:v>Not calculated</x:v>
      </x:c>
      <x:c r="Q13" s="21" t="str">
        <x:v>24-count hero listing.</x:v>
      </x:c>
      <x:c r="R13" s="21" t="str">
        <x:v>Established</x:v>
      </x:c>
      <x:c r="S13" s="21" t="str">
        <x:v>Cumulative retailer reviews.</x:v>
      </x:c>
      <x:c r="T13" s="21" t="str">
        <x:v>High</x:v>
      </x:c>
      <x:c r="U13" s="25" t="str">
        <x:v>2026-07-29</x:v>
      </x:c>
      <x:c r="V13" s="21" t="str">
        <x:v>SRC-COSRX-027</x:v>
      </x:c>
      <x:c r="W13" s="21" t="str">
        <x:v>Authorized by COSRX store list.</x:v>
      </x:c>
    </x:row>
    <x:row r="14" ht="90" customHeight="1">
      <x:c r="A14" s="21" t="str">
        <x:v>CH-COSRX-013</x:v>
      </x:c>
      <x:c r="B14" s="21" t="str">
        <x:v>KB001</x:v>
      </x:c>
      <x:c r="C14" s="21" t="str">
        <x:v>COSRX-P003</x:v>
      </x:c>
      <x:c r="D14" s="21" t="str">
        <x:v>Ulta Beauty</x:v>
      </x:c>
      <x:c r="E14" s="21" t="str">
        <x:v>https://www.ulta.com/p/low-ph-good-morning-gel-cleanser-xlsImpprod16661017</x:v>
      </x:c>
      <x:c r="F14" s="21" t="str">
        <x:v>Ulta Beauty</x:v>
      </x:c>
      <x:c r="G14" s="21" t="str">
        <x:v>Authorized U.S. retailer</x:v>
      </x:c>
      <x:c r="H14" s="52" t="n">
        <x:v>14</x:v>
      </x:c>
      <x:c r="I14" s="52" t="n">
        <x:v>14</x:v>
      </x:c>
      <x:c r="J14" s="35" t="n">
        <x:v>0</x:v>
      </x:c>
      <x:c r="K14" s="33" t="n">
        <x:v>191</x:v>
      </x:c>
      <x:c r="L14" s="54" t="n">
        <x:v>4.2</x:v>
      </x:c>
      <x:c r="M14" s="21"/>
      <x:c r="N14" s="21"/>
      <x:c r="O14" s="21" t="str">
        <x:v>Listed</x:v>
      </x:c>
      <x:c r="P14" s="21" t="str">
        <x:v>Not calculated</x:v>
      </x:c>
      <x:c r="Q14" s="21" t="str">
        <x:v>Full-size cleanser listing.</x:v>
      </x:c>
      <x:c r="R14" s="21" t="str">
        <x:v>Established</x:v>
      </x:c>
      <x:c r="S14" s="21" t="str">
        <x:v>Cumulative retailer reviews.</x:v>
      </x:c>
      <x:c r="T14" s="21" t="str">
        <x:v>High</x:v>
      </x:c>
      <x:c r="U14" s="25" t="str">
        <x:v>2026-07-29</x:v>
      </x:c>
      <x:c r="V14" s="21" t="str">
        <x:v>SRC-COSRX-028</x:v>
      </x:c>
      <x:c r="W14" s="21" t="str">
        <x:v>Authorized by COSRX store list.</x:v>
      </x:c>
    </x:row>
    <x:row r="15" ht="90" customHeight="1">
      <x:c r="A15" s="21" t="str">
        <x:v>CH-COSRX-014</x:v>
      </x:c>
      <x:c r="B15" s="21" t="str">
        <x:v>KB001</x:v>
      </x:c>
      <x:c r="C15" s="21" t="str">
        <x:v>COSRX-P004</x:v>
      </x:c>
      <x:c r="D15" s="21" t="str">
        <x:v>Ulta Beauty</x:v>
      </x:c>
      <x:c r="E15" s="21" t="str">
        <x:v>https://www.ulta.com/p/6-peptide-skin-booster-serum-with-niacinamide-hyaluronic-acid-pimprod2042968</x:v>
      </x:c>
      <x:c r="F15" s="21" t="str">
        <x:v>Ulta Beauty</x:v>
      </x:c>
      <x:c r="G15" s="21" t="str">
        <x:v>Authorized U.S. retailer</x:v>
      </x:c>
      <x:c r="H15" s="52" t="n">
        <x:v>25</x:v>
      </x:c>
      <x:c r="I15" s="52" t="n">
        <x:v>21</x:v>
      </x:c>
      <x:c r="J15" s="35" t="n">
        <x:v>0.16</x:v>
      </x:c>
      <x:c r="K15" s="33" t="n">
        <x:v>5336</x:v>
      </x:c>
      <x:c r="L15" s="54" t="n">
        <x:v>4.6</x:v>
      </x:c>
      <x:c r="M15" s="21"/>
      <x:c r="N15" s="21"/>
      <x:c r="O15" s="21" t="str">
        <x:v>Listed</x:v>
      </x:c>
      <x:c r="P15" s="21" t="str">
        <x:v>Not calculated</x:v>
      </x:c>
      <x:c r="Q15" s="21" t="str">
        <x:v>Large review base supports successful retail launch.</x:v>
      </x:c>
      <x:c r="R15" s="21" t="str">
        <x:v>Very High retailer momentum</x:v>
      </x:c>
      <x:c r="S15" s="21" t="str">
        <x:v>Cumulative retailer reviews and current price.</x:v>
      </x:c>
      <x:c r="T15" s="21" t="str">
        <x:v>High</x:v>
      </x:c>
      <x:c r="U15" s="25" t="str">
        <x:v>2026-07-29</x:v>
      </x:c>
      <x:c r="V15" s="21" t="str">
        <x:v>SRC-COSRX-029</x:v>
      </x:c>
      <x:c r="W15" s="21" t="str">
        <x:v>Price observed below official list.</x:v>
      </x:c>
    </x:row>
    <x:row r="16" ht="90" customHeight="1">
      <x:c r="A16" s="21" t="str">
        <x:v>CH-COSRX-015</x:v>
      </x:c>
      <x:c r="B16" s="21" t="str">
        <x:v>KB001</x:v>
      </x:c>
      <x:c r="C16" s="21" t="str">
        <x:v>COSRX-P005</x:v>
      </x:c>
      <x:c r="D16" s="21" t="str">
        <x:v>Ulta Beauty</x:v>
      </x:c>
      <x:c r="E16" s="21" t="str">
        <x:v>https://www.ulta.com/p/advanced-snail-92-all-in-one-cream-pimprod2038492</x:v>
      </x:c>
      <x:c r="F16" s="21" t="str">
        <x:v>Ulta Beauty</x:v>
      </x:c>
      <x:c r="G16" s="21" t="str">
        <x:v>Authorized U.S. retailer</x:v>
      </x:c>
      <x:c r="H16" s="52" t="n">
        <x:v>26</x:v>
      </x:c>
      <x:c r="I16" s="52" t="n">
        <x:v>21.9</x:v>
      </x:c>
      <x:c r="J16" s="35" t="n">
        <x:v>0.158</x:v>
      </x:c>
      <x:c r="K16" s="33" t="n">
        <x:v>2016</x:v>
      </x:c>
      <x:c r="L16" s="54" t="n">
        <x:v>4.6</x:v>
      </x:c>
      <x:c r="M16" s="21"/>
      <x:c r="N16" s="21"/>
      <x:c r="O16" s="21" t="str">
        <x:v>Listed</x:v>
      </x:c>
      <x:c r="P16" s="21" t="str">
        <x:v>Not calculated</x:v>
      </x:c>
      <x:c r="Q16" s="21" t="str">
        <x:v>Full-size cream listing.</x:v>
      </x:c>
      <x:c r="R16" s="21" t="str">
        <x:v>High retailer momentum</x:v>
      </x:c>
      <x:c r="S16" s="21" t="str">
        <x:v>Cumulative retailer reviews and current price.</x:v>
      </x:c>
      <x:c r="T16" s="21" t="str">
        <x:v>High</x:v>
      </x:c>
      <x:c r="U16" s="25" t="str">
        <x:v>2026-07-29</x:v>
      </x:c>
      <x:c r="V16" s="21" t="str">
        <x:v>SRC-COSRX-030</x:v>
      </x:c>
      <x:c r="W16" s="21" t="str">
        <x:v>Price observed below official list.</x:v>
      </x:c>
    </x:row>
    <x:row r="17" ht="90" customHeight="1">
      <x:c r="A17" s="21" t="str">
        <x:v>CH-COSRX-016</x:v>
      </x:c>
      <x:c r="B17" s="21" t="str">
        <x:v>KB001</x:v>
      </x:c>
      <x:c r="C17" s="21" t="str">
        <x:v>COSRX-P001</x:v>
      </x:c>
      <x:c r="D17" s="21" t="str">
        <x:v>Ulta Beauty at Target</x:v>
      </x:c>
      <x:c r="E17" s="21" t="str">
        <x:v>https://www.target.com/p/-/A-91022725</x:v>
      </x:c>
      <x:c r="F17" s="21" t="str">
        <x:v>Target / Ulta Beauty at Target</x:v>
      </x:c>
      <x:c r="G17" s="21" t="str">
        <x:v>Authorized U.S. retailer</x:v>
      </x:c>
      <x:c r="H17" s="52"/>
      <x:c r="I17" s="52" t="n">
        <x:v>8.5</x:v>
      </x:c>
      <x:c r="J17" s="35"/>
      <x:c r="K17" s="33" t="n">
        <x:v>3676</x:v>
      </x:c>
      <x:c r="L17" s="54" t="n">
        <x:v>4.56</x:v>
      </x:c>
      <x:c r="M17" s="21"/>
      <x:c r="N17" s="21"/>
      <x:c r="O17" s="21" t="str">
        <x:v>In Stock</x:v>
      </x:c>
      <x:c r="P17" s="21" t="str">
        <x:v>Not calculated</x:v>
      </x:c>
      <x:c r="Q17" s="21" t="str">
        <x:v>Sampled URL displayed a mini size; full-size option was present but exact full-size price was not captured.</x:v>
      </x:c>
      <x:c r="R17" s="21" t="str">
        <x:v>Established mainstream reach</x:v>
      </x:c>
      <x:c r="S17" s="21" t="str">
        <x:v>Authorized channel and retailer review volume.</x:v>
      </x:c>
      <x:c r="T17" s="21" t="str">
        <x:v>High</x:v>
      </x:c>
      <x:c r="U17" s="25" t="str">
        <x:v>2026-07-29</x:v>
      </x:c>
      <x:c r="V17" s="21" t="str">
        <x:v>SRC-COSRX-031</x:v>
      </x:c>
      <x:c r="W17" s="21" t="str">
        <x:v>Do not compare mini price directly with 100 mL hero.</x:v>
      </x:c>
    </x:row>
    <x:row r="18" ht="90" customHeight="1">
      <x:c r="A18" s="21" t="str">
        <x:v>CH-COSRX-017</x:v>
      </x:c>
      <x:c r="B18" s="21" t="str">
        <x:v>KB001</x:v>
      </x:c>
      <x:c r="C18" s="21" t="str">
        <x:v>COSRX-P001</x:v>
      </x:c>
      <x:c r="D18" s="21" t="str">
        <x:v>Walmart U.S.</x:v>
      </x:c>
      <x:c r="E18" s="21" t="str">
        <x:v>https://www.walmart.com/ip/362279009</x:v>
      </x:c>
      <x:c r="F18" s="21" t="str">
        <x:v>Seller unable to verify</x:v>
      </x:c>
      <x:c r="G18" s="21" t="str">
        <x:v>Official U.S. mall; product seller not verified</x:v>
      </x:c>
      <x:c r="H18" s="52" t="n">
        <x:v>24</x:v>
      </x:c>
      <x:c r="I18" s="52"/>
      <x:c r="J18" s="35"/>
      <x:c r="K18" s="33" t="n">
        <x:v>188</x:v>
      </x:c>
      <x:c r="L18" s="54" t="n">
        <x:v>3.7</x:v>
      </x:c>
      <x:c r="M18" s="21"/>
      <x:c r="N18" s="21"/>
      <x:c r="O18" s="21" t="str">
        <x:v>Product page exists</x:v>
      </x:c>
      <x:c r="P18" s="21" t="str">
        <x:v>Not calculated</x:v>
      </x:c>
      <x:c r="Q18" s="21" t="str">
        <x:v>COSRX officially lists Walmart as a U.S. mall. Product-level seller/current price could not be verified because the page presented an access-verification screen.</x:v>
      </x:c>
      <x:c r="R18" s="21" t="str">
        <x:v>Unable to Verify product-level velocity</x:v>
      </x:c>
      <x:c r="S18" s="21" t="str">
        <x:v>Authorized-channel statement plus public result snippet; access limitation noted.</x:v>
      </x:c>
      <x:c r="T18" s="21" t="str">
        <x:v>Medium</x:v>
      </x:c>
      <x:c r="U18" s="25" t="str">
        <x:v>2026-07-29</x:v>
      </x:c>
      <x:c r="V18" s="21" t="str">
        <x:v>SRC-COSRX-007,SRC-COSRX-032</x:v>
      </x:c>
      <x:c r="W18" s="21" t="str">
        <x:v>No attempt was made to bypass the retailer access-verification screen.</x:v>
      </x:c>
    </x:row>
    <x:row r="19" ht="90" customHeight="1">
      <x:c r="A19" s="21" t="str">
        <x:v>CH-COSRX-018</x:v>
      </x:c>
      <x:c r="B19" s="21" t="str">
        <x:v>KB001</x:v>
      </x:c>
      <x:c r="C19" s="21"/>
      <x:c r="D19" s="21" t="str">
        <x:v>Instagram</x:v>
      </x:c>
      <x:c r="E19" s="21" t="str">
        <x:v>https://www.instagram.com/cosrx/</x:v>
      </x:c>
      <x:c r="F19" s="21" t="str">
        <x:v>COSRX</x:v>
      </x:c>
      <x:c r="G19" s="21" t="str">
        <x:v>Verified official profile</x:v>
      </x:c>
      <x:c r="H19" s="52"/>
      <x:c r="I19" s="52"/>
      <x:c r="J19" s="35"/>
      <x:c r="K19" s="33" t="n">
        <x:v>780856</x:v>
      </x:c>
      <x:c r="L19" s="54"/>
      <x:c r="M19" s="21"/>
      <x:c r="N19" s="21" t="str">
        <x:v>About 780K followers displayed</x:v>
      </x:c>
      <x:c r="O19" s="21" t="str">
        <x:v>Active</x:v>
      </x:c>
      <x:c r="P19" s="21" t="str">
        <x:v>Not calculated</x:v>
      </x:c>
      <x:c r="Q19" s="21" t="str">
        <x:v>Verified profile; bio “Friendly Derma Care for All”; brand/campaign highlights visible.</x:v>
      </x:c>
      <x:c r="R19" s="21" t="str">
        <x:v>High awareness signal</x:v>
      </x:c>
      <x:c r="S19" s="21" t="str">
        <x:v>Follower count is a public profile display, not sales.</x:v>
      </x:c>
      <x:c r="T19" s="21" t="str">
        <x:v>Medium-High</x:v>
      </x:c>
      <x:c r="U19" s="25" t="str">
        <x:v>2026-07-29</x:v>
      </x:c>
      <x:c r="V19" s="21" t="str">
        <x:v>SRC-COSRX-004</x:v>
      </x:c>
      <x:c r="W19" s="21" t="str">
        <x:v>Follower count can change.</x:v>
      </x:c>
    </x:row>
    <x:row r="20" ht="90" customHeight="1">
      <x:c r="A20" s="21" t="str">
        <x:v>CH-COSRX-019</x:v>
      </x:c>
      <x:c r="B20" s="21" t="str">
        <x:v>KB001</x:v>
      </x:c>
      <x:c r="C20" s="21"/>
      <x:c r="D20" s="21" t="str">
        <x:v>Official U.S. DTC</x:v>
      </x:c>
      <x:c r="E20" s="21" t="str">
        <x:v>https://www.cosrx.com</x:v>
      </x:c>
      <x:c r="F20" s="21" t="str">
        <x:v>COSRX HQ</x:v>
      </x:c>
      <x:c r="G20" s="21" t="str">
        <x:v>Official</x:v>
      </x:c>
      <x:c r="H20" s="52"/>
      <x:c r="I20" s="52"/>
      <x:c r="J20" s="35"/>
      <x:c r="K20" s="33"/>
      <x:c r="L20" s="54"/>
      <x:c r="M20" s="21"/>
      <x:c r="N20" s="21"/>
      <x:c r="O20" s="21" t="str">
        <x:v>Active; sampled hero pages showed backorder status</x:v>
      </x:c>
      <x:c r="P20" s="21" t="str">
        <x:v>Not calculated</x:v>
      </x:c>
      <x:c r="Q20" s="21" t="str">
        <x:v>Official brand store operated by COSRX HQ.</x:v>
      </x:c>
      <x:c r="R20" s="21" t="str">
        <x:v>Direct brand presence</x:v>
      </x:c>
      <x:c r="S20" s="21" t="str">
        <x:v>Official site; no audited sales.</x:v>
      </x:c>
      <x:c r="T20" s="21" t="str">
        <x:v>High</x:v>
      </x:c>
      <x:c r="U20" s="25" t="str">
        <x:v>2026-07-29</x:v>
      </x:c>
      <x:c r="V20" s="21" t="str">
        <x:v>SRC-COSRX-001,SRC-COSRX-007</x:v>
      </x:c>
      <x:c r="W20" s="21" t="str">
        <x:v>Check SKU availability before ordering.</x:v>
      </x:c>
    </x:row>
    <x:row r="21" ht="90" customHeight="1">
      <x:c r="A21" s="21" t="str">
        <x:v>CH-COSRX-020</x:v>
      </x:c>
      <x:c r="B21" s="21" t="str">
        <x:v>KB001</x:v>
      </x:c>
      <x:c r="C21" s="21"/>
      <x:c r="D21" s="21" t="str">
        <x:v>Other authorized retail</x:v>
      </x:c>
      <x:c r="E21" s="21" t="str">
        <x:v>https://www.cosrx.com/pages/stores</x:v>
      </x:c>
      <x:c r="F21" s="21" t="str">
        <x:v>Ulta; Target; JCPenney; Urban Outfitters; authorized global sellers</x:v>
      </x:c>
      <x:c r="G21" s="21" t="str">
        <x:v>Authorized per COSRX</x:v>
      </x:c>
      <x:c r="H21" s="52"/>
      <x:c r="I21" s="52"/>
      <x:c r="J21" s="35"/>
      <x:c r="K21" s="33"/>
      <x:c r="L21" s="54"/>
      <x:c r="M21" s="21"/>
      <x:c r="N21" s="21"/>
      <x:c r="O21" s="21" t="str">
        <x:v>Active channel list</x:v>
      </x:c>
      <x:c r="P21" s="21" t="str">
        <x:v>Not calculated</x:v>
      </x:c>
      <x:c r="Q21" s="21" t="str">
        <x:v>U.S. authorized sellers include Ulta, Ulta at Target, JCPenney and Urban Outfitters; cross-border authorized sellers include iHerb, YesStyle, StyleKorean, Stylevana, Jolse and Olive Young Global.</x:v>
      </x:c>
      <x:c r="R21" s="21" t="str">
        <x:v>Broad distribution</x:v>
      </x:c>
      <x:c r="S21" s="21" t="str">
        <x:v>Official channel list only; product-level assortment varies.</x:v>
      </x:c>
      <x:c r="T21" s="21" t="str">
        <x:v>High</x:v>
      </x:c>
      <x:c r="U21" s="25" t="str">
        <x:v>2026-07-29</x:v>
      </x:c>
      <x:c r="V21" s="21" t="str">
        <x:v>SRC-COSRX-007</x:v>
      </x:c>
      <x:c r="W21" s="21" t="str">
        <x:v>Products outside authorized routes are not guaranteed authentic by COSRX.</x:v>
      </x:c>
    </x:row>
    <x:row r="22" ht="96" customHeight="1">
      <x:c r="A22" s="21" t="str">
        <x:v>CH-BOJ-001</x:v>
      </x:c>
      <x:c r="B22" s="21" t="str">
        <x:v>KB002</x:v>
      </x:c>
      <x:c r="C22" s="21" t="str">
        <x:v>BOJ-P002</x:v>
      </x:c>
      <x:c r="D22" s="21" t="str">
        <x:v>Amazon U.S.</x:v>
      </x:c>
      <x:c r="E22" s="21" t="str">
        <x:v>https://www.amazon.com/dp/B0B45LL4DD</x:v>
      </x:c>
      <x:c r="F22" s="21" t="str">
        <x:v>BEAUTY OF JOSEON OFFICIAL</x:v>
      </x:c>
      <x:c r="G22" s="21" t="str">
        <x:v>Official seller observed</x:v>
      </x:c>
      <x:c r="H22" s="52" t="n">
        <x:v>17</x:v>
      </x:c>
      <x:c r="I22" s="52" t="n">
        <x:v>17</x:v>
      </x:c>
      <x:c r="J22" s="52" t="n">
        <x:v>0</x:v>
      </x:c>
      <x:c r="K22" s="33" t="n">
        <x:v>20037</x:v>
      </x:c>
      <x:c r="L22" s="27" t="n">
        <x:v>4.3</x:v>
      </x:c>
      <x:c r="M22" s="21" t="str">
        <x:v>#235 Beauty &amp; Personal Care; #2 Eye Treatment Serums</x:v>
      </x:c>
      <x:c r="N22" s="21" t="str">
        <x:v>50K+ bought in past month</x:v>
      </x:c>
      <x:c r="O22" s="21" t="str">
        <x:v>In Stock</x:v>
      </x:c>
      <x:c r="P22" s="21" t="str">
        <x:v>Not calculated</x:v>
      </x:c>
      <x:c r="Q22" s="21" t="str">
        <x:v>Sold by BEAUTY OF JOSEON OFFICIAL; manufacturer displayed as GREEN COS Co., Ltd.</x:v>
      </x:c>
      <x:c r="R22" s="21" t="str">
        <x:v>Very High velocity / category-leading hero</x:v>
      </x:c>
      <x:c r="S22" s="21" t="str">
        <x:v>Current BSR, purchase badge and cumulative reviews; not audited units or revenue.</x:v>
      </x:c>
      <x:c r="T22" s="21" t="str">
        <x:v>High</x:v>
      </x:c>
      <x:c r="U22" s="25" t="str">
        <x:v>2026-07-29</x:v>
      </x:c>
      <x:c r="V22" s="21" t="str">
        <x:v>SRC-BOJ-009</x:v>
      </x:c>
      <x:c r="W22" s="21" t="str">
        <x:v>ASIN B0B45LL4DD.</x:v>
      </x:c>
    </x:row>
    <x:row r="23" ht="96" customHeight="1">
      <x:c r="A23" s="21" t="str">
        <x:v>CH-BOJ-002</x:v>
      </x:c>
      <x:c r="B23" s="21" t="str">
        <x:v>KB002</x:v>
      </x:c>
      <x:c r="C23" s="21" t="str">
        <x:v>BOJ-P005</x:v>
      </x:c>
      <x:c r="D23" s="21" t="str">
        <x:v>Amazon U.S.</x:v>
      </x:c>
      <x:c r="E23" s="21" t="str">
        <x:v>https://www.amazon.com/dp/B09N919SS5</x:v>
      </x:c>
      <x:c r="F23" s="21" t="str">
        <x:v>BEAUTY OF JOSEON OFFICIAL</x:v>
      </x:c>
      <x:c r="G23" s="21" t="str">
        <x:v>Official seller observed</x:v>
      </x:c>
      <x:c r="H23" s="52" t="n">
        <x:v>13</x:v>
      </x:c>
      <x:c r="I23" s="52" t="n">
        <x:v>13</x:v>
      </x:c>
      <x:c r="J23" s="52" t="n">
        <x:v>0</x:v>
      </x:c>
      <x:c r="K23" s="33" t="n">
        <x:v>6406</x:v>
      </x:c>
      <x:c r="L23" s="27" t="n">
        <x:v>4.6</x:v>
      </x:c>
      <x:c r="M23" s="21" t="str">
        <x:v>#837 Beauty &amp; Personal Care; #21 Facial Cleansing Washes</x:v>
      </x:c>
      <x:c r="N23" s="21" t="str">
        <x:v>10K+ bought in past month</x:v>
      </x:c>
      <x:c r="O23" s="21" t="str">
        <x:v>In Stock</x:v>
      </x:c>
      <x:c r="P23" s="21" t="str">
        <x:v>Not calculated</x:v>
      </x:c>
      <x:c r="Q23" s="21" t="str">
        <x:v>Sold by BEAUTY OF JOSEON OFFICIAL; manufacturer displayed as GreenCos Co., Ltd.</x:v>
      </x:c>
      <x:c r="R23" s="21" t="str">
        <x:v>High velocity</x:v>
      </x:c>
      <x:c r="S23" s="21" t="str">
        <x:v>Current BSR, purchase badge and cumulative reviews.</x:v>
      </x:c>
      <x:c r="T23" s="21" t="str">
        <x:v>High</x:v>
      </x:c>
      <x:c r="U23" s="25" t="str">
        <x:v>2026-07-29</x:v>
      </x:c>
      <x:c r="V23" s="21" t="str">
        <x:v>SRC-BOJ-012</x:v>
      </x:c>
      <x:c r="W23" s="21" t="str">
        <x:v>ASIN B09N919SS5.</x:v>
      </x:c>
    </x:row>
    <x:row r="24" ht="96" customHeight="1">
      <x:c r="A24" s="21" t="str">
        <x:v>CH-BOJ-003</x:v>
      </x:c>
      <x:c r="B24" s="21" t="str">
        <x:v>KB002</x:v>
      </x:c>
      <x:c r="C24" s="21" t="str">
        <x:v>BOJ-P004</x:v>
      </x:c>
      <x:c r="D24" s="21" t="str">
        <x:v>Amazon U.S.</x:v>
      </x:c>
      <x:c r="E24" s="21" t="str">
        <x:v>https://www.amazon.com/dp/B08WJQ3XJD</x:v>
      </x:c>
      <x:c r="F24" s="21" t="str">
        <x:v>BEAUTY OF JOSEON OFFICIAL</x:v>
      </x:c>
      <x:c r="G24" s="21" t="str">
        <x:v>Official seller observed</x:v>
      </x:c>
      <x:c r="H24" s="52" t="n">
        <x:v>24</x:v>
      </x:c>
      <x:c r="I24" s="52" t="n">
        <x:v>24</x:v>
      </x:c>
      <x:c r="J24" s="52" t="n">
        <x:v>0</x:v>
      </x:c>
      <x:c r="K24" s="33" t="n">
        <x:v>7719</x:v>
      </x:c>
      <x:c r="L24" s="27" t="n">
        <x:v>4.5</x:v>
      </x:c>
      <x:c r="M24" s="21" t="str">
        <x:v>#1,839 Beauty &amp; Personal Care; #54 Face Moisturizers</x:v>
      </x:c>
      <x:c r="N24" s="21" t="str">
        <x:v>6K+ bought in past month</x:v>
      </x:c>
      <x:c r="O24" s="21" t="str">
        <x:v>In Stock</x:v>
      </x:c>
      <x:c r="P24" s="21" t="str">
        <x:v>Not calculated</x:v>
      </x:c>
      <x:c r="Q24" s="21" t="str">
        <x:v>Sold by BEAUTY OF JOSEON OFFICIAL; manufacturer displayed as COSMECCA KOREA CO., LTD.</x:v>
      </x:c>
      <x:c r="R24" s="21" t="str">
        <x:v>High velocity</x:v>
      </x:c>
      <x:c r="S24" s="21" t="str">
        <x:v>Current BSR, purchase badge and cumulative reviews.</x:v>
      </x:c>
      <x:c r="T24" s="21" t="str">
        <x:v>High</x:v>
      </x:c>
      <x:c r="U24" s="25" t="str">
        <x:v>2026-07-29</x:v>
      </x:c>
      <x:c r="V24" s="21" t="str">
        <x:v>SRC-BOJ-011</x:v>
      </x:c>
      <x:c r="W24" s="21" t="str">
        <x:v>ASIN B08WJQ3XJD; 50 mL.</x:v>
      </x:c>
    </x:row>
    <x:row r="25" ht="96" customHeight="1">
      <x:c r="A25" s="21" t="str">
        <x:v>CH-BOJ-004</x:v>
      </x:c>
      <x:c r="B25" s="21" t="str">
        <x:v>KB002</x:v>
      </x:c>
      <x:c r="C25" s="21" t="str">
        <x:v>BOJ-P003</x:v>
      </x:c>
      <x:c r="D25" s="21" t="str">
        <x:v>Amazon U.S.</x:v>
      </x:c>
      <x:c r="E25" s="21" t="str">
        <x:v>https://www.amazon.com/dp/B0F8LBX37X</x:v>
      </x:c>
      <x:c r="F25" s="21" t="str">
        <x:v>BEAUTY OF JOSEON OFFICIAL</x:v>
      </x:c>
      <x:c r="G25" s="21" t="str">
        <x:v>Official seller observed</x:v>
      </x:c>
      <x:c r="H25" s="52" t="n">
        <x:v>17</x:v>
      </x:c>
      <x:c r="I25" s="52" t="n">
        <x:v>14.5</x:v>
      </x:c>
      <x:c r="J25" s="52" t="n">
        <x:v>0.147</x:v>
      </x:c>
      <x:c r="K25" s="33" t="n">
        <x:v>1571</x:v>
      </x:c>
      <x:c r="L25" s="27" t="n">
        <x:v>4.6</x:v>
      </x:c>
      <x:c r="M25" s="21" t="str">
        <x:v>#3,193 Beauty &amp; Personal Care; #90 Facial Serums</x:v>
      </x:c>
      <x:c r="N25" s="21" t="str">
        <x:v>6K+ bought in past month</x:v>
      </x:c>
      <x:c r="O25" s="21" t="str">
        <x:v>In Stock</x:v>
      </x:c>
      <x:c r="P25" s="21" t="str">
        <x:v>Not calculated</x:v>
      </x:c>
      <x:c r="Q25" s="21" t="str">
        <x:v>Sold by BEAUTY OF JOSEON OFFICIAL; manufacturer displayed as Beauty of Joseon.</x:v>
      </x:c>
      <x:c r="R25" s="21" t="str">
        <x:v>High velocity</x:v>
      </x:c>
      <x:c r="S25" s="21" t="str">
        <x:v>Current BSR, purchase badge and cumulative reviews.</x:v>
      </x:c>
      <x:c r="T25" s="21" t="str">
        <x:v>High</x:v>
      </x:c>
      <x:c r="U25" s="25" t="str">
        <x:v>2026-07-29</x:v>
      </x:c>
      <x:c r="V25" s="21" t="str">
        <x:v>SRC-BOJ-010</x:v>
      </x:c>
      <x:c r="W25" s="21" t="str">
        <x:v>ASIN B0F8LBX37X; 30 mL.</x:v>
      </x:c>
    </x:row>
    <x:row r="26" ht="96" customHeight="1">
      <x:c r="A26" s="21" t="str">
        <x:v>CH-BOJ-005</x:v>
      </x:c>
      <x:c r="B26" s="21" t="str">
        <x:v>KB002</x:v>
      </x:c>
      <x:c r="C26" s="21" t="str">
        <x:v>BOJ-P001</x:v>
      </x:c>
      <x:c r="D26" s="21" t="str">
        <x:v>Amazon U.S. sunscreen search</x:v>
      </x:c>
      <x:c r="E26" s="21" t="str">
        <x:v>https://www.amazon.com/s?k=%22Daily+Relief+Sunscreen%22+%22Beauty+of+Joseon%22</x:v>
      </x:c>
      <x:c r="F26" s="21"/>
      <x:c r="G26" s="21" t="str">
        <x:v>Official exact listing not located</x:v>
      </x:c>
      <x:c r="H26" s="52" t="n">
        <x:v>18</x:v>
      </x:c>
      <x:c r="I26" s="52"/>
      <x:c r="J26" s="52"/>
      <x:c r="K26" s="33"/>
      <x:c r="L26" s="27"/>
      <x:c r="M26" s="21"/>
      <x:c r="N26" s="21" t="str">
        <x:v>Search returned many ambiguous Relief Sun-style offers and no clearly identified Daily Relief SPF 40 official card in the sampled results.</x:v>
      </x:c>
      <x:c r="O26" s="21" t="str">
        <x:v>Unable to verify</x:v>
      </x:c>
      <x:c r="P26" s="21" t="str">
        <x:v>Not calculated</x:v>
      </x:c>
      <x:c r="Q26" s="21" t="str">
        <x:v>Brand FAQ says Daily Relief SPF 40 is the only sunscreen available on the official Amazon U.S. store, but an exact current official listing was not found in the sampled search.</x:v>
      </x:c>
      <x:c r="R26" s="21" t="str">
        <x:v>Unverified current availability / high listing-risk environment</x:v>
      </x:c>
      <x:c r="S26" s="21" t="str">
        <x:v>Search-result observation plus official FAQ; absence from search is not proof of delisting.</x:v>
      </x:c>
      <x:c r="T26" s="21" t="str">
        <x:v>Medium</x:v>
      </x:c>
      <x:c r="U26" s="25" t="str">
        <x:v>2026-07-29</x:v>
      </x:c>
      <x:c r="V26" s="21" t="str">
        <x:v>SRC-BOJ-007,SRC-BOJ-013</x:v>
      </x:c>
      <x:c r="W26" s="21" t="str">
        <x:v>Do not source Korean/global SPF50+ listings for U.S. distribution without product-specific regulatory and authorization evidence.</x:v>
      </x:c>
    </x:row>
    <x:row r="27" ht="96" customHeight="1">
      <x:c r="A27" s="21" t="str">
        <x:v>CH-BOJ-006</x:v>
      </x:c>
      <x:c r="B27" s="21" t="str">
        <x:v>KB002</x:v>
      </x:c>
      <x:c r="C27" s="21"/>
      <x:c r="D27" s="21" t="str">
        <x:v>Amazon U.S. Brand Store</x:v>
      </x:c>
      <x:c r="E27" s="21" t="str">
        <x:v>https://www.amazon.com/stores/BeautyofJoseon/page/F3CC18FE-8850-48E5-A51F-C8C7DD858079</x:v>
      </x:c>
      <x:c r="F27" s="21" t="str">
        <x:v>Beauty of Joseon</x:v>
      </x:c>
      <x:c r="G27" s="21" t="str">
        <x:v>Official brand store link from authorized-retailer page</x:v>
      </x:c>
      <x:c r="H27" s="52"/>
      <x:c r="I27" s="52"/>
      <x:c r="J27" s="52"/>
      <x:c r="K27" s="33"/>
      <x:c r="L27" s="27"/>
      <x:c r="M27" s="21"/>
      <x:c r="N27" s="21" t="str">
        <x:v>Broad skincare assortment</x:v>
      </x:c>
      <x:c r="O27" s="21" t="str">
        <x:v>Active</x:v>
      </x:c>
      <x:c r="P27" s="21" t="str">
        <x:v>Not calculated</x:v>
      </x:c>
      <x:c r="Q27" s="21" t="str">
        <x:v>Official Amazon is listed as an authorized U.S. retailer; sampled hero ASINs were sold by BEAUTY OF JOSEON OFFICIAL.</x:v>
      </x:c>
      <x:c r="R27" s="21" t="str">
        <x:v>Strong official marketplace presence</x:v>
      </x:c>
      <x:c r="S27" s="21" t="str">
        <x:v>Official list plus direct seller checks.</x:v>
      </x:c>
      <x:c r="T27" s="21" t="str">
        <x:v>High</x:v>
      </x:c>
      <x:c r="U27" s="25" t="str">
        <x:v>2026-07-29</x:v>
      </x:c>
      <x:c r="V27" s="21" t="str">
        <x:v>SRC-BOJ-006,SRC-BOJ-008</x:v>
      </x:c>
      <x:c r="W27" s="21" t="str">
        <x:v>Marketplace seller must be checked at time of purchase.</x:v>
      </x:c>
    </x:row>
    <x:row r="28" ht="96" customHeight="1">
      <x:c r="A28" s="21" t="str">
        <x:v>CH-BOJ-007</x:v>
      </x:c>
      <x:c r="B28" s="21" t="str">
        <x:v>KB002</x:v>
      </x:c>
      <x:c r="C28" s="21" t="str">
        <x:v>BOJ-P001</x:v>
      </x:c>
      <x:c r="D28" s="21" t="str">
        <x:v>Official DTC</x:v>
      </x:c>
      <x:c r="E28" s="21" t="str">
        <x:v>https://beautyofjoseon.com/products/daily-relief-sunscreen</x:v>
      </x:c>
      <x:c r="F28" s="21" t="str">
        <x:v>GOODAI GLOBAL INC.</x:v>
      </x:c>
      <x:c r="G28" s="21" t="str">
        <x:v>Official</x:v>
      </x:c>
      <x:c r="H28" s="52" t="n">
        <x:v>18</x:v>
      </x:c>
      <x:c r="I28" s="52" t="n">
        <x:v>14.4</x:v>
      </x:c>
      <x:c r="J28" s="52" t="n">
        <x:v>0.2</x:v>
      </x:c>
      <x:c r="K28" s="33" t="n">
        <x:v>487</x:v>
      </x:c>
      <x:c r="L28" s="27" t="n">
        <x:v>4.7</x:v>
      </x:c>
      <x:c r="M28" s="21"/>
      <x:c r="N28" s="21" t="str">
        <x:v>92% would recommend</x:v>
      </x:c>
      <x:c r="O28" s="21" t="str">
        <x:v>Sold Out</x:v>
      </x:c>
      <x:c r="P28" s="21" t="str">
        <x:v>Not calculated</x:v>
      </x:c>
      <x:c r="Q28" s="21" t="str">
        <x:v>Official page displayed active ingredients, 487 reviews and current sold-out status.</x:v>
      </x:c>
      <x:c r="R28" s="21" t="str">
        <x:v>Strong product awareness; current stock gap</x:v>
      </x:c>
      <x:c r="S28" s="21" t="str">
        <x:v>DTC review count and stock status; no unit sales disclosed.</x:v>
      </x:c>
      <x:c r="T28" s="21" t="str">
        <x:v>High</x:v>
      </x:c>
      <x:c r="U28" s="25" t="str">
        <x:v>2026-07-29</x:v>
      </x:c>
      <x:c r="V28" s="21" t="str">
        <x:v>SRC-BOJ-014</x:v>
      </x:c>
      <x:c r="W28" s="21" t="str">
        <x:v>Price promotions change frequently.</x:v>
      </x:c>
    </x:row>
    <x:row r="29" ht="96" customHeight="1">
      <x:c r="A29" s="21" t="str">
        <x:v>CH-BOJ-008</x:v>
      </x:c>
      <x:c r="B29" s="21" t="str">
        <x:v>KB002</x:v>
      </x:c>
      <x:c r="C29" s="21"/>
      <x:c r="D29" s="21" t="str">
        <x:v>TikTok Shop U.S.</x:v>
      </x:c>
      <x:c r="E29" s="21" t="str">
        <x:v>https://shop.tiktok.com/us/k/beautyofjoseon-us</x:v>
      </x:c>
      <x:c r="F29" s="21" t="str">
        <x:v>Beauty of Joseon US</x:v>
      </x:c>
      <x:c r="G29" s="21" t="str">
        <x:v>Official Shop displayed</x:v>
      </x:c>
      <x:c r="H29" s="52"/>
      <x:c r="I29" s="52"/>
      <x:c r="J29" s="52"/>
      <x:c r="K29" s="33"/>
      <x:c r="L29" s="27"/>
      <x:c r="M29" s="21"/>
      <x:c r="N29" s="21" t="str">
        <x:v>84.6K+ followers; 657.2K sold storewide</x:v>
      </x:c>
      <x:c r="O29" s="21" t="str">
        <x:v>Active</x:v>
      </x:c>
      <x:c r="P29" s="21" t="str">
        <x:v>Not calculated</x:v>
      </x:c>
      <x:c r="Q29" s="21" t="str">
        <x:v>Official shop label and broad product assortment observed in public platform results.</x:v>
      </x:c>
      <x:c r="R29" s="21" t="str">
        <x:v>Very High social-commerce scale</x:v>
      </x:c>
      <x:c r="S29" s="21" t="str">
        <x:v>Public cumulative store/product displays, not audited period sell-through.</x:v>
      </x:c>
      <x:c r="T29" s="21" t="str">
        <x:v>Medium-High</x:v>
      </x:c>
      <x:c r="U29" s="25" t="str">
        <x:v>2026-07-29</x:v>
      </x:c>
      <x:c r="V29" s="21" t="str">
        <x:v>SRC-BOJ-022,SRC-BOJ-023</x:v>
      </x:c>
      <x:c r="W29" s="21" t="str">
        <x:v>Promotions and seller identity should be rechecked before contracting.</x:v>
      </x:c>
    </x:row>
    <x:row r="30" ht="96" customHeight="1">
      <x:c r="A30" s="21" t="str">
        <x:v>CH-BOJ-009</x:v>
      </x:c>
      <x:c r="B30" s="21" t="str">
        <x:v>KB002</x:v>
      </x:c>
      <x:c r="C30" s="21"/>
      <x:c r="D30" s="21" t="str">
        <x:v>Sephora U.S.</x:v>
      </x:c>
      <x:c r="E30" s="21" t="str">
        <x:v>https://www.sephora.com/brand/beauty-of-joseon</x:v>
      </x:c>
      <x:c r="F30" s="21" t="str">
        <x:v>Sephora</x:v>
      </x:c>
      <x:c r="G30" s="21" t="str">
        <x:v>Authorized online and offline</x:v>
      </x:c>
      <x:c r="H30" s="52"/>
      <x:c r="I30" s="52"/>
      <x:c r="J30" s="52"/>
      <x:c r="K30" s="33"/>
      <x:c r="L30" s="27"/>
      <x:c r="M30" s="21"/>
      <x:c r="N30" s="21" t="str">
        <x:v>22-product assortment; current heroes and U.S.-specific SPF products listed</x:v>
      </x:c>
      <x:c r="O30" s="21" t="str">
        <x:v>Active</x:v>
      </x:c>
      <x:c r="P30" s="21" t="str">
        <x:v>Not calculated</x:v>
      </x:c>
      <x:c r="Q30" s="21" t="str">
        <x:v>Official authorized-retailer list names Sephora online/offline; Sephora brand page displayed 22 results.</x:v>
      </x:c>
      <x:c r="R30" s="21" t="str">
        <x:v>Mainstream specialty-retail validation</x:v>
      </x:c>
      <x:c r="S30" s="21" t="str">
        <x:v>Current assortment count and product-level reviews/prices.</x:v>
      </x:c>
      <x:c r="T30" s="21" t="str">
        <x:v>High</x:v>
      </x:c>
      <x:c r="U30" s="25" t="str">
        <x:v>2026-07-29</x:v>
      </x:c>
      <x:c r="V30" s="21" t="str">
        <x:v>SRC-BOJ-006,SRC-BOJ-019,SRC-BOJ-020</x:v>
      </x:c>
      <x:c r="W30" s="21" t="str">
        <x:v>Sephora presence reduces whitespace and raises channel-conflict risk for a new distributor.</x:v>
      </x:c>
    </x:row>
    <x:row r="31" ht="96" customHeight="1">
      <x:c r="A31" s="21" t="str">
        <x:v>CH-BOJ-010</x:v>
      </x:c>
      <x:c r="B31" s="21" t="str">
        <x:v>KB002</x:v>
      </x:c>
      <x:c r="C31" s="21"/>
      <x:c r="D31" s="21" t="str">
        <x:v>Costco U.S.</x:v>
      </x:c>
      <x:c r="E31" s="21" t="str">
        <x:v>https://www.costco.com/</x:v>
      </x:c>
      <x:c r="F31" s="21" t="str">
        <x:v>Costco</x:v>
      </x:c>
      <x:c r="G31" s="21" t="str">
        <x:v>Authorized online per official list</x:v>
      </x:c>
      <x:c r="H31" s="52"/>
      <x:c r="I31" s="52"/>
      <x:c r="J31" s="52"/>
      <x:c r="K31" s="33"/>
      <x:c r="L31" s="27"/>
      <x:c r="M31" s="21"/>
      <x:c r="N31" s="21" t="str">
        <x:v>Assortment not independently located in this pass</x:v>
      </x:c>
      <x:c r="O31" s="21" t="str">
        <x:v>Unable to verify current stock</x:v>
      </x:c>
      <x:c r="P31" s="21" t="str">
        <x:v>Not calculated</x:v>
      </x:c>
      <x:c r="Q31" s="21" t="str">
        <x:v>Beauty of Joseon's official U.S. authorized-retailer list names Costco online.</x:v>
      </x:c>
      <x:c r="R31" s="21" t="str">
        <x:v>Authorized channel; current assortment unknown</x:v>
      </x:c>
      <x:c r="S31" s="21" t="str">
        <x:v>Official authorization list only.</x:v>
      </x:c>
      <x:c r="T31" s="21" t="str">
        <x:v>Medium</x:v>
      </x:c>
      <x:c r="U31" s="25" t="str">
        <x:v>2026-07-29</x:v>
      </x:c>
      <x:c r="V31" s="21" t="str">
        <x:v>SRC-BOJ-006</x:v>
      </x:c>
      <x:c r="W31" s="21" t="str">
        <x:v>Confirm current Costco program and any exclusivity/pack restrictions with Goodai.</x:v>
      </x:c>
    </x:row>
    <x:row r="32" ht="96" customHeight="1">
      <x:c r="A32" s="21" t="str">
        <x:v>CH-BOJ-011</x:v>
      </x:c>
      <x:c r="B32" s="21" t="str">
        <x:v>KB002</x:v>
      </x:c>
      <x:c r="C32" s="21" t="str">
        <x:v>BOJ-P002</x:v>
      </x:c>
      <x:c r="D32" s="21" t="str">
        <x:v>Walmart U.S. Marketplace</x:v>
      </x:c>
      <x:c r="E32" s="21" t="str">
        <x:v>https://www.walmart.com/ip/1952260118</x:v>
      </x:c>
      <x:c r="F32" s="21" t="str">
        <x:v>Premium Beauty US</x:v>
      </x:c>
      <x:c r="G32" s="21" t="str">
        <x:v>Third-party seller; not confirmed on official U.S. list</x:v>
      </x:c>
      <x:c r="H32" s="52" t="n">
        <x:v>18.99</x:v>
      </x:c>
      <x:c r="I32" s="52" t="n">
        <x:v>17</x:v>
      </x:c>
      <x:c r="J32" s="52" t="n">
        <x:v>0.105</x:v>
      </x:c>
      <x:c r="K32" s="33" t="n">
        <x:v>75</x:v>
      </x:c>
      <x:c r="L32" s="27" t="n">
        <x:v>3.9</x:v>
      </x:c>
      <x:c r="M32" s="21"/>
      <x:c r="N32" s="21"/>
      <x:c r="O32" s="21" t="str">
        <x:v>Shipping available; pickup/delivery unavailable</x:v>
      </x:c>
      <x:c r="P32" s="21" t="str">
        <x:v>Not calculated</x:v>
      </x:c>
      <x:c r="Q32" s="21" t="str">
        <x:v>Walmart page displayed third-party seller Premium Beauty US and Walmart fulfillment.</x:v>
      </x:c>
      <x:c r="R32" s="21" t="str">
        <x:v>Marketplace presence with authorization uncertainty</x:v>
      </x:c>
      <x:c r="S32" s="21" t="str">
        <x:v>Current offer page and official authorized list comparison.</x:v>
      </x:c>
      <x:c r="T32" s="21" t="str">
        <x:v>High</x:v>
      </x:c>
      <x:c r="U32" s="25" t="str">
        <x:v>2026-07-29</x:v>
      </x:c>
      <x:c r="V32" s="21" t="str">
        <x:v>SRC-BOJ-006,SRC-BOJ-021</x:v>
      </x:c>
      <x:c r="W32" s="21" t="str">
        <x:v>Walmart is listed for Canada, not the U.S., on the official page. Do not infer U.S. authorization.</x:v>
      </x:c>
    </x:row>
    <x:row r="33" ht="96" customHeight="1">
      <x:c r="A33" s="21" t="str">
        <x:v>CH-BOJ-012</x:v>
      </x:c>
      <x:c r="B33" s="21" t="str">
        <x:v>KB002</x:v>
      </x:c>
      <x:c r="C33" s="21"/>
      <x:c r="D33" s="21" t="str">
        <x:v>TJ Maxx / Marshalls / Senti Senti</x:v>
      </x:c>
      <x:c r="E33" s="21" t="str">
        <x:v>https://beautyofjoseon.com/pages/authorized-online-retailers</x:v>
      </x:c>
      <x:c r="F33" s="21" t="str">
        <x:v>Various authorized retailers</x:v>
      </x:c>
      <x:c r="G33" s="21" t="str">
        <x:v>Authorized offline per official list</x:v>
      </x:c>
      <x:c r="H33" s="52"/>
      <x:c r="I33" s="52"/>
      <x:c r="J33" s="52"/>
      <x:c r="K33" s="33"/>
      <x:c r="L33" s="27"/>
      <x:c r="M33" s="21"/>
      <x:c r="N33" s="21" t="str">
        <x:v>U.S. offline authorization listed</x:v>
      </x:c>
      <x:c r="O33" s="21" t="str">
        <x:v>Active / assortment varies</x:v>
      </x:c>
      <x:c r="P33" s="21" t="str">
        <x:v>Not calculated</x:v>
      </x:c>
      <x:c r="Q33" s="21" t="str">
        <x:v>Official page names TJ Maxx, Marshalls, Senti Senti and Sephora for U.S. offline retail.</x:v>
      </x:c>
      <x:c r="R33" s="21" t="str">
        <x:v>Broad value/off-price and specialty presence</x:v>
      </x:c>
      <x:c r="S33" s="21" t="str">
        <x:v>Official authorization list; store-level inventory not checked.</x:v>
      </x:c>
      <x:c r="T33" s="21" t="str">
        <x:v>High</x:v>
      </x:c>
      <x:c r="U33" s="25" t="str">
        <x:v>2026-07-29</x:v>
      </x:c>
      <x:c r="V33" s="21" t="str">
        <x:v>SRC-BOJ-006</x:v>
      </x:c>
      <x:c r="W33" s="21" t="str">
        <x:v>Off-price exposure can complicate MAP, assortment and freshness control.</x:v>
      </x:c>
    </x:row>
    <x:row r="34" ht="98" customHeight="1">
      <x:c r="A34" s="21" t="str">
        <x:v>CH-ANUA-001</x:v>
      </x:c>
      <x:c r="B34" s="21" t="str">
        <x:v>KB003</x:v>
      </x:c>
      <x:c r="C34" s="21" t="str">
        <x:v>ANUA-P001</x:v>
      </x:c>
      <x:c r="D34" s="21" t="str">
        <x:v>Amazon U.S.</x:v>
      </x:c>
      <x:c r="E34" s="21" t="str">
        <x:v>https://www.amazon.com/dp/B0BVV8BNYJ</x:v>
      </x:c>
      <x:c r="F34" s="21" t="str">
        <x:v>Anua</x:v>
      </x:c>
      <x:c r="G34" s="21" t="str">
        <x:v>Official seller observed</x:v>
      </x:c>
      <x:c r="H34" s="52" t="n">
        <x:v>20</x:v>
      </x:c>
      <x:c r="I34" s="52" t="n">
        <x:v>13</x:v>
      </x:c>
      <x:c r="J34" s="52" t="n">
        <x:v>0.35</x:v>
      </x:c>
      <x:c r="K34" s="33" t="n">
        <x:v>20358</x:v>
      </x:c>
      <x:c r="L34" s="27" t="n">
        <x:v>4.6</x:v>
      </x:c>
      <x:c r="M34" s="21" t="str">
        <x:v>#126 Beauty &amp; Personal Care; #7 Facial Cleansing Washes</x:v>
      </x:c>
      <x:c r="N34" s="21" t="str">
        <x:v>60K+ bought in past month</x:v>
      </x:c>
      <x:c r="O34" s="21" t="str">
        <x:v>In Stock</x:v>
      </x:c>
      <x:c r="P34" s="21" t="str">
        <x:v>Not calculated</x:v>
      </x:c>
      <x:c r="Q34" s="21" t="str">
        <x:v>Ships from Amazon; sold by Anua.</x:v>
      </x:c>
      <x:c r="R34" s="21" t="str">
        <x:v>Very High velocity / category-leading cleanser</x:v>
      </x:c>
      <x:c r="S34" s="21" t="str">
        <x:v>Current BSR, purchase badge and cumulative reviews; not audited units or revenue.</x:v>
      </x:c>
      <x:c r="T34" s="21" t="str">
        <x:v>High</x:v>
      </x:c>
      <x:c r="U34" s="25" t="str">
        <x:v>2026-07-29</x:v>
      </x:c>
      <x:c r="V34" s="21" t="str">
        <x:v>SRC-ANUA-007</x:v>
      </x:c>
      <x:c r="W34" s="21" t="str">
        <x:v>ASIN B0BVV8BNYJ.</x:v>
      </x:c>
    </x:row>
    <x:row r="35" ht="98" customHeight="1">
      <x:c r="A35" s="21" t="str">
        <x:v>CH-ANUA-002</x:v>
      </x:c>
      <x:c r="B35" s="21" t="str">
        <x:v>KB003</x:v>
      </x:c>
      <x:c r="C35" s="21" t="str">
        <x:v>ANUA-P002</x:v>
      </x:c>
      <x:c r="D35" s="21" t="str">
        <x:v>Amazon U.S.</x:v>
      </x:c>
      <x:c r="E35" s="21" t="str">
        <x:v>https://www.amazon.com/dp/B0DG1DQ2S7</x:v>
      </x:c>
      <x:c r="F35" s="21" t="str">
        <x:v>Anua</x:v>
      </x:c>
      <x:c r="G35" s="21" t="str">
        <x:v>Official seller observed</x:v>
      </x:c>
      <x:c r="H35" s="52" t="n">
        <x:v>24</x:v>
      </x:c>
      <x:c r="I35" s="52" t="n">
        <x:v>22</x:v>
      </x:c>
      <x:c r="J35" s="52" t="n">
        <x:v>0.0833</x:v>
      </x:c>
      <x:c r="K35" s="33" t="n">
        <x:v>5623</x:v>
      </x:c>
      <x:c r="L35" s="27" t="n">
        <x:v>4.6</x:v>
      </x:c>
      <x:c r="M35" s="21" t="str">
        <x:v>#85 Beauty &amp; Personal Care; #6 Facial Serums</x:v>
      </x:c>
      <x:c r="N35" s="21" t="str">
        <x:v>70K+ bought in past month</x:v>
      </x:c>
      <x:c r="O35" s="21" t="str">
        <x:v>In Stock</x:v>
      </x:c>
      <x:c r="P35" s="21" t="str">
        <x:v>Not calculated</x:v>
      </x:c>
      <x:c r="Q35" s="21" t="str">
        <x:v>Ships from Amazon; sold by Anua.</x:v>
      </x:c>
      <x:c r="R35" s="21" t="str">
        <x:v>Very High velocity / fastest sampled purchase signal</x:v>
      </x:c>
      <x:c r="S35" s="21" t="str">
        <x:v>Current BSR, purchase badge and cumulative reviews.</x:v>
      </x:c>
      <x:c r="T35" s="21" t="str">
        <x:v>High</x:v>
      </x:c>
      <x:c r="U35" s="25" t="str">
        <x:v>2026-07-29</x:v>
      </x:c>
      <x:c r="V35" s="21" t="str">
        <x:v>SRC-ANUA-008</x:v>
      </x:c>
      <x:c r="W35" s="21" t="str">
        <x:v>ASIN B0DG1DQ2S7.</x:v>
      </x:c>
    </x:row>
    <x:row r="36" ht="98" customHeight="1">
      <x:c r="A36" s="21" t="str">
        <x:v>CH-ANUA-003</x:v>
      </x:c>
      <x:c r="B36" s="21" t="str">
        <x:v>KB003</x:v>
      </x:c>
      <x:c r="C36" s="21" t="str">
        <x:v>ANUA-P003</x:v>
      </x:c>
      <x:c r="D36" s="21" t="str">
        <x:v>Amazon U.S.</x:v>
      </x:c>
      <x:c r="E36" s="21" t="str">
        <x:v>https://www.amazon.com/dp/B0BN2PX8V3</x:v>
      </x:c>
      <x:c r="F36" s="21" t="str">
        <x:v>Anua</x:v>
      </x:c>
      <x:c r="G36" s="21" t="str">
        <x:v>Official seller observed</x:v>
      </x:c>
      <x:c r="H36" s="52" t="n">
        <x:v>22</x:v>
      </x:c>
      <x:c r="I36" s="52" t="n">
        <x:v>17</x:v>
      </x:c>
      <x:c r="J36" s="52" t="n">
        <x:v>0.2273</x:v>
      </x:c>
      <x:c r="K36" s="33" t="n">
        <x:v>28272</x:v>
      </x:c>
      <x:c r="L36" s="27" t="n">
        <x:v>4.4</x:v>
      </x:c>
      <x:c r="M36" s="21" t="str">
        <x:v>#251 Beauty &amp; Personal Care; #1 Makeup Cleansing Oils</x:v>
      </x:c>
      <x:c r="N36" s="21" t="str">
        <x:v>50K+ bought in past month</x:v>
      </x:c>
      <x:c r="O36" s="21" t="str">
        <x:v>In Stock</x:v>
      </x:c>
      <x:c r="P36" s="21" t="str">
        <x:v>Not calculated</x:v>
      </x:c>
      <x:c r="Q36" s="21" t="str">
        <x:v>Ships from Amazon; sold by Anua.</x:v>
      </x:c>
      <x:c r="R36" s="21" t="str">
        <x:v>Very High velocity / subcategory leader</x:v>
      </x:c>
      <x:c r="S36" s="21" t="str">
        <x:v>Current BSR, purchase badge and cumulative reviews.</x:v>
      </x:c>
      <x:c r="T36" s="21" t="str">
        <x:v>High</x:v>
      </x:c>
      <x:c r="U36" s="25" t="str">
        <x:v>2026-07-29</x:v>
      </x:c>
      <x:c r="V36" s="21" t="str">
        <x:v>SRC-ANUA-009</x:v>
      </x:c>
      <x:c r="W36" s="21" t="str">
        <x:v>ASIN B0BN2PX8V3.</x:v>
      </x:c>
    </x:row>
    <x:row r="37" ht="98" customHeight="1">
      <x:c r="A37" s="21" t="str">
        <x:v>CH-ANUA-004</x:v>
      </x:c>
      <x:c r="B37" s="21" t="str">
        <x:v>KB003</x:v>
      </x:c>
      <x:c r="C37" s="21" t="str">
        <x:v>ANUA-P004</x:v>
      </x:c>
      <x:c r="D37" s="21" t="str">
        <x:v>Amazon U.S.</x:v>
      </x:c>
      <x:c r="E37" s="21" t="str">
        <x:v>https://www.amazon.com/dp/B0CLLV2T1P</x:v>
      </x:c>
      <x:c r="F37" s="21" t="str">
        <x:v>Anua</x:v>
      </x:c>
      <x:c r="G37" s="21" t="str">
        <x:v>Official seller observed</x:v>
      </x:c>
      <x:c r="H37" s="52" t="n">
        <x:v>24</x:v>
      </x:c>
      <x:c r="I37" s="52" t="n">
        <x:v>21.85</x:v>
      </x:c>
      <x:c r="J37" s="52" t="n">
        <x:v>0.0896</x:v>
      </x:c>
      <x:c r="K37" s="33" t="n">
        <x:v>16354</x:v>
      </x:c>
      <x:c r="L37" s="27" t="n">
        <x:v>4.5</x:v>
      </x:c>
      <x:c r="M37" s="21" t="str">
        <x:v>#316 Beauty &amp; Personal Care; #16 Facial Serums</x:v>
      </x:c>
      <x:c r="N37" s="21" t="str">
        <x:v>30K+ bought in past month</x:v>
      </x:c>
      <x:c r="O37" s="21" t="str">
        <x:v>In Stock</x:v>
      </x:c>
      <x:c r="P37" s="21" t="str">
        <x:v>Not calculated</x:v>
      </x:c>
      <x:c r="Q37" s="21" t="str">
        <x:v>Ships from Amazon; sold by Anua.</x:v>
      </x:c>
      <x:c r="R37" s="21" t="str">
        <x:v>Very High velocity</x:v>
      </x:c>
      <x:c r="S37" s="21" t="str">
        <x:v>Current BSR, purchase badge and cumulative reviews.</x:v>
      </x:c>
      <x:c r="T37" s="21" t="str">
        <x:v>High</x:v>
      </x:c>
      <x:c r="U37" s="25" t="str">
        <x:v>2026-07-29</x:v>
      </x:c>
      <x:c r="V37" s="21" t="str">
        <x:v>SRC-ANUA-010</x:v>
      </x:c>
      <x:c r="W37" s="21" t="str">
        <x:v>ASIN B0CLLV2T1P.</x:v>
      </x:c>
    </x:row>
    <x:row r="38" ht="98" customHeight="1">
      <x:c r="A38" s="21" t="str">
        <x:v>CH-ANUA-005</x:v>
      </x:c>
      <x:c r="B38" s="21" t="str">
        <x:v>KB003</x:v>
      </x:c>
      <x:c r="C38" s="21" t="str">
        <x:v>ANUA-P005</x:v>
      </x:c>
      <x:c r="D38" s="21" t="str">
        <x:v>Amazon U.S.</x:v>
      </x:c>
      <x:c r="E38" s="21" t="str">
        <x:v>https://www.amazon.com/dp/B08CMS8P67</x:v>
      </x:c>
      <x:c r="F38" s="21" t="str">
        <x:v>Anua</x:v>
      </x:c>
      <x:c r="G38" s="21" t="str">
        <x:v>Official seller observed</x:v>
      </x:c>
      <x:c r="H38" s="52" t="n">
        <x:v>23</x:v>
      </x:c>
      <x:c r="I38" s="52" t="n">
        <x:v>19.69</x:v>
      </x:c>
      <x:c r="J38" s="52" t="n">
        <x:v>0.1439</x:v>
      </x:c>
      <x:c r="K38" s="33" t="n">
        <x:v>14779</x:v>
      </x:c>
      <x:c r="L38" s="27" t="n">
        <x:v>4.5</x:v>
      </x:c>
      <x:c r="M38" s="21" t="str">
        <x:v>#1,502 Beauty &amp; Personal Care; #16 Facial Toners &amp; Astringents</x:v>
      </x:c>
      <x:c r="N38" s="21" t="str">
        <x:v>10K+ bought in past month</x:v>
      </x:c>
      <x:c r="O38" s="21" t="str">
        <x:v>In Stock</x:v>
      </x:c>
      <x:c r="P38" s="21" t="str">
        <x:v>Not calculated</x:v>
      </x:c>
      <x:c r="Q38" s="21" t="str">
        <x:v>Ships from Amazon; sold by Anua.</x:v>
      </x:c>
      <x:c r="R38" s="21" t="str">
        <x:v>High velocity / durable legacy hero</x:v>
      </x:c>
      <x:c r="S38" s="21" t="str">
        <x:v>Current direct rank conflicts with the general #1 claim on the official page.</x:v>
      </x:c>
      <x:c r="T38" s="21" t="str">
        <x:v>High</x:v>
      </x:c>
      <x:c r="U38" s="25" t="str">
        <x:v>2026-07-29</x:v>
      </x:c>
      <x:c r="V38" s="21" t="str">
        <x:v>SRC-ANUA-011</x:v>
      </x:c>
      <x:c r="W38" s="21" t="str">
        <x:v>ASIN B08CMS8P67; record current rank, not the undated #1 claim.</x:v>
      </x:c>
    </x:row>
    <x:row r="39" ht="98" customHeight="1">
      <x:c r="A39" s="21" t="str">
        <x:v>CH-ANUA-006</x:v>
      </x:c>
      <x:c r="B39" s="21" t="str">
        <x:v>KB003</x:v>
      </x:c>
      <x:c r="C39" s="21"/>
      <x:c r="D39" s="21" t="str">
        <x:v>Amazon U.S. — PDRN Serum</x:v>
      </x:c>
      <x:c r="E39" s="21" t="str">
        <x:v>https://www.amazon.com/dp/B0DLB58CWR</x:v>
      </x:c>
      <x:c r="F39" s="21" t="str">
        <x:v>Anua</x:v>
      </x:c>
      <x:c r="G39" s="21" t="str">
        <x:v>Official seller observed</x:v>
      </x:c>
      <x:c r="H39" s="52" t="n">
        <x:v>30</x:v>
      </x:c>
      <x:c r="I39" s="52" t="n">
        <x:v>27.37</x:v>
      </x:c>
      <x:c r="J39" s="52" t="n">
        <x:v>0.0877</x:v>
      </x:c>
      <x:c r="K39" s="33" t="n">
        <x:v>1383</x:v>
      </x:c>
      <x:c r="L39" s="27" t="n">
        <x:v>4.6</x:v>
      </x:c>
      <x:c r="M39" s="21" t="str">
        <x:v>#2,859 Beauty &amp; Personal Care; #81 Facial Serums</x:v>
      </x:c>
      <x:c r="N39" s="21" t="str">
        <x:v>8K+ bought in past month</x:v>
      </x:c>
      <x:c r="O39" s="21" t="str">
        <x:v>In Stock</x:v>
      </x:c>
      <x:c r="P39" s="21" t="str">
        <x:v>Not calculated</x:v>
      </x:c>
      <x:c r="Q39" s="21" t="str">
        <x:v>Ships from Amazon; sold by Anua.</x:v>
      </x:c>
      <x:c r="R39" s="21" t="str">
        <x:v>High emerging velocity</x:v>
      </x:c>
      <x:c r="S39" s="21" t="str">
        <x:v>Smaller review base but strong monthly purchase badge; emerging innovation SKU.</x:v>
      </x:c>
      <x:c r="T39" s="21" t="str">
        <x:v>High</x:v>
      </x:c>
      <x:c r="U39" s="25" t="str">
        <x:v>2026-07-29</x:v>
      </x:c>
      <x:c r="V39" s="21" t="str">
        <x:v>SRC-ANUA-012</x:v>
      </x:c>
      <x:c r="W39" s="21" t="str">
        <x:v>ASIN B0DLB58CWR; PDRN Hyaluronic Acid Capsule 100 Serum.</x:v>
      </x:c>
    </x:row>
    <x:row r="40" ht="98" customHeight="1">
      <x:c r="A40" s="21" t="str">
        <x:v>CH-ANUA-007</x:v>
      </x:c>
      <x:c r="B40" s="21" t="str">
        <x:v>KB003</x:v>
      </x:c>
      <x:c r="C40" s="21"/>
      <x:c r="D40" s="21" t="str">
        <x:v>Amazon U.S. Brand Store</x:v>
      </x:c>
      <x:c r="E40" s="21" t="str">
        <x:v>https://www.amazon.com/stores/Anua/page/D1BEFB29-D065-44FC-81A2-E5A8526E1651</x:v>
      </x:c>
      <x:c r="F40" s="21" t="str">
        <x:v>Anua</x:v>
      </x:c>
      <x:c r="G40" s="21" t="str">
        <x:v>Official brand store</x:v>
      </x:c>
      <x:c r="H40" s="52"/>
      <x:c r="I40" s="52"/>
      <x:c r="J40" s="52"/>
      <x:c r="K40" s="33"/>
      <x:c r="L40" s="27"/>
      <x:c r="M40" s="21"/>
      <x:c r="N40" s="21" t="str">
        <x:v>Broad skincare assortment</x:v>
      </x:c>
      <x:c r="O40" s="21" t="str">
        <x:v>Active</x:v>
      </x:c>
      <x:c r="P40" s="21" t="str">
        <x:v>Not calculated</x:v>
      </x:c>
      <x:c r="Q40" s="21" t="str">
        <x:v>Brand store and six direct seller checks support official marketplace presence.</x:v>
      </x:c>
      <x:c r="R40" s="21" t="str">
        <x:v>Very strong official marketplace presence</x:v>
      </x:c>
      <x:c r="S40" s="21" t="str">
        <x:v>Individual offer seller must still be checked at purchase.</x:v>
      </x:c>
      <x:c r="T40" s="21" t="str">
        <x:v>High</x:v>
      </x:c>
      <x:c r="U40" s="25" t="str">
        <x:v>2026-07-29</x:v>
      </x:c>
      <x:c r="V40" s="21" t="str">
        <x:v>SRC-ANUA-018</x:v>
      </x:c>
      <x:c r="W40" s="21" t="str">
        <x:v>Official brand storefront.</x:v>
      </x:c>
    </x:row>
    <x:row r="41" ht="98" customHeight="1">
      <x:c r="A41" s="21" t="str">
        <x:v>CH-ANUA-008</x:v>
      </x:c>
      <x:c r="B41" s="21" t="str">
        <x:v>KB003</x:v>
      </x:c>
      <x:c r="C41" s="21"/>
      <x:c r="D41" s="21" t="str">
        <x:v>Official DTC</x:v>
      </x:c>
      <x:c r="E41" s="21" t="str">
        <x:v>https://anua.com</x:v>
      </x:c>
      <x:c r="F41" s="21" t="str">
        <x:v>The Founders / Anua U.S.</x:v>
      </x:c>
      <x:c r="G41" s="21" t="str">
        <x:v>Official</x:v>
      </x:c>
      <x:c r="H41" s="52"/>
      <x:c r="I41" s="52"/>
      <x:c r="J41" s="52"/>
      <x:c r="K41" s="33"/>
      <x:c r="L41" s="27"/>
      <x:c r="M41" s="21"/>
      <x:c r="N41" s="21" t="str">
        <x:v>Full U.S. assortment; sampled official hero list prices $20–$30</x:v>
      </x:c>
      <x:c r="O41" s="21" t="str">
        <x:v>Active</x:v>
      </x:c>
      <x:c r="P41" s="21" t="str">
        <x:v>Not calculated</x:v>
      </x:c>
      <x:c r="Q41" s="21" t="str">
        <x:v>U.S. storefront, U.S. customer service and official product/review pages verified.</x:v>
      </x:c>
      <x:c r="R41" s="21" t="str">
        <x:v>Strong direct channel</x:v>
      </x:c>
      <x:c r="S41" s="21" t="str">
        <x:v>Official facts and brand-owned review environment; no unit sales disclosed.</x:v>
      </x:c>
      <x:c r="T41" s="21" t="str">
        <x:v>High</x:v>
      </x:c>
      <x:c r="U41" s="25" t="str">
        <x:v>2026-07-29</x:v>
      </x:c>
      <x:c r="V41" s="21" t="str">
        <x:v>SRC-ANUA-001,SRC-ANUA-013,SRC-ANUA-017</x:v>
      </x:c>
      <x:c r="W41" s="21" t="str">
        <x:v>Official promotions change frequently.</x:v>
      </x:c>
    </x:row>
    <x:row r="42" ht="98" customHeight="1">
      <x:c r="A42" s="21" t="str">
        <x:v>CH-ANUA-009</x:v>
      </x:c>
      <x:c r="B42" s="21" t="str">
        <x:v>KB003</x:v>
      </x:c>
      <x:c r="C42" s="21"/>
      <x:c r="D42" s="21" t="str">
        <x:v>TikTok Shop U.S.</x:v>
      </x:c>
      <x:c r="E42" s="21" t="str">
        <x:v>https://shop.tiktok.com/us/k/anua-store-us</x:v>
      </x:c>
      <x:c r="F42" s="21" t="str">
        <x:v>Anua Store US</x:v>
      </x:c>
      <x:c r="G42" s="21" t="str">
        <x:v>Official shop displayed</x:v>
      </x:c>
      <x:c r="H42" s="52"/>
      <x:c r="I42" s="52"/>
      <x:c r="J42" s="52"/>
      <x:c r="K42" s="33"/>
      <x:c r="L42" s="27"/>
      <x:c r="M42" s="21"/>
      <x:c r="N42" s="21" t="str">
        <x:v>171.1K+ followers; 1.3M sold storewide; selected products 21K–96.4K sold</x:v>
      </x:c>
      <x:c r="O42" s="21" t="str">
        <x:v>Active</x:v>
      </x:c>
      <x:c r="P42" s="21" t="str">
        <x:v>Not calculated</x:v>
      </x:c>
      <x:c r="Q42" s="21" t="str">
        <x:v>Public shop and product displays showed major U.S. social-commerce scale.</x:v>
      </x:c>
      <x:c r="R42" s="21" t="str">
        <x:v>Very High social-commerce scale</x:v>
      </x:c>
      <x:c r="S42" s="21" t="str">
        <x:v>Cumulative dynamic platform displays, not audited period revenue.</x:v>
      </x:c>
      <x:c r="T42" s="21" t="str">
        <x:v>Medium-High</x:v>
      </x:c>
      <x:c r="U42" s="25" t="str">
        <x:v>2026-07-29</x:v>
      </x:c>
      <x:c r="V42" s="21" t="str">
        <x:v>SRC-ANUA-021</x:v>
      </x:c>
      <x:c r="W42" s="21" t="str">
        <x:v>Promotion intensity and sold totals change.</x:v>
      </x:c>
    </x:row>
    <x:row r="43" ht="98" customHeight="1">
      <x:c r="A43" s="21" t="str">
        <x:v>CH-ANUA-010</x:v>
      </x:c>
      <x:c r="B43" s="21" t="str">
        <x:v>KB003</x:v>
      </x:c>
      <x:c r="C43" s="21" t="str">
        <x:v>ANUA-P005</x:v>
      </x:c>
      <x:c r="D43" s="21" t="str">
        <x:v>Ulta Beauty U.S.</x:v>
      </x:c>
      <x:c r="E43" s="21" t="str">
        <x:v>https://www.ulta.com/p/heartleaf-77-soothing-toner-pimprod2048929</x:v>
      </x:c>
      <x:c r="F43" s="21" t="str">
        <x:v>Ulta Beauty</x:v>
      </x:c>
      <x:c r="G43" s="21" t="str">
        <x:v>Authorized national retail</x:v>
      </x:c>
      <x:c r="H43" s="52" t="n">
        <x:v>23</x:v>
      </x:c>
      <x:c r="I43" s="52" t="n">
        <x:v>21</x:v>
      </x:c>
      <x:c r="J43" s="52" t="n">
        <x:v>0.087</x:v>
      </x:c>
      <x:c r="K43" s="33" t="n">
        <x:v>144</x:v>
      </x:c>
      <x:c r="L43" s="27" t="n">
        <x:v>4.4</x:v>
      </x:c>
      <x:c r="M43" s="21"/>
      <x:c r="N43" s="21" t="str">
        <x:v>Brand reported in approximately 1,500 stores</x:v>
      </x:c>
      <x:c r="O43" s="21" t="str">
        <x:v>Active</x:v>
      </x:c>
      <x:c r="P43" s="21" t="str">
        <x:v>Not calculated</x:v>
      </x:c>
      <x:c r="Q43" s="21" t="str">
        <x:v>Korea Times reported all 1,500 Ulta stores; toner and broad Anua assortment are current.</x:v>
      </x:c>
      <x:c r="R43" s="21" t="str">
        <x:v>Nationwide mainstream specialty validation</x:v>
      </x:c>
      <x:c r="S43" s="21" t="str">
        <x:v>Retailer price/review snapshot plus corporate interview.</x:v>
      </x:c>
      <x:c r="T43" s="21" t="str">
        <x:v>High</x:v>
      </x:c>
      <x:c r="U43" s="25" t="str">
        <x:v>2026-07-29</x:v>
      </x:c>
      <x:c r="V43" s="21" t="str">
        <x:v>SRC-ANUA-005,SRC-ANUA-023</x:v>
      </x:c>
      <x:c r="W43" s="21" t="str">
        <x:v>Deep Ulta presence materially reduces open specialty-retail whitespace.</x:v>
      </x:c>
    </x:row>
    <x:row r="44" ht="98" customHeight="1">
      <x:c r="A44" s="21" t="str">
        <x:v>CH-ANUA-011</x:v>
      </x:c>
      <x:c r="B44" s="21" t="str">
        <x:v>KB003</x:v>
      </x:c>
      <x:c r="C44" s="21"/>
      <x:c r="D44" s="21" t="str">
        <x:v>Olive Young USA</x:v>
      </x:c>
      <x:c r="E44" s="21" t="str">
        <x:v>https://www.oliveyoung.com/</x:v>
      </x:c>
      <x:c r="F44" s="21" t="str">
        <x:v>CJ Olive Young USA / store operator</x:v>
      </x:c>
      <x:c r="G44" s="21" t="str">
        <x:v>Company-disclosed U.S. launch presence</x:v>
      </x:c>
      <x:c r="H44" s="52"/>
      <x:c r="I44" s="52"/>
      <x:c r="J44" s="52"/>
      <x:c r="K44" s="33"/>
      <x:c r="L44" s="27"/>
      <x:c r="M44" s="21"/>
      <x:c r="N44" s="21" t="str">
        <x:v>Anua named as a key brand for the first Pasadena store</x:v>
      </x:c>
      <x:c r="O44" s="21" t="str">
        <x:v>Active / assortment varies</x:v>
      </x:c>
      <x:c r="P44" s="21" t="str">
        <x:v>Not calculated</x:v>
      </x:c>
      <x:c r="Q44" s="21" t="str">
        <x:v>The Founders identified Anua in Olive Young's first U.S. store opened May 29, 2026.</x:v>
      </x:c>
      <x:c r="R44" s="21" t="str">
        <x:v>Emerging Korean specialty-retail validation</x:v>
      </x:c>
      <x:c r="S44" s="21" t="str">
        <x:v>Company statement; exact assortment and sell-through not audited.</x:v>
      </x:c>
      <x:c r="T44" s="21" t="str">
        <x:v>Medium-High</x:v>
      </x:c>
      <x:c r="U44" s="25" t="str">
        <x:v>2026-07-29</x:v>
      </x:c>
      <x:c r="V44" s="21" t="str">
        <x:v>SRC-ANUA-025</x:v>
      </x:c>
      <x:c r="W44" s="21" t="str">
        <x:v>Confirm account ownership, exclusivity and expansion plan.</x:v>
      </x:c>
    </x:row>
    <x:row r="45" ht="98" customHeight="1">
      <x:c r="A45" s="21" t="str">
        <x:v>CH-ANUA-012</x:v>
      </x:c>
      <x:c r="B45" s="21" t="str">
        <x:v>KB003</x:v>
      </x:c>
      <x:c r="C45" s="21" t="str">
        <x:v>ANUA-P003</x:v>
      </x:c>
      <x:c r="D45" s="21" t="str">
        <x:v>Target U.S.</x:v>
      </x:c>
      <x:c r="E45" s="21" t="str">
        <x:v>https://www.target.com/c/makeup-removers-beauty/anua/-/N-cjmwvZq643len6gt9</x:v>
      </x:c>
      <x:c r="F45" s="21"/>
      <x:c r="G45" s="21" t="str">
        <x:v>Limited listing; authorization not independently confirmed</x:v>
      </x:c>
      <x:c r="H45" s="52" t="n">
        <x:v>19.5</x:v>
      </x:c>
      <x:c r="I45" s="52" t="n">
        <x:v>19.5</x:v>
      </x:c>
      <x:c r="J45" s="52" t="n">
        <x:v>0</x:v>
      </x:c>
      <x:c r="K45" s="33"/>
      <x:c r="L45" s="27"/>
      <x:c r="M45" s="21"/>
      <x:c r="N45" s="21" t="str">
        <x:v>Heartleaf Mild Cleansing Oil result observed</x:v>
      </x:c>
      <x:c r="O45" s="21" t="str">
        <x:v>Availability varies</x:v>
      </x:c>
      <x:c r="P45" s="21" t="str">
        <x:v>Not calculated</x:v>
      </x:c>
      <x:c r="Q45" s="21" t="str">
        <x:v>Target search/category result showed a limited Anua listing.</x:v>
      </x:c>
      <x:c r="R45" s="21" t="str">
        <x:v>Limited mass-channel presence / authorization unclear</x:v>
      </x:c>
      <x:c r="S45" s="21" t="str">
        <x:v>Retailer listing only; not identified in the official Anua U.S. Linktree.</x:v>
      </x:c>
      <x:c r="T45" s="21" t="str">
        <x:v>Medium</x:v>
      </x:c>
      <x:c r="U45" s="25" t="str">
        <x:v>2026-07-29</x:v>
      </x:c>
      <x:c r="V45" s="21" t="str">
        <x:v>SRC-ANUA-026</x:v>
      </x:c>
      <x:c r="W45" s="21" t="str">
        <x:v>Confirm seller, fulfillment and authorization before treating as an account.</x:v>
      </x:c>
    </x:row>
    <x:row r="46" ht="98" customHeight="1">
      <x:c r="A46" s="21" t="str">
        <x:v>CH-ANUA-013</x:v>
      </x:c>
      <x:c r="B46" s="21" t="str">
        <x:v>KB003</x:v>
      </x:c>
      <x:c r="C46" s="21" t="str">
        <x:v>ANUA-P005</x:v>
      </x:c>
      <x:c r="D46" s="21" t="str">
        <x:v>Walmart U.S. Marketplace</x:v>
      </x:c>
      <x:c r="E46" s="21" t="str">
        <x:v>https://www.walmart.com/ip/5067473736</x:v>
      </x:c>
      <x:c r="F46" s="21" t="str">
        <x:v>Third-party sellers observed</x:v>
      </x:c>
      <x:c r="G46" s="21" t="str">
        <x:v>Authorization unconfirmed</x:v>
      </x:c>
      <x:c r="H46" s="52" t="n">
        <x:v>23</x:v>
      </x:c>
      <x:c r="I46" s="52" t="n">
        <x:v>19.68</x:v>
      </x:c>
      <x:c r="J46" s="52" t="n">
        <x:v>0.1443</x:v>
      </x:c>
      <x:c r="K46" s="33" t="n">
        <x:v>23</x:v>
      </x:c>
      <x:c r="L46" s="27" t="n">
        <x:v>3.7</x:v>
      </x:c>
      <x:c r="M46" s="21"/>
      <x:c r="N46" s="21"/>
      <x:c r="O46" s="21" t="str">
        <x:v>Fulfilled by Walmart; seller varied historically</x:v>
      </x:c>
      <x:c r="P46" s="21" t="str">
        <x:v>Not calculated</x:v>
      </x:c>
      <x:c r="Q46" s="21" t="str">
        <x:v>Offer/review history identified third-party sellers rather than an official Anua seller.</x:v>
      </x:c>
      <x:c r="R46" s="21" t="str">
        <x:v>Marketplace/gray-market risk signal</x:v>
      </x:c>
      <x:c r="S46" s="21" t="str">
        <x:v>Seller and fulfillment can change; not proof of counterfeit.</x:v>
      </x:c>
      <x:c r="T46" s="21" t="str">
        <x:v>High</x:v>
      </x:c>
      <x:c r="U46" s="25" t="str">
        <x:v>2026-07-29</x:v>
      </x:c>
      <x:c r="V46" s="21" t="str">
        <x:v>SRC-ANUA-027</x:v>
      </x:c>
      <x:c r="W46" s="21" t="str">
        <x:v>Do not source through the offer without written authorization and traceability.</x:v>
      </x:c>
    </x:row>
    <x:row r="47" ht="98" customHeight="1">
      <x:c r="A47" s="21" t="str">
        <x:v>CH-ANUA-014</x:v>
      </x:c>
      <x:c r="B47" s="21" t="str">
        <x:v>KB003</x:v>
      </x:c>
      <x:c r="C47" s="21"/>
      <x:c r="D47" s="21" t="str">
        <x:v>Instagram</x:v>
      </x:c>
      <x:c r="E47" s="21" t="str">
        <x:v>https://www.instagram.com/anua_global/</x:v>
      </x:c>
      <x:c r="F47" s="21" t="str">
        <x:v>@anua_global</x:v>
      </x:c>
      <x:c r="G47" s="21" t="str">
        <x:v>Official social account</x:v>
      </x:c>
      <x:c r="H47" s="52"/>
      <x:c r="I47" s="52"/>
      <x:c r="J47" s="52"/>
      <x:c r="K47" s="33"/>
      <x:c r="L47" s="27"/>
      <x:c r="M47" s="21"/>
      <x:c r="N47" s="21" t="str">
        <x:v>Approximately 0.64M followers in public tracking</x:v>
      </x:c>
      <x:c r="O47" s="21" t="str">
        <x:v>Active</x:v>
      </x:c>
      <x:c r="P47" s="21" t="str">
        <x:v>Not calculated</x:v>
      </x:c>
      <x:c r="Q47" s="21" t="str">
        <x:v>Large global social audience supports awareness and product discovery.</x:v>
      </x:c>
      <x:c r="R47" s="21" t="str">
        <x:v>High awareness / non-transactional channel</x:v>
      </x:c>
      <x:c r="S47" s="21" t="str">
        <x:v>Follower count is dynamic and not a sales measure.</x:v>
      </x:c>
      <x:c r="T47" s="21" t="str">
        <x:v>Medium</x:v>
      </x:c>
      <x:c r="U47" s="25" t="str">
        <x:v>2026-07-29</x:v>
      </x:c>
      <x:c r="V47" s="21" t="str">
        <x:v>SRC-ANUA-022</x:v>
      </x:c>
      <x:c r="W47" s="21" t="str">
        <x:v>Use only brand-approved assets and claims.</x:v>
      </x:c>
    </x:row>
    <x:row r="48" ht="98" customHeight="1">
      <x:c r="A48" s="21" t="str">
        <x:v>CH-ANUA-015</x:v>
      </x:c>
      <x:c r="B48" s="21" t="str">
        <x:v>KB003</x:v>
      </x:c>
      <x:c r="C48" s="21"/>
      <x:c r="D48" s="21" t="str">
        <x:v>Sephora</x:v>
      </x:c>
      <x:c r="E48" s="21" t="str">
        <x:v>https://www.sephora.com/ca/en/brand/anua</x:v>
      </x:c>
      <x:c r="F48" s="21"/>
      <x:c r="G48" s="21" t="str">
        <x:v>Canada assortment verified; U.S. assortment not verified</x:v>
      </x:c>
      <x:c r="H48" s="52"/>
      <x:c r="I48" s="52"/>
      <x:c r="J48" s="52"/>
      <x:c r="K48" s="33"/>
      <x:c r="L48" s="27"/>
      <x:c r="M48" s="21"/>
      <x:c r="N48" s="21" t="str">
        <x:v>Canadian Sephora page visible; no U.S. Anua page confirmed in this pass</x:v>
      </x:c>
      <x:c r="O48" s="21" t="str">
        <x:v>U.S. unavailable/unverified</x:v>
      </x:c>
      <x:c r="P48" s="21" t="str">
        <x:v>Not calculated</x:v>
      </x:c>
      <x:c r="Q48" s="21" t="str">
        <x:v>Public evidence supported Sephora Canada, not a current U.S. retail account.</x:v>
      </x:c>
      <x:c r="R48" s="21" t="str">
        <x:v>Do not count as U.S. distribution</x:v>
      </x:c>
      <x:c r="S48" s="21" t="str">
        <x:v>Market-specific channel distinction.</x:v>
      </x:c>
      <x:c r="T48" s="21" t="str">
        <x:v>Medium-High</x:v>
      </x:c>
      <x:c r="U48" s="25" t="str">
        <x:v>2026-07-29</x:v>
      </x:c>
      <x:c r="V48" s="21" t="str">
        <x:v>SRC-ANUA-024</x:v>
      </x:c>
      <x:c r="W48" s="21" t="str">
        <x:v>Recheck before any future claim of U.S. Sephora availability.</x:v>
      </x:c>
    </x:row>
    <x:row r="49" ht="102" customHeight="1">
      <x:c r="A49" s="21" t="str">
        <x:v>CH-LAN-001</x:v>
      </x:c>
      <x:c r="B49" s="21" t="str">
        <x:v>KB005</x:v>
      </x:c>
      <x:c r="C49" s="21" t="str">
        <x:v>LAN-P001</x:v>
      </x:c>
      <x:c r="D49" s="21" t="str">
        <x:v>Amazon U.S.</x:v>
      </x:c>
      <x:c r="E49" s="21" t="str">
        <x:v>https://www.amazon.com/dp/B07XXPHQZK</x:v>
      </x:c>
      <x:c r="F49" s="21" t="str">
        <x:v>Amazon.com / official LANEIGE store context</x:v>
      </x:c>
      <x:c r="G49" s="21" t="str">
        <x:v>Official offer observed</x:v>
      </x:c>
      <x:c r="H49" s="52" t="n">
        <x:v>24</x:v>
      </x:c>
      <x:c r="I49" s="52" t="n">
        <x:v>19.2</x:v>
      </x:c>
      <x:c r="J49" s="52" t="n">
        <x:v>0.2</x:v>
      </x:c>
      <x:c r="K49" s="33" t="n">
        <x:v>37110</x:v>
      </x:c>
      <x:c r="L49" s="27" t="n">
        <x:v>4.6</x:v>
      </x:c>
      <x:c r="M49" s="21" t="str">
        <x:v>#268 Beauty &amp; Personal Care; #7 Lip Balms &amp; Moisturizers</x:v>
      </x:c>
      <x:c r="N49" s="21" t="str">
        <x:v>10K+ bought in past month</x:v>
      </x:c>
      <x:c r="O49" s="21" t="str">
        <x:v>In Stock</x:v>
      </x:c>
      <x:c r="P49" s="21" t="str">
        <x:v>At least $192,000/month badge-price lower bound</x:v>
      </x:c>
      <x:c r="Q49" s="21" t="str">
        <x:v>Ships from and sold by Amazon.com; official LANEIGE storefront linkage observed.</x:v>
      </x:c>
      <x:c r="R49" s="21" t="str">
        <x:v>Very High velocity / category-leading lip treatment</x:v>
      </x:c>
      <x:c r="S49" s="21" t="str">
        <x:v>Dynamic purchase badge and current price; lower bound is not audited revenue.</x:v>
      </x:c>
      <x:c r="T49" s="21" t="str">
        <x:v>High</x:v>
      </x:c>
      <x:c r="U49" s="25" t="str">
        <x:v>2026-07-30</x:v>
      </x:c>
      <x:c r="V49" s="21" t="str">
        <x:v>SRC-LAN-012</x:v>
      </x:c>
      <x:c r="W49" s="21" t="str">
        <x:v>ASIN B07XXPHQZK; current rank is #7, not #1.</x:v>
      </x:c>
    </x:row>
    <x:row r="50" ht="102" customHeight="1">
      <x:c r="A50" s="21" t="str">
        <x:v>CH-LAN-002</x:v>
      </x:c>
      <x:c r="B50" s="21" t="str">
        <x:v>KB005</x:v>
      </x:c>
      <x:c r="C50" s="21" t="str">
        <x:v>LAN-P002</x:v>
      </x:c>
      <x:c r="D50" s="21" t="str">
        <x:v>Amazon U.S.</x:v>
      </x:c>
      <x:c r="E50" s="21" t="str">
        <x:v>https://www.amazon.com/dp/B07DY2QRF6</x:v>
      </x:c>
      <x:c r="F50" s="21" t="str">
        <x:v>Amazon.com / official LANEIGE store context</x:v>
      </x:c>
      <x:c r="G50" s="21" t="str">
        <x:v>Official offer observed</x:v>
      </x:c>
      <x:c r="H50" s="52" t="n">
        <x:v>19</x:v>
      </x:c>
      <x:c r="I50" s="52" t="n">
        <x:v>15.2</x:v>
      </x:c>
      <x:c r="J50" s="52" t="n">
        <x:v>0.2</x:v>
      </x:c>
      <x:c r="K50" s="33" t="n">
        <x:v>37449</x:v>
      </x:c>
      <x:c r="L50" s="27" t="n">
        <x:v>4.7</x:v>
      </x:c>
      <x:c r="M50" s="21" t="str">
        <x:v>#488 Beauty &amp; Personal Care; #10 Lip Balms &amp; Moisturizers</x:v>
      </x:c>
      <x:c r="N50" s="21" t="str">
        <x:v>9K+ bought in past month</x:v>
      </x:c>
      <x:c r="O50" s="21" t="str">
        <x:v>In Stock</x:v>
      </x:c>
      <x:c r="P50" s="21" t="str">
        <x:v>At least $136,800/month badge-price lower bound</x:v>
      </x:c>
      <x:c r="Q50" s="21" t="str">
        <x:v>Official-store context and Amazon.com offer observed.</x:v>
      </x:c>
      <x:c r="R50" s="21" t="str">
        <x:v>Very High velocity / major lip franchise</x:v>
      </x:c>
      <x:c r="S50" s="21" t="str">
        <x:v>Dynamic badge and price; excludes variants, subscriptions and other offers.</x:v>
      </x:c>
      <x:c r="T50" s="21" t="str">
        <x:v>High</x:v>
      </x:c>
      <x:c r="U50" s="25" t="str">
        <x:v>2026-07-30</x:v>
      </x:c>
      <x:c r="V50" s="21" t="str">
        <x:v>SRC-LAN-013</x:v>
      </x:c>
      <x:c r="W50" s="21" t="str">
        <x:v>ASIN B07DY2QRF6.</x:v>
      </x:c>
    </x:row>
    <x:row r="51" ht="102" customHeight="1">
      <x:c r="A51" s="21" t="str">
        <x:v>CH-LAN-003</x:v>
      </x:c>
      <x:c r="B51" s="21" t="str">
        <x:v>KB005</x:v>
      </x:c>
      <x:c r="C51" s="21" t="str">
        <x:v>LAN-P003</x:v>
      </x:c>
      <x:c r="D51" s="21" t="str">
        <x:v>Amazon U.S.</x:v>
      </x:c>
      <x:c r="E51" s="21" t="str">
        <x:v>https://www.amazon.com/dp/B09P54X2NS</x:v>
      </x:c>
      <x:c r="F51" s="21" t="str">
        <x:v>Amazon.com / official LANEIGE store context</x:v>
      </x:c>
      <x:c r="G51" s="21" t="str">
        <x:v>Official offer observed</x:v>
      </x:c>
      <x:c r="H51" s="52" t="n">
        <x:v>36</x:v>
      </x:c>
      <x:c r="I51" s="52" t="n">
        <x:v>36</x:v>
      </x:c>
      <x:c r="J51" s="52" t="n">
        <x:v>0</x:v>
      </x:c>
      <x:c r="K51" s="33" t="n">
        <x:v>1849</x:v>
      </x:c>
      <x:c r="L51" s="27" t="n">
        <x:v>4.6</x:v>
      </x:c>
      <x:c r="M51" s="21" t="str">
        <x:v>#2,424 Beauty &amp; Personal Care; #22 Facial Toners &amp; Astringents</x:v>
      </x:c>
      <x:c r="N51" s="21" t="str">
        <x:v>2K+ bought in past month</x:v>
      </x:c>
      <x:c r="O51" s="21" t="str">
        <x:v>In Stock</x:v>
      </x:c>
      <x:c r="P51" s="21" t="str">
        <x:v>At least $72,000/month badge-price lower bound</x:v>
      </x:c>
      <x:c r="Q51" s="21" t="str">
        <x:v>Ships from and sold by Amazon.com.</x:v>
      </x:c>
      <x:c r="R51" s="21" t="str">
        <x:v>High velocity / established facial-care hero</x:v>
      </x:c>
      <x:c r="S51" s="21" t="str">
        <x:v>Dynamic badge, price and rank; exact units not audited.</x:v>
      </x:c>
      <x:c r="T51" s="21" t="str">
        <x:v>High</x:v>
      </x:c>
      <x:c r="U51" s="25" t="str">
        <x:v>2026-07-30</x:v>
      </x:c>
      <x:c r="V51" s="21" t="str">
        <x:v>SRC-LAN-014</x:v>
      </x:c>
      <x:c r="W51" s="21" t="str">
        <x:v>ASIN B09P54X2NS; standard 170 mL offer.</x:v>
      </x:c>
    </x:row>
    <x:row r="52" ht="102" customHeight="1">
      <x:c r="A52" s="21" t="str">
        <x:v>CH-LAN-004</x:v>
      </x:c>
      <x:c r="B52" s="21" t="str">
        <x:v>KB005</x:v>
      </x:c>
      <x:c r="C52" s="21" t="str">
        <x:v>LAN-P004</x:v>
      </x:c>
      <x:c r="D52" s="21" t="str">
        <x:v>Amazon U.S.</x:v>
      </x:c>
      <x:c r="E52" s="21" t="str">
        <x:v>https://www.amazon.com/dp/B0CNJ1Z2GL</x:v>
      </x:c>
      <x:c r="F52" s="21" t="str">
        <x:v>Amazon.com / official LANEIGE store context</x:v>
      </x:c>
      <x:c r="G52" s="21" t="str">
        <x:v>Official offer observed</x:v>
      </x:c>
      <x:c r="H52" s="52" t="n">
        <x:v>38</x:v>
      </x:c>
      <x:c r="I52" s="52" t="n">
        <x:v>38</x:v>
      </x:c>
      <x:c r="J52" s="52" t="n">
        <x:v>0</x:v>
      </x:c>
      <x:c r="K52" s="33"/>
      <x:c r="L52" s="27"/>
      <x:c r="M52" s="21" t="str">
        <x:v>#6,038 Beauty &amp; Personal Care; #165 Face Moisturizers</x:v>
      </x:c>
      <x:c r="N52" s="21" t="str">
        <x:v>3K+ bought in past month</x:v>
      </x:c>
      <x:c r="O52" s="21" t="str">
        <x:v>In Stock</x:v>
      </x:c>
      <x:c r="P52" s="21" t="str">
        <x:v>At least $114,000/month badge-price lower bound</x:v>
      </x:c>
      <x:c r="Q52" s="21" t="str">
        <x:v>Official-store context and Amazon.com offer observed.</x:v>
      </x:c>
      <x:c r="R52" s="21" t="str">
        <x:v>High velocity / Water Bank franchise</x:v>
      </x:c>
      <x:c r="S52" s="21" t="str">
        <x:v>Main aggregate rating/review count did not render consistently; do not impute it.</x:v>
      </x:c>
      <x:c r="T52" s="21" t="str">
        <x:v>Medium-High</x:v>
      </x:c>
      <x:c r="U52" s="25" t="str">
        <x:v>2026-07-30</x:v>
      </x:c>
      <x:c r="V52" s="21" t="str">
        <x:v>SRC-LAN-015</x:v>
      </x:c>
      <x:c r="W52" s="21" t="str">
        <x:v>ASIN B0CNJ1Z2GL.</x:v>
      </x:c>
    </x:row>
    <x:row r="53" ht="102" customHeight="1">
      <x:c r="A53" s="21" t="str">
        <x:v>CH-LAN-005</x:v>
      </x:c>
      <x:c r="B53" s="21" t="str">
        <x:v>KB005</x:v>
      </x:c>
      <x:c r="C53" s="21" t="str">
        <x:v>LAN-P005</x:v>
      </x:c>
      <x:c r="D53" s="21" t="str">
        <x:v>Amazon U.S.</x:v>
      </x:c>
      <x:c r="E53" s="21" t="str">
        <x:v>https://www.amazon.com/dp/B0CZ7MXPG8</x:v>
      </x:c>
      <x:c r="F53" s="21" t="str">
        <x:v>Amazon.com / official LANEIGE store context</x:v>
      </x:c>
      <x:c r="G53" s="21" t="str">
        <x:v>Official offer observed</x:v>
      </x:c>
      <x:c r="H53" s="52" t="n">
        <x:v>36</x:v>
      </x:c>
      <x:c r="I53" s="52" t="n">
        <x:v>36</x:v>
      </x:c>
      <x:c r="J53" s="52" t="n">
        <x:v>0</x:v>
      </x:c>
      <x:c r="K53" s="33" t="n">
        <x:v>1559</x:v>
      </x:c>
      <x:c r="L53" s="27" t="n">
        <x:v>4.6</x:v>
      </x:c>
      <x:c r="M53" s="21" t="str">
        <x:v>#11,130 Beauty &amp; Personal Care; #88 Facial Masks</x:v>
      </x:c>
      <x:c r="N53" s="21" t="str">
        <x:v>1K+ bought in past month</x:v>
      </x:c>
      <x:c r="O53" s="21" t="str">
        <x:v>In Stock</x:v>
      </x:c>
      <x:c r="P53" s="21" t="str">
        <x:v>At least $36,000/month badge-price lower bound</x:v>
      </x:c>
      <x:c r="Q53" s="21" t="str">
        <x:v>Official-store context and Amazon.com offer observed.</x:v>
      </x:c>
      <x:c r="R53" s="21" t="str">
        <x:v>High emerging overnight-mask velocity</x:v>
      </x:c>
      <x:c r="S53" s="21" t="str">
        <x:v>Dynamic badge, price, rank and reviews.</x:v>
      </x:c>
      <x:c r="T53" s="21" t="str">
        <x:v>High</x:v>
      </x:c>
      <x:c r="U53" s="25" t="str">
        <x:v>2026-07-30</x:v>
      </x:c>
      <x:c r="V53" s="21" t="str">
        <x:v>SRC-LAN-016</x:v>
      </x:c>
      <x:c r="W53" s="21" t="str">
        <x:v>ASIN B0CZ7MXPG8.</x:v>
      </x:c>
    </x:row>
    <x:row r="54" ht="102" customHeight="1">
      <x:c r="A54" s="21" t="str">
        <x:v>CH-LAN-006</x:v>
      </x:c>
      <x:c r="B54" s="21" t="str">
        <x:v>KB005</x:v>
      </x:c>
      <x:c r="C54" s="21"/>
      <x:c r="D54" s="21" t="str">
        <x:v>Amazon U.S. Brand Store</x:v>
      </x:c>
      <x:c r="E54" s="21" t="str">
        <x:v>https://www.amazon.com/stores/page/9E07F968-B629-431D-801C-EC02A3145174/</x:v>
      </x:c>
      <x:c r="F54" s="21" t="str">
        <x:v>LANEIGE</x:v>
      </x:c>
      <x:c r="G54" s="21" t="str">
        <x:v>Official brand store</x:v>
      </x:c>
      <x:c r="H54" s="52"/>
      <x:c r="I54" s="52"/>
      <x:c r="J54" s="52"/>
      <x:c r="K54" s="33"/>
      <x:c r="L54" s="27"/>
      <x:c r="M54" s="21"/>
      <x:c r="N54" s="21" t="str">
        <x:v>Broad lip and facial-care assortment</x:v>
      </x:c>
      <x:c r="O54" s="21" t="str">
        <x:v>Active</x:v>
      </x:c>
      <x:c r="P54" s="21" t="str">
        <x:v>Five sampled hero badges imply at least $550,800/month at observed prices</x:v>
      </x:c>
      <x:c r="Q54" s="21" t="str">
        <x:v>Official storefront and Amazon.com offer context support authorized marketplace presence.</x:v>
      </x:c>
      <x:c r="R54" s="21" t="str">
        <x:v>Very strong official marketplace presence</x:v>
      </x:c>
      <x:c r="S54" s="21" t="str">
        <x:v>Seller, price and rank must still be checked at order time.</x:v>
      </x:c>
      <x:c r="T54" s="21" t="str">
        <x:v>High</x:v>
      </x:c>
      <x:c r="U54" s="25" t="str">
        <x:v>2026-07-30</x:v>
      </x:c>
      <x:c r="V54" s="21" t="str">
        <x:v>SRC-LAN-011</x:v>
      </x:c>
      <x:c r="W54" s="21" t="str">
        <x:v>Lower-bound math excludes variants, subscriptions, other SKUs and returns.</x:v>
      </x:c>
    </x:row>
    <x:row r="55" ht="102" customHeight="1">
      <x:c r="A55" s="21" t="str">
        <x:v>CH-LAN-007</x:v>
      </x:c>
      <x:c r="B55" s="21" t="str">
        <x:v>KB005</x:v>
      </x:c>
      <x:c r="C55" s="21"/>
      <x:c r="D55" s="21" t="str">
        <x:v>Official U.S. DTC</x:v>
      </x:c>
      <x:c r="E55" s="21" t="str">
        <x:v>https://us.laneige.com</x:v>
      </x:c>
      <x:c r="F55" s="21" t="str">
        <x:v>AMOREPACIFIC US, Inc.</x:v>
      </x:c>
      <x:c r="G55" s="21" t="str">
        <x:v>Official</x:v>
      </x:c>
      <x:c r="H55" s="52"/>
      <x:c r="I55" s="52"/>
      <x:c r="J55" s="52"/>
      <x:c r="K55" s="33"/>
      <x:c r="L55" s="27"/>
      <x:c r="M55" s="21"/>
      <x:c r="N55" s="21" t="str">
        <x:v>Full U.S. assortment; sampled hero MSRP $19–$38</x:v>
      </x:c>
      <x:c r="O55" s="21" t="str">
        <x:v>Active</x:v>
      </x:c>
      <x:c r="P55" s="21" t="str">
        <x:v>Not disclosed</x:v>
      </x:c>
      <x:c r="Q55" s="21" t="str">
        <x:v>Official store, policies, product pages and U.S. customer service verified.</x:v>
      </x:c>
      <x:c r="R55" s="21" t="str">
        <x:v>Strong direct channel / portfolio authority</x:v>
      </x:c>
      <x:c r="S55" s="21" t="str">
        <x:v>Brand-owned claims and reviews require normal substantiation review.</x:v>
      </x:c>
      <x:c r="T55" s="21" t="str">
        <x:v>High</x:v>
      </x:c>
      <x:c r="U55" s="25" t="str">
        <x:v>2026-07-30</x:v>
      </x:c>
      <x:c r="V55" s="21" t="str">
        <x:v>SRC-LAN-001,SRC-LAN-004,SRC-LAN-017</x:v>
      </x:c>
      <x:c r="W55" s="21" t="str">
        <x:v>AMOREPACIFIC US direct infrastructure reduces distributor whitespace.</x:v>
      </x:c>
    </x:row>
    <x:row r="56" ht="102" customHeight="1">
      <x:c r="A56" s="21" t="str">
        <x:v>CH-LAN-008</x:v>
      </x:c>
      <x:c r="B56" s="21" t="str">
        <x:v>KB005</x:v>
      </x:c>
      <x:c r="C56" s="21"/>
      <x:c r="D56" s="21" t="str">
        <x:v>TikTok Shop U.S.</x:v>
      </x:c>
      <x:c r="E56" s="21" t="str">
        <x:v>https://shop.tiktok.com/us/store/laneige-us/7495286718562273613</x:v>
      </x:c>
      <x:c r="F56" s="21" t="str">
        <x:v>LANEIGE US</x:v>
      </x:c>
      <x:c r="G56" s="21" t="str">
        <x:v>Official Shop</x:v>
      </x:c>
      <x:c r="H56" s="52"/>
      <x:c r="I56" s="52"/>
      <x:c r="J56" s="52"/>
      <x:c r="K56" s="33"/>
      <x:c r="L56" s="27"/>
      <x:c r="M56" s="21"/>
      <x:c r="N56" s="21" t="str">
        <x:v>1.2M followers; 650.5K sold; 575 videos; sampled products 4.4K–56.4K sold</x:v>
      </x:c>
      <x:c r="O56" s="21" t="str">
        <x:v>Active</x:v>
      </x:c>
      <x:c r="P56" s="21" t="str">
        <x:v>Not disclosed</x:v>
      </x:c>
      <x:c r="Q56" s="21" t="str">
        <x:v>Public official-shop display verified.</x:v>
      </x:c>
      <x:c r="R56" s="21" t="str">
        <x:v>Very High social-commerce scale</x:v>
      </x:c>
      <x:c r="S56" s="21" t="str">
        <x:v>Cumulative dynamic platform displays, not audited U.S. period sales.</x:v>
      </x:c>
      <x:c r="T56" s="21" t="str">
        <x:v>Medium-High</x:v>
      </x:c>
      <x:c r="U56" s="25" t="str">
        <x:v>2026-07-30</x:v>
      </x:c>
      <x:c r="V56" s="21" t="str">
        <x:v>SRC-LAN-005</x:v>
      </x:c>
      <x:c r="W56" s="21" t="str">
        <x:v>Promotion, assortment and sold totals change.</x:v>
      </x:c>
    </x:row>
    <x:row r="57" ht="102" customHeight="1">
      <x:c r="A57" s="21" t="str">
        <x:v>CH-LAN-009</x:v>
      </x:c>
      <x:c r="B57" s="21" t="str">
        <x:v>KB005</x:v>
      </x:c>
      <x:c r="C57" s="21"/>
      <x:c r="D57" s="21" t="str">
        <x:v>Instagram</x:v>
      </x:c>
      <x:c r="E57" s="21" t="str">
        <x:v>https://www.instagram.com/laneige_us/</x:v>
      </x:c>
      <x:c r="F57" s="21" t="str">
        <x:v>@laneige_us</x:v>
      </x:c>
      <x:c r="G57" s="21" t="str">
        <x:v>Official social account</x:v>
      </x:c>
      <x:c r="H57" s="52"/>
      <x:c r="I57" s="52"/>
      <x:c r="J57" s="52"/>
      <x:c r="K57" s="33"/>
      <x:c r="L57" s="27"/>
      <x:c r="M57" s="21"/>
      <x:c r="N57" s="21" t="str">
        <x:v>1.6M followers; bio linked Sephora, Kohl's, Amazon and Aritaum</x:v>
      </x:c>
      <x:c r="O57" s="21" t="str">
        <x:v>Active</x:v>
      </x:c>
      <x:c r="P57" s="21" t="str">
        <x:v>Not applicable</x:v>
      </x:c>
      <x:c r="Q57" s="21" t="str">
        <x:v>Large official audience supports awareness and channel linkage.</x:v>
      </x:c>
      <x:c r="R57" s="21" t="str">
        <x:v>Very High awareness / non-transactional</x:v>
      </x:c>
      <x:c r="S57" s="21" t="str">
        <x:v>Follower count is dynamic and not a sales measure.</x:v>
      </x:c>
      <x:c r="T57" s="21" t="str">
        <x:v>High</x:v>
      </x:c>
      <x:c r="U57" s="25" t="str">
        <x:v>2026-07-30</x:v>
      </x:c>
      <x:c r="V57" s="21" t="str">
        <x:v>SRC-LAN-006</x:v>
      </x:c>
      <x:c r="W57" s="21" t="str">
        <x:v>Use only licensed brand assets.</x:v>
      </x:c>
    </x:row>
    <x:row r="58" ht="102" customHeight="1">
      <x:c r="A58" s="21" t="str">
        <x:v>CH-LAN-010</x:v>
      </x:c>
      <x:c r="B58" s="21" t="str">
        <x:v>KB005</x:v>
      </x:c>
      <x:c r="C58" s="21"/>
      <x:c r="D58" s="21" t="str">
        <x:v>Sephora U.S.</x:v>
      </x:c>
      <x:c r="E58" s="21" t="str">
        <x:v>https://www.sephora.com/buy/brand/laneige</x:v>
      </x:c>
      <x:c r="F58" s="21" t="str">
        <x:v>Sephora</x:v>
      </x:c>
      <x:c r="G58" s="21" t="str">
        <x:v>Authorized national prestige retail</x:v>
      </x:c>
      <x:c r="H58" s="52"/>
      <x:c r="I58" s="52"/>
      <x:c r="J58" s="52"/>
      <x:c r="K58" s="33"/>
      <x:c r="L58" s="27"/>
      <x:c r="M58" s="21"/>
      <x:c r="N58" s="21" t="str">
        <x:v>Best sellers include Lip Sleeping Mask, Lip Glowy Balm, Cream Skin, Water Bank and Bouncy &amp; Firm</x:v>
      </x:c>
      <x:c r="O58" s="21" t="str">
        <x:v>Active</x:v>
      </x:c>
      <x:c r="P58" s="21" t="str">
        <x:v>Not disclosed</x:v>
      </x:c>
      <x:c r="Q58" s="21" t="str">
        <x:v>Large product-specific review bases and current pricing verified.</x:v>
      </x:c>
      <x:c r="R58" s="21" t="str">
        <x:v>Core prestige retail validation</x:v>
      </x:c>
      <x:c r="S58" s="21" t="str">
        <x:v>Reviews may include incentivized samples; unit sales are not public.</x:v>
      </x:c>
      <x:c r="T58" s="21" t="str">
        <x:v>High</x:v>
      </x:c>
      <x:c r="U58" s="25" t="str">
        <x:v>2026-07-30</x:v>
      </x:c>
      <x:c r="V58" s="21" t="str">
        <x:v>SRC-LAN-021,SRC-LAN-022,SRC-LAN-023,SRC-LAN-024,SRC-LAN-025</x:v>
      </x:c>
      <x:c r="W58" s="21" t="str">
        <x:v>Mature account limits open prestige whitespace.</x:v>
      </x:c>
    </x:row>
    <x:row r="59" ht="102" customHeight="1">
      <x:c r="A59" s="21" t="str">
        <x:v>CH-LAN-011</x:v>
      </x:c>
      <x:c r="B59" s="21" t="str">
        <x:v>KB005</x:v>
      </x:c>
      <x:c r="C59" s="21"/>
      <x:c r="D59" s="21" t="str">
        <x:v>Kohl's / Sephora at Kohl's</x:v>
      </x:c>
      <x:c r="E59" s="21" t="str">
        <x:v>https://www.kohls.com/catalog/laneige.jsp?CN=Brand%3ALANEIGE</x:v>
      </x:c>
      <x:c r="F59" s="21" t="str">
        <x:v>Kohl's / Sephora</x:v>
      </x:c>
      <x:c r="G59" s="21" t="str">
        <x:v>Authorized national retail</x:v>
      </x:c>
      <x:c r="H59" s="52"/>
      <x:c r="I59" s="52"/>
      <x:c r="J59" s="52"/>
      <x:c r="K59" s="33"/>
      <x:c r="L59" s="27"/>
      <x:c r="M59" s="21"/>
      <x:c r="N59" s="21" t="str">
        <x:v>34 items; hero prices aligned around $19–$38; Lip Sleeping Mask had 16,503 reviews</x:v>
      </x:c>
      <x:c r="O59" s="21" t="str">
        <x:v>Active</x:v>
      </x:c>
      <x:c r="P59" s="21" t="str">
        <x:v>Not disclosed</x:v>
      </x:c>
      <x:c r="Q59" s="21" t="str">
        <x:v>Current brand page and item counts verified.</x:v>
      </x:c>
      <x:c r="R59" s="21" t="str">
        <x:v>Broad omnichannel specialty access</x:v>
      </x:c>
      <x:c r="S59" s="21" t="str">
        <x:v>Assortment, offers and review counts change.</x:v>
      </x:c>
      <x:c r="T59" s="21" t="str">
        <x:v>High</x:v>
      </x:c>
      <x:c r="U59" s="25" t="str">
        <x:v>2026-07-30</x:v>
      </x:c>
      <x:c r="V59" s="21" t="str">
        <x:v>SRC-LAN-027</x:v>
      </x:c>
      <x:c r="W59" s="21" t="str">
        <x:v>Further compresses open national-retail whitespace.</x:v>
      </x:c>
    </x:row>
    <x:row r="60" ht="102" customHeight="1">
      <x:c r="A60" s="21" t="str">
        <x:v>CH-LAN-012</x:v>
      </x:c>
      <x:c r="B60" s="21" t="str">
        <x:v>KB005</x:v>
      </x:c>
      <x:c r="C60" s="21"/>
      <x:c r="D60" s="21" t="str">
        <x:v>Aritaum / Store Locator</x:v>
      </x:c>
      <x:c r="E60" s="21" t="str">
        <x:v>https://us.laneige.com/apps/store-locator</x:v>
      </x:c>
      <x:c r="F60" s="21" t="str">
        <x:v>AMOREPACIFIC / Aritaum network</x:v>
      </x:c>
      <x:c r="G60" s="21" t="str">
        <x:v>Official physical-store linkage</x:v>
      </x:c>
      <x:c r="H60" s="52"/>
      <x:c r="I60" s="52"/>
      <x:c r="J60" s="52"/>
      <x:c r="K60" s="33"/>
      <x:c r="L60" s="27"/>
      <x:c r="M60" s="21"/>
      <x:c r="N60" s="21" t="str">
        <x:v>Store locator lists physical U.S. points</x:v>
      </x:c>
      <x:c r="O60" s="21" t="str">
        <x:v>Active / location-specific</x:v>
      </x:c>
      <x:c r="P60" s="21" t="str">
        <x:v>Not disclosed</x:v>
      </x:c>
      <x:c r="Q60" s="21" t="str">
        <x:v>Official Laneige store locator and Instagram bio identify Aritaum.</x:v>
      </x:c>
      <x:c r="R60" s="21" t="str">
        <x:v>Owned/affiliated specialty presence</x:v>
      </x:c>
      <x:c r="S60" s="21" t="str">
        <x:v>Verify location-level assortment and account structure.</x:v>
      </x:c>
      <x:c r="T60" s="21" t="str">
        <x:v>High</x:v>
      </x:c>
      <x:c r="U60" s="25" t="str">
        <x:v>2026-07-30</x:v>
      </x:c>
      <x:c r="V60" s="21" t="str">
        <x:v>SRC-LAN-028</x:v>
      </x:c>
      <x:c r="W60" s="21" t="str">
        <x:v>Direct network increases channel conflict.</x:v>
      </x:c>
    </x:row>
    <x:row r="61" ht="102" customHeight="1">
      <x:c r="A61" s="21" t="str">
        <x:v>CH-LAN-013</x:v>
      </x:c>
      <x:c r="B61" s="21" t="str">
        <x:v>KB005</x:v>
      </x:c>
      <x:c r="C61" s="21" t="str">
        <x:v>LAN-P001</x:v>
      </x:c>
      <x:c r="D61" s="21" t="str">
        <x:v>Target U.S.</x:v>
      </x:c>
      <x:c r="E61" s="21" t="str">
        <x:v>https://www.target.com/b/laneige/-/N-7svko</x:v>
      </x:c>
      <x:c r="F61" s="21" t="str">
        <x:v>Target and marketplace sellers</x:v>
      </x:c>
      <x:c r="G61" s="21" t="str">
        <x:v>Mixed / verify seller by SKU</x:v>
      </x:c>
      <x:c r="H61" s="52" t="n">
        <x:v>24</x:v>
      </x:c>
      <x:c r="I61" s="52"/>
      <x:c r="J61" s="52"/>
      <x:c r="K61" s="33"/>
      <x:c r="L61" s="27"/>
      <x:c r="M61" s="21"/>
      <x:c r="N61" s="21" t="str">
        <x:v>Brand page displayed 'New at Target'; direct and marketplace-style offers coexist</x:v>
      </x:c>
      <x:c r="O61" s="21" t="str">
        <x:v>Availability varies</x:v>
      </x:c>
      <x:c r="P61" s="21" t="str">
        <x:v>Not calculated</x:v>
      </x:c>
      <x:c r="Q61" s="21" t="str">
        <x:v>Target brand page supports emerging presence, but sampled seller/account attribution was mixed.</x:v>
      </x:c>
      <x:c r="R61" s="21" t="str">
        <x:v>Emerging/mixed mass-channel signal</x:v>
      </x:c>
      <x:c r="S61" s="21" t="str">
        <x:v>Do not assume every offer is brand-authorized.</x:v>
      </x:c>
      <x:c r="T61" s="21" t="str">
        <x:v>Medium</x:v>
      </x:c>
      <x:c r="U61" s="25" t="str">
        <x:v>2026-07-30</x:v>
      </x:c>
      <x:c r="V61" s="21" t="str">
        <x:v>SRC-LAN-029,SRC-LAN-030,SRC-LAN-031</x:v>
      </x:c>
      <x:c r="W61" s="21" t="str">
        <x:v>Sampled marketplace example was sold by SleekShop and non-returnable.</x:v>
      </x:c>
    </x:row>
    <x:row r="62" ht="102" customHeight="1">
      <x:c r="A62" s="21" t="str">
        <x:v>CH-LAN-014</x:v>
      </x:c>
      <x:c r="B62" s="21" t="str">
        <x:v>KB005</x:v>
      </x:c>
      <x:c r="C62" s="21" t="str">
        <x:v>LAN-P001</x:v>
      </x:c>
      <x:c r="D62" s="21" t="str">
        <x:v>Walmart U.S. Marketplace</x:v>
      </x:c>
      <x:c r="E62" s="21" t="str">
        <x:v>https://www.walmart.com/ip/418592402</x:v>
      </x:c>
      <x:c r="F62" s="21" t="str">
        <x:v>Authorized Beauty Distribution</x:v>
      </x:c>
      <x:c r="G62" s="21" t="str">
        <x:v>Third-party; brand authorization unconfirmed</x:v>
      </x:c>
      <x:c r="H62" s="52" t="n">
        <x:v>24</x:v>
      </x:c>
      <x:c r="I62" s="52" t="n">
        <x:v>15.16</x:v>
      </x:c>
      <x:c r="J62" s="52" t="n">
        <x:v>0.3683</x:v>
      </x:c>
      <x:c r="K62" s="33" t="n">
        <x:v>256</x:v>
      </x:c>
      <x:c r="L62" s="27" t="n">
        <x:v>4.1</x:v>
      </x:c>
      <x:c r="M62" s="21"/>
      <x:c r="N62" s="21" t="str">
        <x:v>Third-party offer observed</x:v>
      </x:c>
      <x:c r="O62" s="21" t="str">
        <x:v>Fulfilled by Walmart</x:v>
      </x:c>
      <x:c r="P62" s="21" t="str">
        <x:v>Not calculated</x:v>
      </x:c>
      <x:c r="Q62" s="21" t="str">
        <x:v>Seller name is not proof of Laneige authorization; price was materially below official MSRP.</x:v>
      </x:c>
      <x:c r="R62" s="21" t="str">
        <x:v>Gray-market / price-conflict signal</x:v>
      </x:c>
      <x:c r="S62" s="21" t="str">
        <x:v>Seller and fulfillment can change; not proof of counterfeit.</x:v>
      </x:c>
      <x:c r="T62" s="21" t="str">
        <x:v>High</x:v>
      </x:c>
      <x:c r="U62" s="25" t="str">
        <x:v>2026-07-30</x:v>
      </x:c>
      <x:c r="V62" s="21" t="str">
        <x:v>SRC-LAN-032</x:v>
      </x:c>
      <x:c r="W62" s="21" t="str">
        <x:v>Do not source without written authorization and batch traceability.</x:v>
      </x:c>
    </x:row>
    <x:row r="63" ht="102" customHeight="1">
      <x:c r="A63" s="21" t="str">
        <x:v>CH-LAN-015</x:v>
      </x:c>
      <x:c r="B63" s="21" t="str">
        <x:v>KB005</x:v>
      </x:c>
      <x:c r="C63" s="21" t="str">
        <x:v>LAN-P001</x:v>
      </x:c>
      <x:c r="D63" s="21" t="str">
        <x:v>Olive Young Global</x:v>
      </x:c>
      <x:c r="E63" s="21" t="str">
        <x:v>https://global.oliveyoung.com/product/detail?lang=jp&amp;prdtNo=GA210811541</x:v>
      </x:c>
      <x:c r="F63" s="21" t="str">
        <x:v>CJ Olive Young Global</x:v>
      </x:c>
      <x:c r="G63" s="21" t="str">
        <x:v>Cross-border retailer</x:v>
      </x:c>
      <x:c r="H63" s="52"/>
      <x:c r="I63" s="52"/>
      <x:c r="J63" s="52"/>
      <x:c r="K63" s="33"/>
      <x:c r="L63" s="27"/>
      <x:c r="M63" s="21"/>
      <x:c r="N63" s="21" t="str">
        <x:v>Laneige Lip Sleeping Mask cross-border offer</x:v>
      </x:c>
      <x:c r="O63" s="21" t="str">
        <x:v>Active / destination-dependent</x:v>
      </x:c>
      <x:c r="P63" s="21" t="str">
        <x:v>Not calculated</x:v>
      </x:c>
      <x:c r="Q63" s="21" t="str">
        <x:v>Confirms global K-Beauty availability, not a U.S. wholesale account.</x:v>
      </x:c>
      <x:c r="R63" s="21" t="str">
        <x:v>Cross-border awareness and gray-market comparison</x:v>
      </x:c>
      <x:c r="S63" s="21" t="str">
        <x:v>Regional assortment, formula, packaging and price may differ.</x:v>
      </x:c>
      <x:c r="T63" s="21" t="str">
        <x:v>Medium</x:v>
      </x:c>
      <x:c r="U63" s="25" t="str">
        <x:v>2026-07-30</x:v>
      </x:c>
      <x:c r="V63" s="21" t="str">
        <x:v>SRC-LAN-033</x:v>
      </x:c>
      <x:c r="W63" s="21" t="str">
        <x:v>Do not use retail arbitrage as distributor sourcing.</x:v>
      </x:c>
    </x:row>
    <x:row r="64" ht="106" customHeight="1">
      <x:c r="A64" s="21" t="str">
        <x:v>CH-SKN-001</x:v>
      </x:c>
      <x:c r="B64" s="21" t="str">
        <x:v>KB004</x:v>
      </x:c>
      <x:c r="C64" s="21" t="str">
        <x:v>SKN-P001</x:v>
      </x:c>
      <x:c r="D64" s="21" t="str">
        <x:v>Amazon U.S.</x:v>
      </x:c>
      <x:c r="E64" s="21" t="str">
        <x:v>https://www.amazon.com/dp/B06Y15D1LH</x:v>
      </x:c>
      <x:c r="F64" s="21" t="str">
        <x:v>SKIN1004 US</x:v>
      </x:c>
      <x:c r="G64" s="21" t="str">
        <x:v>Official-store-context offer observed</x:v>
      </x:c>
      <x:c r="H64" s="52" t="n">
        <x:v>25</x:v>
      </x:c>
      <x:c r="I64" s="52" t="n">
        <x:v>14.85</x:v>
      </x:c>
      <x:c r="J64" s="52" t="n">
        <x:v>0.406</x:v>
      </x:c>
      <x:c r="K64" s="33" t="n">
        <x:v>9278</x:v>
      </x:c>
      <x:c r="L64" s="27" t="n">
        <x:v>4.7</x:v>
      </x:c>
      <x:c r="M64" s="21" t="str">
        <x:v>#249 Beauty &amp; Personal Care; #11 Facial Serums</x:v>
      </x:c>
      <x:c r="N64" s="21" t="str">
        <x:v>10K+ bought in past month</x:v>
      </x:c>
      <x:c r="O64" s="21" t="str">
        <x:v>In Stock</x:v>
      </x:c>
      <x:c r="P64" s="21" t="str">
        <x:v>At least $148,500/month badge-price lower bound</x:v>
      </x:c>
      <x:c r="Q64" s="21" t="str">
        <x:v>Sold by SKIN1004 US; shipped by Amazon; linked to the SKIN1004 store.</x:v>
      </x:c>
      <x:c r="R64" s="21" t="str">
        <x:v>Very High velocity / top-tier serum</x:v>
      </x:c>
      <x:c r="S64" s="21" t="str">
        <x:v>Dynamic purchase badge, price, rank and review count; not audited sales.</x:v>
      </x:c>
      <x:c r="T64" s="21" t="str">
        <x:v>High</x:v>
      </x:c>
      <x:c r="U64" s="25" t="str">
        <x:v>2026-07-30</x:v>
      </x:c>
      <x:c r="V64" s="21" t="str">
        <x:v>SRC-SKN-014</x:v>
      </x:c>
      <x:c r="W64" s="21" t="str">
        <x:v>ASIN B06Y15D1LH.</x:v>
      </x:c>
    </x:row>
    <x:row r="65" ht="106" customHeight="1">
      <x:c r="A65" s="21" t="str">
        <x:v>CH-SKN-002</x:v>
      </x:c>
      <x:c r="B65" s="21" t="str">
        <x:v>KB004</x:v>
      </x:c>
      <x:c r="C65" s="21" t="str">
        <x:v>SKN-P002</x:v>
      </x:c>
      <x:c r="D65" s="21" t="str">
        <x:v>Amazon U.S.</x:v>
      </x:c>
      <x:c r="E65" s="21" t="str">
        <x:v>https://www.amazon.com/dp/B07T5BN3P2</x:v>
      </x:c>
      <x:c r="F65" s="21" t="str">
        <x:v>SKIN1004 US</x:v>
      </x:c>
      <x:c r="G65" s="21" t="str">
        <x:v>Official-store-context offer observed</x:v>
      </x:c>
      <x:c r="H65" s="52" t="n">
        <x:v>25</x:v>
      </x:c>
      <x:c r="I65" s="52" t="n">
        <x:v>13.17</x:v>
      </x:c>
      <x:c r="J65" s="52" t="n">
        <x:v>0.4732</x:v>
      </x:c>
      <x:c r="K65" s="33" t="n">
        <x:v>13226</x:v>
      </x:c>
      <x:c r="L65" s="27" t="n">
        <x:v>4.6</x:v>
      </x:c>
      <x:c r="M65" s="21" t="str">
        <x:v>#1,043 Beauty &amp; Personal Care; #2 Makeup Cleansing Oils</x:v>
      </x:c>
      <x:c r="N65" s="21" t="str">
        <x:v>10K+ bought in past month</x:v>
      </x:c>
      <x:c r="O65" s="21" t="str">
        <x:v>In Stock</x:v>
      </x:c>
      <x:c r="P65" s="21" t="str">
        <x:v>At least $131,700/month badge-price lower bound</x:v>
      </x:c>
      <x:c r="Q65" s="21" t="str">
        <x:v>Sold by SKIN1004 US; shipped by Amazon; linked to the SKIN1004 store.</x:v>
      </x:c>
      <x:c r="R65" s="21" t="str">
        <x:v>Very High / near-leading cleansing oil</x:v>
      </x:c>
      <x:c r="S65" s="21" t="str">
        <x:v>Deep discount can pressure authorized retail and distributor margin.</x:v>
      </x:c>
      <x:c r="T65" s="21" t="str">
        <x:v>High</x:v>
      </x:c>
      <x:c r="U65" s="25" t="str">
        <x:v>2026-07-30</x:v>
      </x:c>
      <x:c r="V65" s="21" t="str">
        <x:v>SRC-SKN-015</x:v>
      </x:c>
      <x:c r="W65" s="21" t="str">
        <x:v>ASIN B07T5BN3P2.</x:v>
      </x:c>
    </x:row>
    <x:row r="66" ht="106" customHeight="1">
      <x:c r="A66" s="21" t="str">
        <x:v>CH-SKN-003</x:v>
      </x:c>
      <x:c r="B66" s="21" t="str">
        <x:v>KB004</x:v>
      </x:c>
      <x:c r="C66" s="21" t="str">
        <x:v>SKN-P003</x:v>
      </x:c>
      <x:c r="D66" s="21" t="str">
        <x:v>Amazon U.S.</x:v>
      </x:c>
      <x:c r="E66" s="21" t="str">
        <x:v>https://www.amazon.com/dp/B0C8Y1TSKZ</x:v>
      </x:c>
      <x:c r="F66" s="21" t="str">
        <x:v>SKIN1004 US</x:v>
      </x:c>
      <x:c r="G66" s="21" t="str">
        <x:v>Official-store-context offer observed</x:v>
      </x:c>
      <x:c r="H66" s="52" t="n">
        <x:v>25</x:v>
      </x:c>
      <x:c r="I66" s="52" t="n">
        <x:v>13.88</x:v>
      </x:c>
      <x:c r="J66" s="52" t="n">
        <x:v>0.4448</x:v>
      </x:c>
      <x:c r="K66" s="33" t="n">
        <x:v>7956</x:v>
      </x:c>
      <x:c r="L66" s="27" t="n">
        <x:v>4.6</x:v>
      </x:c>
      <x:c r="M66" s="21" t="str">
        <x:v>#2,027 Beauty &amp; Personal Care; #9 Facial Masks</x:v>
      </x:c>
      <x:c r="N66" s="21" t="str">
        <x:v>10K+ bought in past month</x:v>
      </x:c>
      <x:c r="O66" s="21" t="str">
        <x:v>In Stock</x:v>
      </x:c>
      <x:c r="P66" s="21" t="str">
        <x:v>At least $138,800/month badge-price lower bound</x:v>
      </x:c>
      <x:c r="Q66" s="21" t="str">
        <x:v>Sold by SKIN1004 US; shipped by Amazon; linked to the SKIN1004 store.</x:v>
      </x:c>
      <x:c r="R66" s="21" t="str">
        <x:v>Very High / viral pore-care format</x:v>
      </x:c>
      <x:c r="S66" s="21" t="str">
        <x:v>Dynamic data; cosmetic pore claims require careful wording.</x:v>
      </x:c>
      <x:c r="T66" s="21" t="str">
        <x:v>High</x:v>
      </x:c>
      <x:c r="U66" s="25" t="str">
        <x:v>2026-07-30</x:v>
      </x:c>
      <x:c r="V66" s="21" t="str">
        <x:v>SRC-SKN-016</x:v>
      </x:c>
      <x:c r="W66" s="21" t="str">
        <x:v>ASIN B0C8Y1TSKZ.</x:v>
      </x:c>
    </x:row>
    <x:row r="67" ht="106" customHeight="1">
      <x:c r="A67" s="21" t="str">
        <x:v>CH-SKN-004</x:v>
      </x:c>
      <x:c r="B67" s="21" t="str">
        <x:v>KB004</x:v>
      </x:c>
      <x:c r="C67" s="21" t="str">
        <x:v>SKN-P004</x:v>
      </x:c>
      <x:c r="D67" s="21" t="str">
        <x:v>Amazon U.S.</x:v>
      </x:c>
      <x:c r="E67" s="21" t="str">
        <x:v>https://www.amazon.com/dp/B09JBJDFHH</x:v>
      </x:c>
      <x:c r="F67" s="21" t="str">
        <x:v>SKIN1004 US</x:v>
      </x:c>
      <x:c r="G67" s="21" t="str">
        <x:v>Official-store-context offer observed</x:v>
      </x:c>
      <x:c r="H67" s="52" t="n">
        <x:v>18</x:v>
      </x:c>
      <x:c r="I67" s="52" t="n">
        <x:v>9.54</x:v>
      </x:c>
      <x:c r="J67" s="52" t="n">
        <x:v>0.47</x:v>
      </x:c>
      <x:c r="K67" s="33" t="n">
        <x:v>10260</x:v>
      </x:c>
      <x:c r="L67" s="27" t="n">
        <x:v>4.7</x:v>
      </x:c>
      <x:c r="M67" s="21"/>
      <x:c r="N67" s="21" t="str">
        <x:v>9K+ bought in past month</x:v>
      </x:c>
      <x:c r="O67" s="21" t="str">
        <x:v>In Stock</x:v>
      </x:c>
      <x:c r="P67" s="21" t="str">
        <x:v>At least $85,860/month badge-price lower bound</x:v>
      </x:c>
      <x:c r="Q67" s="21" t="str">
        <x:v>Sold by SKIN1004 US; shipped by Amazon; linked to the SKIN1004 store.</x:v>
      </x:c>
      <x:c r="R67" s="21" t="str">
        <x:v>Very High / routine-pair cleanser</x:v>
      </x:c>
      <x:c r="S67" s="21" t="str">
        <x:v>Best-seller rank did not render consistently in the direct pass.</x:v>
      </x:c>
      <x:c r="T67" s="21" t="str">
        <x:v>Medium-High</x:v>
      </x:c>
      <x:c r="U67" s="25" t="str">
        <x:v>2026-07-30</x:v>
      </x:c>
      <x:c r="V67" s="21" t="str">
        <x:v>SRC-SKN-017</x:v>
      </x:c>
      <x:c r="W67" s="21" t="str">
        <x:v>ASIN B09JBJDFHH.</x:v>
      </x:c>
    </x:row>
    <x:row r="68" ht="106" customHeight="1">
      <x:c r="A68" s="21" t="str">
        <x:v>CH-SKN-005</x:v>
      </x:c>
      <x:c r="B68" s="21" t="str">
        <x:v>KB004</x:v>
      </x:c>
      <x:c r="C68" s="21" t="str">
        <x:v>SKN-P005</x:v>
      </x:c>
      <x:c r="D68" s="21" t="str">
        <x:v>Amazon U.S.</x:v>
      </x:c>
      <x:c r="E68" s="21" t="str">
        <x:v>https://www.amazon.com/dp/B0FXH5LHN8</x:v>
      </x:c>
      <x:c r="F68" s="21" t="str">
        <x:v>CRC COMPANY</x:v>
      </x:c>
      <x:c r="G68" s="21" t="str">
        <x:v>Official-brand-store-linked offer; commercial relationship to CRAVER should be confirmed in writing</x:v>
      </x:c>
      <x:c r="H68" s="52" t="n">
        <x:v>26</x:v>
      </x:c>
      <x:c r="I68" s="52" t="n">
        <x:v>18.46</x:v>
      </x:c>
      <x:c r="J68" s="52" t="n">
        <x:v>0.29</x:v>
      </x:c>
      <x:c r="K68" s="33" t="n">
        <x:v>1321</x:v>
      </x:c>
      <x:c r="L68" s="27" t="n">
        <x:v>4.5</x:v>
      </x:c>
      <x:c r="M68" s="21"/>
      <x:c r="N68" s="21" t="str">
        <x:v>30K+ bought in past month</x:v>
      </x:c>
      <x:c r="O68" s="21" t="str">
        <x:v>In Stock</x:v>
      </x:c>
      <x:c r="P68" s="21" t="str">
        <x:v>At least $553,800/month badge-price lower bound</x:v>
      </x:c>
      <x:c r="Q68" s="21" t="str">
        <x:v>Ships from Amazon; links to SKIN1004 Store; seller displayed as CRC COMPANY rather than SKIN1004 US.</x:v>
      </x:c>
      <x:c r="R68" s="21" t="str">
        <x:v>Exceptional current sunscreen velocity</x:v>
      </x:c>
      <x:c r="S68" s="21" t="str">
        <x:v>Confirm seller authorization, NDC/lot linkage and U.S. formula at order time.</x:v>
      </x:c>
      <x:c r="T68" s="21" t="str">
        <x:v>High</x:v>
      </x:c>
      <x:c r="U68" s="25" t="str">
        <x:v>2026-07-30</x:v>
      </x:c>
      <x:c r="V68" s="21" t="str">
        <x:v>SRC-SKN-018</x:v>
      </x:c>
      <x:c r="W68" s="21" t="str">
        <x:v>ASIN B0FXH5LHN8; U.S. OTC formula only.</x:v>
      </x:c>
    </x:row>
    <x:row r="69" ht="106" customHeight="1">
      <x:c r="A69" s="21" t="str">
        <x:v>CH-SKN-006</x:v>
      </x:c>
      <x:c r="B69" s="21" t="str">
        <x:v>KB004</x:v>
      </x:c>
      <x:c r="C69" s="21"/>
      <x:c r="D69" s="21" t="str">
        <x:v>Amazon U.S. Brand Store</x:v>
      </x:c>
      <x:c r="E69" s="21" t="str">
        <x:v>https://www.amazon.com/stores/page/A2C29EC5-940B-432C-8A06-542CC11140E5/</x:v>
      </x:c>
      <x:c r="F69" s="21" t="str">
        <x:v>SKIN1004</x:v>
      </x:c>
      <x:c r="G69" s="21" t="str">
        <x:v>Official brand store</x:v>
      </x:c>
      <x:c r="H69" s="52"/>
      <x:c r="I69" s="52"/>
      <x:c r="J69" s="52"/>
      <x:c r="K69" s="33"/>
      <x:c r="L69" s="27"/>
      <x:c r="M69" s="21"/>
      <x:c r="N69" s="21" t="str">
        <x:v>Broad centella, cleansing, pore-care and U.S.-sunscreen assortment</x:v>
      </x:c>
      <x:c r="O69" s="21" t="str">
        <x:v>Active</x:v>
      </x:c>
      <x:c r="P69" s="21" t="str">
        <x:v>Five hero badges imply at least $1,058,660/month at observed prices</x:v>
      </x:c>
      <x:c r="Q69" s="21" t="str">
        <x:v>Official storefront and linked hero offers support large authorized marketplace presence.</x:v>
      </x:c>
      <x:c r="R69" s="21" t="str">
        <x:v>Exceptional marketplace scale</x:v>
      </x:c>
      <x:c r="S69" s="21" t="str">
        <x:v>Seller, price, formula and lot must still be checked at order time.</x:v>
      </x:c>
      <x:c r="T69" s="21" t="str">
        <x:v>High</x:v>
      </x:c>
      <x:c r="U69" s="25" t="str">
        <x:v>2026-07-30</x:v>
      </x:c>
      <x:c r="V69" s="21" t="str">
        <x:v>SRC-SKN-013</x:v>
      </x:c>
      <x:c r="W69" s="21" t="str">
        <x:v>Lower-bound math excludes other SKUs, variants, subscriptions, returns and other sellers.</x:v>
      </x:c>
    </x:row>
    <x:row r="70" ht="106" customHeight="1">
      <x:c r="A70" s="21" t="str">
        <x:v>CH-SKN-007</x:v>
      </x:c>
      <x:c r="B70" s="21" t="str">
        <x:v>KB004</x:v>
      </x:c>
      <x:c r="C70" s="21"/>
      <x:c r="D70" s="21" t="str">
        <x:v>TikTok Shop U.S.</x:v>
      </x:c>
      <x:c r="E70" s="21" t="str">
        <x:v>https://shop.tiktok.com/us/k/skin1004-us</x:v>
      </x:c>
      <x:c r="F70" s="21" t="str">
        <x:v>SKIN1004 US</x:v>
      </x:c>
      <x:c r="G70" s="21" t="str">
        <x:v>Official shop listed by the brand</x:v>
      </x:c>
      <x:c r="H70" s="52"/>
      <x:c r="I70" s="52"/>
      <x:c r="J70" s="52"/>
      <x:c r="K70" s="33"/>
      <x:c r="L70" s="27" t="n">
        <x:v>4.7</x:v>
      </x:c>
      <x:c r="M70" s="21"/>
      <x:c r="N70" s="21" t="str">
        <x:v>1.0M followers; 1.0M sold; bundles include cleansing, pore-care and centella routines</x:v>
      </x:c>
      <x:c r="O70" s="21" t="str">
        <x:v>Active</x:v>
      </x:c>
      <x:c r="P70" s="21" t="str">
        <x:v>Not disclosed</x:v>
      </x:c>
      <x:c r="Q70" s="21" t="str">
        <x:v>Brand's official stores page identifies TikTok Shop; current shop search display showed large cumulative scale.</x:v>
      </x:c>
      <x:c r="R70" s="21" t="str">
        <x:v>Exceptional social-commerce scale</x:v>
      </x:c>
      <x:c r="S70" s="21" t="str">
        <x:v>Cumulative dynamic shop display, not audited period units or revenue.</x:v>
      </x:c>
      <x:c r="T70" s="21" t="str">
        <x:v>Medium-High</x:v>
      </x:c>
      <x:c r="U70" s="25" t="str">
        <x:v>2026-07-30</x:v>
      </x:c>
      <x:c r="V70" s="21" t="str">
        <x:v>SRC-SKN-004,SRC-SKN-012</x:v>
      </x:c>
      <x:c r="W70" s="21" t="str">
        <x:v>Promotions, assortment, ratings and sold totals change.</x:v>
      </x:c>
    </x:row>
    <x:row r="71" ht="106" customHeight="1">
      <x:c r="A71" s="21" t="str">
        <x:v>CH-SKN-008</x:v>
      </x:c>
      <x:c r="B71" s="21" t="str">
        <x:v>KB004</x:v>
      </x:c>
      <x:c r="C71" s="21"/>
      <x:c r="D71" s="21" t="str">
        <x:v>Instagram</x:v>
      </x:c>
      <x:c r="E71" s="21" t="str">
        <x:v>https://www.instagram.com/skin1004official/</x:v>
      </x:c>
      <x:c r="F71" s="21" t="str">
        <x:v>@skin1004official</x:v>
      </x:c>
      <x:c r="G71" s="21" t="str">
        <x:v>Official global social account</x:v>
      </x:c>
      <x:c r="H71" s="52"/>
      <x:c r="I71" s="52"/>
      <x:c r="J71" s="52"/>
      <x:c r="K71" s="33" t="n">
        <x:v>797000</x:v>
      </x:c>
      <x:c r="L71" s="27"/>
      <x:c r="M71" s="21"/>
      <x:c r="N71" s="21" t="str">
        <x:v>797K followers; NYC, retailer, launch and brand-story highlights</x:v>
      </x:c>
      <x:c r="O71" s="21" t="str">
        <x:v>Active</x:v>
      </x:c>
      <x:c r="P71" s="21" t="str">
        <x:v>Not applicable</x:v>
      </x:c>
      <x:c r="Q71" s="21" t="str">
        <x:v>Public profile display confirms substantial awareness and current U.S. content.</x:v>
      </x:c>
      <x:c r="R71" s="21" t="str">
        <x:v>Very High awareness / non-transactional</x:v>
      </x:c>
      <x:c r="S71" s="21" t="str">
        <x:v>Global audience; followers are not U.S. buyers or sales.</x:v>
      </x:c>
      <x:c r="T71" s="21" t="str">
        <x:v>High</x:v>
      </x:c>
      <x:c r="U71" s="25" t="str">
        <x:v>2026-07-30</x:v>
      </x:c>
      <x:c r="V71" s="21" t="str">
        <x:v>SRC-SKN-011</x:v>
      </x:c>
      <x:c r="W71" s="21" t="str">
        <x:v>Use only licensed assets.</x:v>
      </x:c>
    </x:row>
    <x:row r="72" ht="106" customHeight="1">
      <x:c r="A72" s="21" t="str">
        <x:v>CH-SKN-009</x:v>
      </x:c>
      <x:c r="B72" s="21" t="str">
        <x:v>KB004</x:v>
      </x:c>
      <x:c r="C72" s="21"/>
      <x:c r="D72" s="21" t="str">
        <x:v>Official DTC</x:v>
      </x:c>
      <x:c r="E72" s="21" t="str">
        <x:v>https://www.skin1004.com</x:v>
      </x:c>
      <x:c r="F72" s="21" t="str">
        <x:v>CRAVER Corporation / SKIN1004</x:v>
      </x:c>
      <x:c r="G72" s="21" t="str">
        <x:v>Official; U.S. orders fulfilled from a U.S. warehouse per FAQ</x:v>
      </x:c>
      <x:c r="H72" s="52"/>
      <x:c r="I72" s="52"/>
      <x:c r="J72" s="52"/>
      <x:c r="K72" s="33"/>
      <x:c r="L72" s="27"/>
      <x:c r="M72" s="21"/>
      <x:c r="N72" s="21" t="str">
        <x:v>Full cosmetics assortment; U.S. sunscreen/global sunscreen availability differs</x:v>
      </x:c>
      <x:c r="O72" s="21" t="str">
        <x:v>Active</x:v>
      </x:c>
      <x:c r="P72" s="21" t="str">
        <x:v>Not disclosed</x:v>
      </x:c>
      <x:c r="Q72" s="21" t="str">
        <x:v>Official pages, U.S. shipping, $40 minimum and U.S. warehouse were verified.</x:v>
      </x:c>
      <x:c r="R72" s="21" t="str">
        <x:v>Strong direct infrastructure</x:v>
      </x:c>
      <x:c r="S72" s="21" t="str">
        <x:v>Official global sun-care pages state the global products are unavailable in the U.S.; catalog governance is essential.</x:v>
      </x:c>
      <x:c r="T72" s="21" t="str">
        <x:v>High</x:v>
      </x:c>
      <x:c r="U72" s="25" t="str">
        <x:v>2026-07-30</x:v>
      </x:c>
      <x:c r="V72" s="21" t="str">
        <x:v>SRC-SKN-001,SRC-SKN-005,SRC-SKN-023</x:v>
      </x:c>
      <x:c r="W72" s="21" t="str">
        <x:v>Direct fulfillment reduces distributor whitespace.</x:v>
      </x:c>
    </x:row>
    <x:row r="73" ht="106" customHeight="1">
      <x:c r="A73" s="21" t="str">
        <x:v>CH-SKN-010</x:v>
      </x:c>
      <x:c r="B73" s="21" t="str">
        <x:v>KB004</x:v>
      </x:c>
      <x:c r="C73" s="21"/>
      <x:c r="D73" s="21" t="str">
        <x:v>Ulta Beauty</x:v>
      </x:c>
      <x:c r="E73" s="21" t="str">
        <x:v>https://www.ulta.com/brand/skin1004</x:v>
      </x:c>
      <x:c r="F73" s="21" t="str">
        <x:v>Ulta Beauty</x:v>
      </x:c>
      <x:c r="G73" s="21" t="str">
        <x:v>Listed by SKIN1004 as an authorized U.S. seller</x:v>
      </x:c>
      <x:c r="H73" s="52"/>
      <x:c r="I73" s="52"/>
      <x:c r="J73" s="52"/>
      <x:c r="K73" s="33"/>
      <x:c r="L73" s="27"/>
      <x:c r="M73" s="21"/>
      <x:c r="N73" s="21" t="str">
        <x:v>41-item skincare page; selected hero MSRPs $18–$26; substantial cleansing and sunscreen reviews</x:v>
      </x:c>
      <x:c r="O73" s="21" t="str">
        <x:v>Active</x:v>
      </x:c>
      <x:c r="P73" s="21" t="str">
        <x:v>Not disclosed</x:v>
      </x:c>
      <x:c r="Q73" s="21" t="str">
        <x:v>Official store list and current Ulta pages support national specialty placement.</x:v>
      </x:c>
      <x:c r="R73" s="21" t="str">
        <x:v>Core national specialty account</x:v>
      </x:c>
      <x:c r="S73" s="21" t="str">
        <x:v>Promotions and subscriptions can discount; historical store-count reports are company-reported.</x:v>
      </x:c>
      <x:c r="T73" s="21" t="str">
        <x:v>High</x:v>
      </x:c>
      <x:c r="U73" s="25" t="str">
        <x:v>2026-07-30</x:v>
      </x:c>
      <x:c r="V73" s="21" t="str">
        <x:v>SRC-SKN-004,SRC-SKN-024,SRC-SKN-025,SRC-SKN-026,SRC-SKN-027,SRC-SKN-028,SRC-SKN-029</x:v>
      </x:c>
      <x:c r="W73" s="21" t="str">
        <x:v>Mature account sharply limits open national specialty whitespace.</x:v>
      </x:c>
    </x:row>
    <x:row r="74" ht="106" customHeight="1">
      <x:c r="A74" s="21" t="str">
        <x:v>CH-SKN-011</x:v>
      </x:c>
      <x:c r="B74" s="21" t="str">
        <x:v>KB004</x:v>
      </x:c>
      <x:c r="C74" s="21"/>
      <x:c r="D74" s="21" t="str">
        <x:v>New York Flagship</x:v>
      </x:c>
      <x:c r="E74" s="21" t="str">
        <x:v>https://www.skin1004.com/pages/flagship-store-us</x:v>
      </x:c>
      <x:c r="F74" s="21" t="str">
        <x:v>SKIN1004 / CRAVER</x:v>
      </x:c>
      <x:c r="G74" s="21" t="str">
        <x:v>Official physical retail</x:v>
      </x:c>
      <x:c r="H74" s="52"/>
      <x:c r="I74" s="52"/>
      <x:c r="J74" s="52"/>
      <x:c r="K74" s="33"/>
      <x:c r="L74" s="27"/>
      <x:c r="M74" s="21"/>
      <x:c r="N74" s="21" t="str">
        <x:v>470 Broadway, New York, NY 10013; 11 a.m.–8 p.m.</x:v>
      </x:c>
      <x:c r="O74" s="21" t="str">
        <x:v>Active</x:v>
      </x:c>
      <x:c r="P74" s="21" t="str">
        <x:v>Not disclosed</x:v>
      </x:c>
      <x:c r="Q74" s="21" t="str">
        <x:v>Official U.S. flagship page verifies address, hours, email and phone.</x:v>
      </x:c>
      <x:c r="R74" s="21" t="str">
        <x:v>High brand-control and experiential presence</x:v>
      </x:c>
      <x:c r="S74" s="21" t="str">
        <x:v>Flagship economics and geographic reach are not public.</x:v>
      </x:c>
      <x:c r="T74" s="21" t="str">
        <x:v>High</x:v>
      </x:c>
      <x:c r="U74" s="25" t="str">
        <x:v>2026-07-30</x:v>
      </x:c>
      <x:c r="V74" s="21" t="str">
        <x:v>SRC-SKN-006</x:v>
      </x:c>
      <x:c r="W74" s="21" t="str">
        <x:v>Direct retail presence increases account conflict in New York.</x:v>
      </x:c>
    </x:row>
    <x:row r="75" ht="106" customHeight="1">
      <x:c r="A75" s="21" t="str">
        <x:v>CH-SKN-012</x:v>
      </x:c>
      <x:c r="B75" s="21" t="str">
        <x:v>KB004</x:v>
      </x:c>
      <x:c r="C75" s="21"/>
      <x:c r="D75" s="21" t="str">
        <x:v>U.S. Authorized Specialty Network</x:v>
      </x:c>
      <x:c r="E75" s="21" t="str">
        <x:v>https://www.skin1004.com/pages/stores</x:v>
      </x:c>
      <x:c r="F75" s="21" t="str">
        <x:v>Live K-Beauty; oo35mm New York; Song of Skin; Cupidrop; TokTok Beauty; Kira Kira Beauty; Olive Kollection</x:v>
      </x:c>
      <x:c r="G75" s="21" t="str">
        <x:v>Officially listed authorized sellers</x:v>
      </x:c>
      <x:c r="H75" s="52"/>
      <x:c r="I75" s="52"/>
      <x:c r="J75" s="52"/>
      <x:c r="K75" s="33"/>
      <x:c r="L75" s="27"/>
      <x:c r="M75" s="21"/>
      <x:c r="N75" s="21" t="str">
        <x:v>Multiple specialty e-commerce and physical accounts</x:v>
      </x:c>
      <x:c r="O75" s="21" t="str">
        <x:v>Active / account-specific</x:v>
      </x:c>
      <x:c r="P75" s="21" t="str">
        <x:v>Not disclosed</x:v>
      </x:c>
      <x:c r="Q75" s="21" t="str">
        <x:v>Official store list provides direct authorization evidence.</x:v>
      </x:c>
      <x:c r="R75" s="21" t="str">
        <x:v>Meaningful specialty coverage</x:v>
      </x:c>
      <x:c r="S75" s="21" t="str">
        <x:v>Verify territory, customer segment, current authorization and assortment before proposing overlap.</x:v>
      </x:c>
      <x:c r="T75" s="21" t="str">
        <x:v>High</x:v>
      </x:c>
      <x:c r="U75" s="25" t="str">
        <x:v>2026-07-30</x:v>
      </x:c>
      <x:c r="V75" s="21" t="str">
        <x:v>SRC-SKN-004,SRC-SKN-039</x:v>
      </x:c>
      <x:c r="W75" s="21" t="str">
        <x:v>Existing network reduces independent specialty whitespace.</x:v>
      </x:c>
    </x:row>
    <x:row r="76" ht="106" customHeight="1">
      <x:c r="A76" s="21" t="str">
        <x:v>CH-SKN-013</x:v>
      </x:c>
      <x:c r="B76" s="21" t="str">
        <x:v>KB004</x:v>
      </x:c>
      <x:c r="C76" s="21" t="str">
        <x:v>SKN-P001</x:v>
      </x:c>
      <x:c r="D76" s="21" t="str">
        <x:v>Target U.S.</x:v>
      </x:c>
      <x:c r="E76" s="21" t="str">
        <x:v>https://www.target.com/b/skin1004/-/N-q643lergpss</x:v>
      </x:c>
      <x:c r="F76" s="21" t="str">
        <x:v>Target and Target Plus sellers</x:v>
      </x:c>
      <x:c r="G76" s="21" t="str">
        <x:v>Mixed; not listed on SKIN1004's official U.S. authorized-seller page</x:v>
      </x:c>
      <x:c r="H76" s="52" t="n">
        <x:v>25</x:v>
      </x:c>
      <x:c r="I76" s="52" t="n">
        <x:v>15.99</x:v>
      </x:c>
      <x:c r="J76" s="52" t="n">
        <x:v>0.3604</x:v>
      </x:c>
      <x:c r="K76" s="33" t="n">
        <x:v>233</x:v>
      </x:c>
      <x:c r="L76" s="27" t="n">
        <x:v>4.6</x:v>
      </x:c>
      <x:c r="M76" s="21"/>
      <x:c r="N76" s="21" t="str">
        <x:v>Brand page and multiple offers</x:v>
      </x:c>
      <x:c r="O76" s="21" t="str">
        <x:v>Active / seller-specific</x:v>
      </x:c>
      <x:c r="P76" s="21" t="str">
        <x:v>Not calculated</x:v>
      </x:c>
      <x:c r="Q76" s="21" t="str">
        <x:v>Brand page, 'New at Target' messaging and direct-looking offers coexist with third-party Target Plus sellers such as Unlockt Brands.</x:v>
      </x:c>
      <x:c r="R76" s="21" t="str">
        <x:v>Emerging mass awareness / authorization gap</x:v>
      </x:c>
      <x:c r="S76" s="21" t="str">
        <x:v>Do not infer authorization for every offer; confirm Target account and seller by SKU.</x:v>
      </x:c>
      <x:c r="T76" s="21" t="str">
        <x:v>Medium</x:v>
      </x:c>
      <x:c r="U76" s="25" t="str">
        <x:v>2026-07-30</x:v>
      </x:c>
      <x:c r="V76" s="21" t="str">
        <x:v>SRC-SKN-035,SRC-SKN-036</x:v>
      </x:c>
      <x:c r="W76" s="21" t="str">
        <x:v>Sampled ampoule page included related SKIN1004 offers and Brand Expert answers.</x:v>
      </x:c>
    </x:row>
    <x:row r="77" ht="106" customHeight="1">
      <x:c r="A77" s="21" t="str">
        <x:v>CH-SKN-014</x:v>
      </x:c>
      <x:c r="B77" s="21" t="str">
        <x:v>KB004</x:v>
      </x:c>
      <x:c r="C77" s="21" t="str">
        <x:v>SKN-P001</x:v>
      </x:c>
      <x:c r="D77" s="21" t="str">
        <x:v>Walmart U.S. Marketplace</x:v>
      </x:c>
      <x:c r="E77" s="21" t="str">
        <x:v>https://www.walmart.com/browse/beauty/skincare/skin1004/1085666_1007039/YnJhbmQ6U0tJTjEwMDQie</x:v>
      </x:c>
      <x:c r="F77" s="21" t="str">
        <x:v>Multiple sellers, including third parties and some SKIN1004-labeled offers</x:v>
      </x:c>
      <x:c r="G77" s="21" t="str">
        <x:v>Mixed marketplace; not listed on official U.S. authorized-seller page</x:v>
      </x:c>
      <x:c r="H77" s="52" t="n">
        <x:v>25</x:v>
      </x:c>
      <x:c r="I77" s="52" t="n">
        <x:v>18.36</x:v>
      </x:c>
      <x:c r="J77" s="52" t="n">
        <x:v>0.2656</x:v>
      </x:c>
      <x:c r="K77" s="33" t="n">
        <x:v>247</x:v>
      </x:c>
      <x:c r="L77" s="27" t="n">
        <x:v>4.6</x:v>
      </x:c>
      <x:c r="M77" s="21"/>
      <x:c r="N77" s="21" t="str">
        <x:v>45 products displayed; sampled cream sold by Abit Products; mixed fulfillment/sellers</x:v>
      </x:c>
      <x:c r="O77" s="21" t="str">
        <x:v>Active / seller-specific</x:v>
      </x:c>
      <x:c r="P77" s="21" t="str">
        <x:v>Not calculated</x:v>
      </x:c>
      <x:c r="Q77" s="21" t="str">
        <x:v>Large marketplace visibility supports awareness but not authorization of each seller.</x:v>
      </x:c>
      <x:c r="R77" s="21" t="str">
        <x:v>Gray-market, price and authenticity risk</x:v>
      </x:c>
      <x:c r="S77" s="21" t="str">
        <x:v>Seller and fulfillment can change; marketplace presence is not proof of counterfeit.</x:v>
      </x:c>
      <x:c r="T77" s="21" t="str">
        <x:v>High</x:v>
      </x:c>
      <x:c r="U77" s="25" t="str">
        <x:v>2026-07-30</x:v>
      </x:c>
      <x:c r="V77" s="21" t="str">
        <x:v>SRC-SKN-037,SRC-SKN-038</x:v>
      </x:c>
      <x:c r="W77" s="21" t="str">
        <x:v>Require written authorization and batch traceability.</x:v>
      </x:c>
    </x:row>
    <x:row r="78" ht="106" customHeight="1">
      <x:c r="A78" s="21" t="str">
        <x:v>CH-SKN-015</x:v>
      </x:c>
      <x:c r="B78" s="21" t="str">
        <x:v>KB004</x:v>
      </x:c>
      <x:c r="C78" s="21"/>
      <x:c r="D78" s="21" t="str">
        <x:v>Authorized International / Cross-Border Retailers</x:v>
      </x:c>
      <x:c r="E78" s="21" t="str">
        <x:v>https://www.skin1004.com/pages/stores</x:v>
      </x:c>
      <x:c r="F78" s="21" t="str">
        <x:v>StyleKorean; Stylevana; YesStyle; Olive Young Global; Jolse; iHerb; UMMA</x:v>
      </x:c>
      <x:c r="G78" s="21" t="str">
        <x:v>Officially listed international authorized sellers</x:v>
      </x:c>
      <x:c r="H78" s="52"/>
      <x:c r="I78" s="52"/>
      <x:c r="J78" s="52"/>
      <x:c r="K78" s="33"/>
      <x:c r="L78" s="27"/>
      <x:c r="M78" s="21"/>
      <x:c r="N78" s="21" t="str">
        <x:v>Broad cross-border availability including U.S.-accessible retailers</x:v>
      </x:c>
      <x:c r="O78" s="21" t="str">
        <x:v>Active / destination-dependent</x:v>
      </x:c>
      <x:c r="P78" s="21" t="str">
        <x:v>Not calculated</x:v>
      </x:c>
      <x:c r="Q78" s="21" t="str">
        <x:v>Official authorization supports authenticity when bought from the named seller, but not U.S. wholesale rights or U.S. formula compliance.</x:v>
      </x:c>
      <x:c r="R78" s="21" t="str">
        <x:v>High awareness and gray-market comparison pressure</x:v>
      </x:c>
      <x:c r="S78" s="21" t="str">
        <x:v>Global/Korean sunscreen formula must not be imported for U.S. OTC resale; regional packaging/prices can differ.</x:v>
      </x:c>
      <x:c r="T78" s="21" t="str">
        <x:v>High</x:v>
      </x:c>
      <x:c r="U78" s="25" t="str">
        <x:v>2026-07-30</x:v>
      </x:c>
      <x:c r="V78" s="21" t="str">
        <x:v>SRC-SKN-004,SRC-SKN-045</x:v>
      </x:c>
      <x:c r="W78" s="21" t="str">
        <x:v>Do not use retail arbitrage as distributor sourcing.</x:v>
      </x:c>
    </x:row>
    <x:row r="79" ht="112" customHeight="1">
      <x:c r="A79" s="21" t="str">
        <x:v>CH-TIR-001</x:v>
      </x:c>
      <x:c r="B79" s="21" t="str">
        <x:v>KB006</x:v>
      </x:c>
      <x:c r="C79" s="21"/>
      <x:c r="D79" s="21" t="str">
        <x:v>Amazon U.S. Search / Brand Store</x:v>
      </x:c>
      <x:c r="E79" s="21" t="str">
        <x:v>https://www.amazon.com/s?k=TIRTIR</x:v>
      </x:c>
      <x:c r="F79" s="21" t="str">
        <x:v>TIRTIR / TIRTIR. INC</x:v>
      </x:c>
      <x:c r="G79" s="21" t="str">
        <x:v>Official-store-context offers dominate sampled heroes</x:v>
      </x:c>
      <x:c r="H79" s="52"/>
      <x:c r="I79" s="52"/>
      <x:c r="J79" s="52"/>
      <x:c r="K79" s="33"/>
      <x:c r="L79" s="27"/>
      <x:c r="M79" s="21"/>
      <x:c r="N79" s="21" t="str">
        <x:v>170 search results displayed; broad makeup and skincare presence</x:v>
      </x:c>
      <x:c r="O79" s="21" t="str">
        <x:v>Active</x:v>
      </x:c>
      <x:c r="P79" s="21" t="str">
        <x:v>Four non-overlapping sampled signals imply at least $513,750/month</x:v>
      </x:c>
      <x:c r="Q79" s="21" t="str">
        <x:v>Sampled hero pages linked to the TIRTIR Store and showed TIRTIR. INC as seller with Amazon fulfillment.</x:v>
      </x:c>
      <x:c r="R79" s="21" t="str">
        <x:v>Exceptional marketplace scale</x:v>
      </x:c>
      <x:c r="S79" s="21" t="str">
        <x:v>Search counts, prices, sellers and offer attribution are dynamic; revenue proxy is not audited.</x:v>
      </x:c>
      <x:c r="T79" s="21" t="str">
        <x:v>High</x:v>
      </x:c>
      <x:c r="U79" s="25" t="str">
        <x:v>2026-07-30</x:v>
      </x:c>
      <x:c r="V79" s="21" t="str">
        <x:v>SRC-TIR-021</x:v>
      </x:c>
      <x:c r="W79" s="21" t="str">
        <x:v>Lower bound excludes Makeup Fixer to avoid possible setting-spray variant overlap.</x:v>
      </x:c>
    </x:row>
    <x:row r="80" ht="112" customHeight="1">
      <x:c r="A80" s="21" t="str">
        <x:v>CH-TIR-002</x:v>
      </x:c>
      <x:c r="B80" s="21" t="str">
        <x:v>KB006</x:v>
      </x:c>
      <x:c r="C80" s="21" t="str">
        <x:v>TIR-P001</x:v>
      </x:c>
      <x:c r="D80" s="21" t="str">
        <x:v>Amazon U.S.</x:v>
      </x:c>
      <x:c r="E80" s="21" t="str">
        <x:v>https://www.amazon.com/dp/B09LCMQM44</x:v>
      </x:c>
      <x:c r="F80" s="21" t="str">
        <x:v>TIRTIR. INC</x:v>
      </x:c>
      <x:c r="G80" s="21" t="str">
        <x:v>Official-store-context offer observed</x:v>
      </x:c>
      <x:c r="H80" s="52" t="n">
        <x:v>25</x:v>
      </x:c>
      <x:c r="I80" s="52" t="n">
        <x:v>18.75</x:v>
      </x:c>
      <x:c r="J80" s="52" t="n">
        <x:v>0.25</x:v>
      </x:c>
      <x:c r="K80" s="33" t="n">
        <x:v>7927</x:v>
      </x:c>
      <x:c r="L80" s="27" t="n">
        <x:v>4.3</x:v>
      </x:c>
      <x:c r="M80" s="21" t="str">
        <x:v>#802 Beauty &amp; Personal Care; #10 Foundation Makeup</x:v>
      </x:c>
      <x:c r="N80" s="21" t="str">
        <x:v>1K+ bought in past month for #21N Ivory</x:v>
      </x:c>
      <x:c r="O80" s="21" t="str">
        <x:v>In Stock</x:v>
      </x:c>
      <x:c r="P80" s="21" t="str">
        <x:v>At least $18,750/month for one sampled shade</x:v>
      </x:c>
      <x:c r="Q80" s="21" t="str">
        <x:v>Sold by TIRTIR. INC and shipped by Amazon; listing is fragmented by shade/ASIN.</x:v>
      </x:c>
      <x:c r="R80" s="21" t="str">
        <x:v>Very High aggregate cushion visibility</x:v>
      </x:c>
      <x:c r="S80" s="21" t="str">
        <x:v>One shade materially understates the 40-shade family; do not sum variants without deduplication.</x:v>
      </x:c>
      <x:c r="T80" s="21" t="str">
        <x:v>High</x:v>
      </x:c>
      <x:c r="U80" s="25" t="str">
        <x:v>2026-07-30</x:v>
      </x:c>
      <x:c r="V80" s="21" t="str">
        <x:v>SRC-TIR-019</x:v>
      </x:c>
      <x:c r="W80" s="21" t="str">
        <x:v>ASIN B09LCMQM44; shade-specific signal.</x:v>
      </x:c>
    </x:row>
    <x:row r="81" ht="112" customHeight="1">
      <x:c r="A81" s="21" t="str">
        <x:v>CH-TIR-003</x:v>
      </x:c>
      <x:c r="B81" s="21" t="str">
        <x:v>KB006</x:v>
      </x:c>
      <x:c r="C81" s="21" t="str">
        <x:v>TIR-P003</x:v>
      </x:c>
      <x:c r="D81" s="21" t="str">
        <x:v>Amazon U.S.</x:v>
      </x:c>
      <x:c r="E81" s="21" t="str">
        <x:v>https://www.amazon.com/dp/B0DZMMBF3J</x:v>
      </x:c>
      <x:c r="F81" s="21" t="str">
        <x:v>TIRTIR. INC</x:v>
      </x:c>
      <x:c r="G81" s="21" t="str">
        <x:v>Official-store-context offer observed</x:v>
      </x:c>
      <x:c r="H81" s="52" t="n">
        <x:v>15</x:v>
      </x:c>
      <x:c r="I81" s="52" t="n">
        <x:v>12.75</x:v>
      </x:c>
      <x:c r="J81" s="52" t="n">
        <x:v>0.15</x:v>
      </x:c>
      <x:c r="K81" s="33" t="n">
        <x:v>1416</x:v>
      </x:c>
      <x:c r="L81" s="27" t="n">
        <x:v>4.4</x:v>
      </x:c>
      <x:c r="M81" s="21" t="str">
        <x:v>#313 Beauty &amp; Personal Care; #3 Foundation Primers</x:v>
      </x:c>
      <x:c r="N81" s="21" t="str">
        <x:v>20K+ bought in past month</x:v>
      </x:c>
      <x:c r="O81" s="21" t="str">
        <x:v>In Stock</x:v>
      </x:c>
      <x:c r="P81" s="21" t="str">
        <x:v>At least $255,000/month badge-price lower bound</x:v>
      </x:c>
      <x:c r="Q81" s="21" t="str">
        <x:v>Sold by TIRTIR. INC and shipped by Amazon; Amazon's Choice displayed.</x:v>
      </x:c>
      <x:c r="R81" s="21" t="str">
        <x:v>Exceptional current velocity</x:v>
      </x:c>
      <x:c r="S81" s="21" t="str">
        <x:v>Category mapping is imperfect; data are dynamic; original Makeup Fixer sits in the same product family.</x:v>
      </x:c>
      <x:c r="T81" s="21" t="str">
        <x:v>High</x:v>
      </x:c>
      <x:c r="U81" s="25" t="str">
        <x:v>2026-07-30</x:v>
      </x:c>
      <x:c r="V81" s="21" t="str">
        <x:v>SRC-TIR-016</x:v>
      </x:c>
      <x:c r="W81" s="21" t="str">
        <x:v>ASIN B0DZMMBF3J.</x:v>
      </x:c>
    </x:row>
    <x:row r="82" ht="112" customHeight="1">
      <x:c r="A82" s="21" t="str">
        <x:v>CH-TIR-004</x:v>
      </x:c>
      <x:c r="B82" s="21" t="str">
        <x:v>KB006</x:v>
      </x:c>
      <x:c r="C82" s="21" t="str">
        <x:v>TIR-P005</x:v>
      </x:c>
      <x:c r="D82" s="21" t="str">
        <x:v>Amazon U.S.</x:v>
      </x:c>
      <x:c r="E82" s="21" t="str">
        <x:v>https://www.amazon.com/dp/B0CG1H8YRS</x:v>
      </x:c>
      <x:c r="F82" s="21" t="str">
        <x:v>TIRTIR. INC</x:v>
      </x:c>
      <x:c r="G82" s="21" t="str">
        <x:v>Official-store-context offer observed</x:v>
      </x:c>
      <x:c r="H82" s="52" t="n">
        <x:v>25</x:v>
      </x:c>
      <x:c r="I82" s="52" t="n">
        <x:v>20</x:v>
      </x:c>
      <x:c r="J82" s="52" t="n">
        <x:v>0.2</x:v>
      </x:c>
      <x:c r="K82" s="33" t="n">
        <x:v>8107</x:v>
      </x:c>
      <x:c r="L82" s="27" t="n">
        <x:v>4.6</x:v>
      </x:c>
      <x:c r="M82" s="21" t="str">
        <x:v>#1,166 Beauty &amp; Personal Care; #14 Facial Toners</x:v>
      </x:c>
      <x:c r="N82" s="21" t="str">
        <x:v>9K+ bought in past month</x:v>
      </x:c>
      <x:c r="O82" s="21" t="str">
        <x:v>In Stock</x:v>
      </x:c>
      <x:c r="P82" s="21" t="str">
        <x:v>At least $180,000/month badge-price lower bound</x:v>
      </x:c>
      <x:c r="Q82" s="21" t="str">
        <x:v>Sold by TIRTIR. INC and shipped by Amazon; high review depth and toner rank.</x:v>
      </x:c>
      <x:c r="R82" s="21" t="str">
        <x:v>Very High skincare velocity</x:v>
      </x:c>
      <x:c r="S82" s="21" t="str">
        <x:v>Packaging/ingredient notation can differ by production year; confirm current lot and label.</x:v>
      </x:c>
      <x:c r="T82" s="21" t="str">
        <x:v>High</x:v>
      </x:c>
      <x:c r="U82" s="25" t="str">
        <x:v>2026-07-30</x:v>
      </x:c>
      <x:c r="V82" s="21" t="str">
        <x:v>SRC-TIR-018</x:v>
      </x:c>
      <x:c r="W82" s="21" t="str">
        <x:v>ASIN B0CG1H8YRS.</x:v>
      </x:c>
    </x:row>
    <x:row r="83" ht="112" customHeight="1">
      <x:c r="A83" s="21" t="str">
        <x:v>CH-TIR-005</x:v>
      </x:c>
      <x:c r="B83" s="21" t="str">
        <x:v>KB006</x:v>
      </x:c>
      <x:c r="C83" s="21"/>
      <x:c r="D83" s="21" t="str">
        <x:v>TikTok Shop U.S.</x:v>
      </x:c>
      <x:c r="E83" s="21" t="str">
        <x:v>https://shop.tiktok.com/us/store/tirtir-inc/7495857443730262618</x:v>
      </x:c>
      <x:c r="F83" s="21" t="str">
        <x:v>TIRTIR. INC</x:v>
      </x:c>
      <x:c r="G83" s="21" t="str">
        <x:v>Official Shop</x:v>
      </x:c>
      <x:c r="H83" s="52"/>
      <x:c r="I83" s="52"/>
      <x:c r="J83" s="52"/>
      <x:c r="K83" s="33"/>
      <x:c r="L83" s="27" t="n">
        <x:v>4.7</x:v>
      </x:c>
      <x:c r="M83" s="21"/>
      <x:c r="N83" s="21" t="str">
        <x:v>868.9K+ followers; 990.1K sold; 1,065 videos; multiple heroes above 64K sold</x:v>
      </x:c>
      <x:c r="O83" s="21" t="str">
        <x:v>Active</x:v>
      </x:c>
      <x:c r="P83" s="21" t="str">
        <x:v>Not disclosed</x:v>
      </x:c>
      <x:c r="Q83" s="21" t="str">
        <x:v>Official shop showed AI Cushion 169.5K, Glide &amp; Hide 128.3K, Waterproof Spray 91.0K, Red Cushion 64.2K and Milk Toner 31.3K sold.</x:v>
      </x:c>
      <x:c r="R83" s="21" t="str">
        <x:v>Exceptional social-commerce scale</x:v>
      </x:c>
      <x:c r="S83" s="21" t="str">
        <x:v>Cumulative dynamic store/product displays, not audited period units or revenue.</x:v>
      </x:c>
      <x:c r="T83" s="21" t="str">
        <x:v>Medium-High</x:v>
      </x:c>
      <x:c r="U83" s="25" t="str">
        <x:v>2026-07-30</x:v>
      </x:c>
      <x:c r="V83" s="21" t="str">
        <x:v>SRC-TIR-004,SRC-TIR-027</x:v>
      </x:c>
      <x:c r="W83" s="21" t="str">
        <x:v>Promotions and sold totals change.</x:v>
      </x:c>
    </x:row>
    <x:row r="84" ht="112" customHeight="1">
      <x:c r="A84" s="21" t="str">
        <x:v>CH-TIR-006</x:v>
      </x:c>
      <x:c r="B84" s="21" t="str">
        <x:v>KB006</x:v>
      </x:c>
      <x:c r="C84" s="21"/>
      <x:c r="D84" s="21" t="str">
        <x:v>Instagram</x:v>
      </x:c>
      <x:c r="E84" s="21" t="str">
        <x:v>https://www.instagram.com/tirtir_global/</x:v>
      </x:c>
      <x:c r="F84" s="21" t="str">
        <x:v>@tirtir_global</x:v>
      </x:c>
      <x:c r="G84" s="21" t="str">
        <x:v>Verified official global account</x:v>
      </x:c>
      <x:c r="H84" s="52"/>
      <x:c r="I84" s="52"/>
      <x:c r="J84" s="52"/>
      <x:c r="K84" s="33" t="n">
        <x:v>791387</x:v>
      </x:c>
      <x:c r="L84" s="27"/>
      <x:c r="M84" s="21"/>
      <x:c r="N84" s="21" t="str">
        <x:v>791,387 followers; verified profile</x:v>
      </x:c>
      <x:c r="O84" s="21" t="str">
        <x:v>Active</x:v>
      </x:c>
      <x:c r="P84" s="21" t="str">
        <x:v>Not applicable</x:v>
      </x:c>
      <x:c r="Q84" s="21" t="str">
        <x:v>Public profile confirms a large awareness base and current global/U.S.-relevant launch content.</x:v>
      </x:c>
      <x:c r="R84" s="21" t="str">
        <x:v>Very High awareness / non-transactional</x:v>
      </x:c>
      <x:c r="S84" s="21" t="str">
        <x:v>Global audience; followers are not U.S. buyers or sales.</x:v>
      </x:c>
      <x:c r="T84" s="21" t="str">
        <x:v>High</x:v>
      </x:c>
      <x:c r="U84" s="25" t="str">
        <x:v>2026-07-30</x:v>
      </x:c>
      <x:c r="V84" s="21" t="str">
        <x:v>SRC-TIR-005</x:v>
      </x:c>
      <x:c r="W84" s="21" t="str">
        <x:v>Use only licensed assets.</x:v>
      </x:c>
    </x:row>
    <x:row r="85" ht="112" customHeight="1">
      <x:c r="A85" s="21" t="str">
        <x:v>CH-TIR-007</x:v>
      </x:c>
      <x:c r="B85" s="21" t="str">
        <x:v>KB006</x:v>
      </x:c>
      <x:c r="C85" s="21"/>
      <x:c r="D85" s="21" t="str">
        <x:v>Official DTC</x:v>
      </x:c>
      <x:c r="E85" s="21" t="str">
        <x:v>https://tirtir.global</x:v>
      </x:c>
      <x:c r="F85" s="21" t="str">
        <x:v>TIRTIR USA Inc.</x:v>
      </x:c>
      <x:c r="G85" s="21" t="str">
        <x:v>Official U.S.-serving DTC; personal-use quantity limits disclosed</x:v>
      </x:c>
      <x:c r="H85" s="52"/>
      <x:c r="I85" s="52"/>
      <x:c r="J85" s="52"/>
      <x:c r="K85" s="33"/>
      <x:c r="L85" s="27"/>
      <x:c r="M85" s="21"/>
      <x:c r="N85" s="21" t="str">
        <x:v>Full makeup, skincare and U.S. OTC sunscreen assortment</x:v>
      </x:c>
      <x:c r="O85" s="21" t="str">
        <x:v>Active</x:v>
      </x:c>
      <x:c r="P85" s="21" t="str">
        <x:v>Not disclosed</x:v>
      </x:c>
      <x:c r="Q85" s="21" t="str">
        <x:v>Terms identify TIRTIR USA Inc.; U.S. pricing, reviews, shade tools and current products are visible.</x:v>
      </x:c>
      <x:c r="R85" s="21" t="str">
        <x:v>Strong direct infrastructure</x:v>
      </x:c>
      <x:c r="S85" s="21" t="str">
        <x:v>The site may cancel reseller/distributor-like orders; direct operation reduces wholesale whitespace.</x:v>
      </x:c>
      <x:c r="T85" s="21" t="str">
        <x:v>High</x:v>
      </x:c>
      <x:c r="U85" s="25" t="str">
        <x:v>2026-07-30</x:v>
      </x:c>
      <x:c r="V85" s="21" t="str">
        <x:v>SRC-TIR-001,SRC-TIR-002,SRC-TIR-003,SRC-TIR-035</x:v>
      </x:c>
      <x:c r="W85" s="21" t="str">
        <x:v>Not a wholesale source.</x:v>
      </x:c>
    </x:row>
    <x:row r="86" ht="112" customHeight="1">
      <x:c r="A86" s="21" t="str">
        <x:v>CH-TIR-008</x:v>
      </x:c>
      <x:c r="B86" s="21" t="str">
        <x:v>KB006</x:v>
      </x:c>
      <x:c r="C86" s="21"/>
      <x:c r="D86" s="21" t="str">
        <x:v>Ulta Beauty</x:v>
      </x:c>
      <x:c r="E86" s="21" t="str">
        <x:v>https://www.ulta.com/brand/tirtir</x:v>
      </x:c>
      <x:c r="F86" s="21" t="str">
        <x:v>Ulta Beauty</x:v>
      </x:c>
      <x:c r="G86" s="21" t="str">
        <x:v>Brand's official retailer page lists Ulta offline stores</x:v>
      </x:c>
      <x:c r="H86" s="52"/>
      <x:c r="I86" s="52"/>
      <x:c r="J86" s="52"/>
      <x:c r="K86" s="33"/>
      <x:c r="L86" s="27"/>
      <x:c r="M86" s="21"/>
      <x:c r="N86" s="21" t="str">
        <x:v>25 products; cushions, foundation, concealer, setting spray, lips, toner, ampoule and U.S. sunscreen</x:v>
      </x:c>
      <x:c r="O86" s="21" t="str">
        <x:v>Active</x:v>
      </x:c>
      <x:c r="P86" s="21" t="str">
        <x:v>Not disclosed</x:v>
      </x:c>
      <x:c r="Q86" s="21" t="str">
        <x:v>Ulta displayed Red Cushion in 40 colors at $25, broad makeup/skincare assortment and current reviews.</x:v>
      </x:c>
      <x:c r="R86" s="21" t="str">
        <x:v>Core national specialty account</x:v>
      </x:c>
      <x:c r="S86" s="21" t="str">
        <x:v>Only-at-Ulta labels and broad placement materially constrain specialty distribution overlap.</x:v>
      </x:c>
      <x:c r="T86" s="21" t="str">
        <x:v>High</x:v>
      </x:c>
      <x:c r="U86" s="25" t="str">
        <x:v>2026-07-30</x:v>
      </x:c>
      <x:c r="V86" s="21" t="str">
        <x:v>SRC-TIR-006,SRC-TIR-015,SRC-TIR-045,SRC-TIR-046</x:v>
      </x:c>
      <x:c r="W86" s="21" t="str">
        <x:v>Verify account exclusivity, offline doors and SKU restrictions.</x:v>
      </x:c>
    </x:row>
    <x:row r="87" ht="112" customHeight="1">
      <x:c r="A87" s="21" t="str">
        <x:v>CH-TIR-009</x:v>
      </x:c>
      <x:c r="B87" s="21" t="str">
        <x:v>KB006</x:v>
      </x:c>
      <x:c r="C87" s="21"/>
      <x:c r="D87" s="21" t="str">
        <x:v>Costco U.S.</x:v>
      </x:c>
      <x:c r="E87" s="21" t="str">
        <x:v>https://www.costco.com/p/-/tirtir-vc-glow-toning-mask-27-fl-oz-2-pack/4000215564</x:v>
      </x:c>
      <x:c r="F87" s="21" t="str">
        <x:v>Costco Wholesale</x:v>
      </x:c>
      <x:c r="G87" s="21" t="str">
        <x:v>First-party membership-club product pages observed</x:v>
      </x:c>
      <x:c r="H87" s="52"/>
      <x:c r="I87" s="52"/>
      <x:c r="J87" s="52"/>
      <x:c r="K87" s="33"/>
      <x:c r="L87" s="27"/>
      <x:c r="M87" s="21"/>
      <x:c r="N87" s="21" t="str">
        <x:v>VC Glow Toning Mask 2-pack; Ceramic Cream; Ceramic Milk Ampoule 2-pack visibility</x:v>
      </x:c>
      <x:c r="O87" s="21" t="str">
        <x:v>Active / item-specific</x:v>
      </x:c>
      <x:c r="P87" s="21" t="str">
        <x:v>Not disclosed</x:v>
      </x:c>
      <x:c r="Q87" s="21" t="str">
        <x:v>Direct Costco pages establish current/historical club-channel presence for skincare bundles.</x:v>
      </x:c>
      <x:c r="R87" s="21" t="str">
        <x:v>Meaningful off-price/club coverage</x:v>
      </x:c>
      <x:c r="S87" s="21" t="str">
        <x:v>Programs may be limited-time or regional and can create price/channel conflict.</x:v>
      </x:c>
      <x:c r="T87" s="21" t="str">
        <x:v>Medium-High</x:v>
      </x:c>
      <x:c r="U87" s="25" t="str">
        <x:v>2026-07-30</x:v>
      </x:c>
      <x:c r="V87" s="21" t="str">
        <x:v>SRC-TIR-028,SRC-TIR-029,SRC-TIR-030</x:v>
      </x:c>
      <x:c r="W87" s="21" t="str">
        <x:v>Confirm active inventory and authorized program scope.</x:v>
      </x:c>
    </x:row>
    <x:row r="88" ht="112" customHeight="1">
      <x:c r="A88" s="21" t="str">
        <x:v>CH-TIR-010</x:v>
      </x:c>
      <x:c r="B88" s="21" t="str">
        <x:v>KB006</x:v>
      </x:c>
      <x:c r="C88" s="21" t="str">
        <x:v>TIR-P005</x:v>
      </x:c>
      <x:c r="D88" s="21" t="str">
        <x:v>iHerb</x:v>
      </x:c>
      <x:c r="E88" s="21" t="str">
        <x:v>https://www.iherb.com/pr/tirtir-milk-skin-toner-5-07-fl-oz-150-ml/138593</x:v>
      </x:c>
      <x:c r="F88" s="21" t="str">
        <x:v>iHerb</x:v>
      </x:c>
      <x:c r="G88" s="21" t="str">
        <x:v>iHerb states products are sourced directly from brands or authorized distributors</x:v>
      </x:c>
      <x:c r="H88" s="52" t="n">
        <x:v>25</x:v>
      </x:c>
      <x:c r="I88" s="52" t="n">
        <x:v>22</x:v>
      </x:c>
      <x:c r="J88" s="52" t="n">
        <x:v>0.12</x:v>
      </x:c>
      <x:c r="K88" s="33" t="n">
        <x:v>2005</x:v>
      </x:c>
      <x:c r="L88" s="27" t="n">
        <x:v>4.7</x:v>
      </x:c>
      <x:c r="M88" s="21" t="str">
        <x:v>#7 K-Beauty Toners; #15 Toners; #265 Beauty</x:v>
      </x:c>
      <x:c r="N88" s="21" t="str">
        <x:v>1K+ sold in 30 days</x:v>
      </x:c>
      <x:c r="O88" s="21" t="str">
        <x:v>In Stock</x:v>
      </x:c>
      <x:c r="P88" s="21" t="str">
        <x:v>Not calculated</x:v>
      </x:c>
      <x:c r="Q88" s="21" t="str">
        <x:v>Current 150 mL toner page displayed $22, 4.7/~2,005 and 1K+ sold in 30 days.</x:v>
      </x:c>
      <x:c r="R88" s="21" t="str">
        <x:v>Strong authorized skincare demand</x:v>
      </x:c>
      <x:c r="S88" s="21" t="str">
        <x:v>iHerb independently sets price; authentication statement does not grant downstream wholesale rights.</x:v>
      </x:c>
      <x:c r="T88" s="21" t="str">
        <x:v>High</x:v>
      </x:c>
      <x:c r="U88" s="25" t="str">
        <x:v>2026-07-30</x:v>
      </x:c>
      <x:c r="V88" s="21" t="str">
        <x:v>SRC-TIR-031,SRC-TIR-047</x:v>
      </x:c>
      <x:c r="W88" s="21" t="str">
        <x:v>Counts changed slightly across crawls.</x:v>
      </x:c>
    </x:row>
    <x:row r="89" ht="112" customHeight="1">
      <x:c r="A89" s="21" t="str">
        <x:v>CH-TIR-011</x:v>
      </x:c>
      <x:c r="B89" s="21" t="str">
        <x:v>KB006</x:v>
      </x:c>
      <x:c r="C89" s="21" t="str">
        <x:v>TIR-P001</x:v>
      </x:c>
      <x:c r="D89" s="21" t="str">
        <x:v>YesStyle U.S.-accessible Cross-Border</x:v>
      </x:c>
      <x:c r="E89" s="21" t="str">
        <x:v>https://www.yesstyle.com/en/tirtir-mask-fit-red-cushion-40-colors-37c-almond/info.html/pid.1129266174</x:v>
      </x:c>
      <x:c r="F89" s="21" t="str">
        <x:v>YesStyle</x:v>
      </x:c>
      <x:c r="G89" s="21" t="str">
        <x:v>Cross-border retailer; U.S. distributor authorization not established</x:v>
      </x:c>
      <x:c r="H89" s="52" t="n">
        <x:v>25</x:v>
      </x:c>
      <x:c r="I89" s="52" t="n">
        <x:v>18.75</x:v>
      </x:c>
      <x:c r="J89" s="52" t="n">
        <x:v>0.25</x:v>
      </x:c>
      <x:c r="K89" s="33" t="n">
        <x:v>6434</x:v>
      </x:c>
      <x:c r="L89" s="27"/>
      <x:c r="M89" s="21" t="str">
        <x:v>#1 Face; #1 Foundation; #2 Makeup; #86 Beauty</x:v>
      </x:c>
      <x:c r="N89" s="21" t="str">
        <x:v>Bestseller display</x:v>
      </x:c>
      <x:c r="O89" s="21" t="str">
        <x:v>In Stock / shade-specific</x:v>
      </x:c>
      <x:c r="P89" s="21" t="str">
        <x:v>Not calculated</x:v>
      </x:c>
      <x:c r="Q89" s="21" t="str">
        <x:v>Page displayed 40 shades, $18.75 sale and SPF 40 PA++ language.</x:v>
      </x:c>
      <x:c r="R89" s="21" t="str">
        <x:v>Very high cross-border awareness</x:v>
      </x:c>
      <x:c r="S89" s="21" t="str">
        <x:v>SPF-labeled cushion packaging/claims create U.S. OTC risk if imported for U.S. resale; price pressure and return logistics apply.</x:v>
      </x:c>
      <x:c r="T89" s="21" t="str">
        <x:v>High</x:v>
      </x:c>
      <x:c r="U89" s="25" t="str">
        <x:v>2026-07-30</x:v>
      </x:c>
      <x:c r="V89" s="21" t="str">
        <x:v>SRC-TIR-032</x:v>
      </x:c>
      <x:c r="W89" s="21" t="str">
        <x:v>Consumer retail access is not distributor authorization.</x:v>
      </x:c>
    </x:row>
    <x:row r="90" ht="112" customHeight="1">
      <x:c r="A90" s="21" t="str">
        <x:v>CH-TIR-012</x:v>
      </x:c>
      <x:c r="B90" s="21" t="str">
        <x:v>KB006</x:v>
      </x:c>
      <x:c r="C90" s="21" t="str">
        <x:v>TIR-P001</x:v>
      </x:c>
      <x:c r="D90" s="21" t="str">
        <x:v>Walmart U.S. Marketplace</x:v>
      </x:c>
      <x:c r="E90" s="21" t="str">
        <x:v>https://www.walmart.com/ip/5779257672</x:v>
      </x:c>
      <x:c r="F90" s="21" t="str">
        <x:v>Azura LLC and other third parties</x:v>
      </x:c>
      <x:c r="G90" s="21" t="str">
        <x:v>Marketplace / not identified on TIRTIR's official retailer page</x:v>
      </x:c>
      <x:c r="H90" s="52"/>
      <x:c r="I90" s="52"/>
      <x:c r="J90" s="52"/>
      <x:c r="K90" s="33" t="n">
        <x:v>56</x:v>
      </x:c>
      <x:c r="L90" s="27" t="n">
        <x:v>4.3</x:v>
      </x:c>
      <x:c r="M90" s="21"/>
      <x:c r="N90" s="21" t="str">
        <x:v>Multiple sellers and shade listings</x:v>
      </x:c>
      <x:c r="O90" s="21" t="str">
        <x:v>Active / seller-specific</x:v>
      </x:c>
      <x:c r="P90" s="21" t="str">
        <x:v>Not calculated</x:v>
      </x:c>
      <x:c r="Q90" s="21" t="str">
        <x:v>Sample page was sold and shipped by Azura LLC; reviews included orders from other sellers.</x:v>
      </x:c>
      <x:c r="R90" s="21" t="str">
        <x:v>Awareness and gray-market comparison channel</x:v>
      </x:c>
      <x:c r="S90" s="21" t="str">
        <x:v>Authorization, formula/packaging, condition and lot traceability require seller-level checks.</x:v>
      </x:c>
      <x:c r="T90" s="21" t="str">
        <x:v>High</x:v>
      </x:c>
      <x:c r="U90" s="25" t="str">
        <x:v>2026-07-30</x:v>
      </x:c>
      <x:c r="V90" s="21" t="str">
        <x:v>SRC-TIR-033</x:v>
      </x:c>
      <x:c r="W90" s="21" t="str">
        <x:v>Marketplace presence is not proof of counterfeit.</x:v>
      </x:c>
    </x:row>
    <x:row r="91" ht="112" customHeight="1">
      <x:c r="A91" s="21" t="str">
        <x:v>CH-TIR-013</x:v>
      </x:c>
      <x:c r="B91" s="21" t="str">
        <x:v>KB006</x:v>
      </x:c>
      <x:c r="C91" s="21"/>
      <x:c r="D91" s="21" t="str">
        <x:v>Target U.S.</x:v>
      </x:c>
      <x:c r="E91" s="21" t="str">
        <x:v>https://www.target.com/s/tirtir%2Bfoundation</x:v>
      </x:c>
      <x:c r="F91" s="21" t="str">
        <x:v>No direct TIRTIR product identified</x:v>
      </x:c>
      <x:c r="G91" s="21" t="str">
        <x:v>No verified assortment</x:v>
      </x:c>
      <x:c r="H91" s="52"/>
      <x:c r="I91" s="52"/>
      <x:c r="J91" s="52"/>
      <x:c r="K91" s="33"/>
      <x:c r="L91" s="27"/>
      <x:c r="M91" s="21"/>
      <x:c r="N91" s="21" t="str">
        <x:v>Search returned other brands rather than TIRTIR products</x:v>
      </x:c>
      <x:c r="O91" s="21" t="str">
        <x:v>Not Verified</x:v>
      </x:c>
      <x:c r="P91" s="21" t="str">
        <x:v>Not applicable</x:v>
      </x:c>
      <x:c r="Q91" s="21" t="str">
        <x:v>Direct search did not establish a TIRTIR Target assortment.</x:v>
      </x:c>
      <x:c r="R91" s="21" t="str">
        <x:v>No verified Target presence</x:v>
      </x:c>
      <x:c r="S91" s="21" t="str">
        <x:v>Search pages change; re-check before any channel proposal.</x:v>
      </x:c>
      <x:c r="T91" s="21" t="str">
        <x:v>Medium</x:v>
      </x:c>
      <x:c r="U91" s="25" t="str">
        <x:v>2026-07-30</x:v>
      </x:c>
      <x:c r="V91" s="21" t="str">
        <x:v>SRC-TIR-034</x:v>
      </x:c>
      <x:c r="W91" s="21" t="str">
        <x:v>Do not claim Target distribution.</x:v>
      </x:c>
    </x:row>
    <x:row r="92" ht="112" customHeight="1">
      <x:c r="A92" s="21" t="str">
        <x:v>CH-TIR-014</x:v>
      </x:c>
      <x:c r="B92" s="21" t="str">
        <x:v>KB006</x:v>
      </x:c>
      <x:c r="C92" s="21"/>
      <x:c r="D92" s="21" t="str">
        <x:v>Official U.S. Retailer Locator</x:v>
      </x:c>
      <x:c r="E92" s="21" t="str">
        <x:v>https://tirtir.global/pages/retailers</x:v>
      </x:c>
      <x:c r="F92" s="21" t="str">
        <x:v>TIRTIR / Ulta</x:v>
      </x:c>
      <x:c r="G92" s="21" t="str">
        <x:v>Official page currently emphasizes Ulta offline stores</x:v>
      </x:c>
      <x:c r="H92" s="52"/>
      <x:c r="I92" s="52"/>
      <x:c r="J92" s="52"/>
      <x:c r="K92" s="33"/>
      <x:c r="L92" s="27"/>
      <x:c r="M92" s="21"/>
      <x:c r="N92" s="21" t="str">
        <x:v>Ulta offline-store locator</x:v>
      </x:c>
      <x:c r="O92" s="21" t="str">
        <x:v>Active</x:v>
      </x:c>
      <x:c r="P92" s="21" t="str">
        <x:v>Not disclosed</x:v>
      </x:c>
      <x:c r="Q92" s="21" t="str">
        <x:v>Brand-owned retailer page supports Ulta authorization but does not list a broad independent U.S. specialty network.</x:v>
      </x:c>
      <x:c r="R92" s="21" t="str">
        <x:v>Concentrated national specialty coverage</x:v>
      </x:c>
      <x:c r="S92" s="21" t="str">
        <x:v>No evidence of open distributor rights; exact doors and exclusivity require vendor confirmation.</x:v>
      </x:c>
      <x:c r="T92" s="21" t="str">
        <x:v>High</x:v>
      </x:c>
      <x:c r="U92" s="25" t="str">
        <x:v>2026-07-30</x:v>
      </x:c>
      <x:c r="V92" s="21" t="str">
        <x:v>SRC-TIR-006</x:v>
      </x:c>
      <x:c r="W92" s="21" t="str">
        <x:v>Useful for account-conflict screening.</x:v>
      </x:c>
    </x:row>
    <x:row r="93" ht="112" customHeight="1">
      <x:c r="A93" s="21" t="str">
        <x:v>CH-TIR-015</x:v>
      </x:c>
      <x:c r="B93" s="21" t="str">
        <x:v>KB006</x:v>
      </x:c>
      <x:c r="C93" s="21"/>
      <x:c r="D93" s="21" t="str">
        <x:v>GOODAI / Hansung USA Infrastructure</x:v>
      </x:c>
      <x:c r="E93" s="21" t="str">
        <x:v>https://www.goodai-global.com/en/company/history</x:v>
      </x:c>
      <x:c r="F93" s="21" t="str">
        <x:v>GOODAI GLOBAL USA / Hansung USA / TIRTIR USA Inc.</x:v>
      </x:c>
      <x:c r="G93" s="21" t="str">
        <x:v>Corporate direct-distribution infrastructure</x:v>
      </x:c>
      <x:c r="H93" s="52"/>
      <x:c r="I93" s="52"/>
      <x:c r="J93" s="52"/>
      <x:c r="K93" s="33"/>
      <x:c r="L93" s="27"/>
      <x:c r="M93" s="21"/>
      <x:c r="N93" s="21" t="str">
        <x:v>GOODAI acquired Hansung USA in February 2026 and established GOODAI GLOBAL USA in April 2026</x:v>
      </x:c>
      <x:c r="O93" s="21" t="str">
        <x:v>Active / corporate</x:v>
      </x:c>
      <x:c r="P93" s="21" t="str">
        <x:v>Not disclosed</x:v>
      </x:c>
      <x:c r="Q93" s="21" t="str">
        <x:v>Official corporate milestones materially reduce the need for an undifferentiated new U.S. distributor.</x:v>
      </x:c>
      <x:c r="R93" s="21" t="str">
        <x:v>Very low distributor whitespace</x:v>
      </x:c>
      <x:c r="S93" s="21" t="str">
        <x:v>Exact roles, accounts, inventory ownership and brand allocation are not public.</x:v>
      </x:c>
      <x:c r="T93" s="21" t="str">
        <x:v>High</x:v>
      </x:c>
      <x:c r="U93" s="25" t="str">
        <x:v>2026-07-30</x:v>
      </x:c>
      <x:c r="V93" s="21" t="str">
        <x:v>SRC-TIR-007</x:v>
      </x:c>
      <x:c r="W93" s="21" t="str">
        <x:v>Require routing to the correct U.S. business-development entity.</x:v>
      </x:c>
    </x:row>
    <x:row r="94" ht="120" customHeight="1">
      <x:c r="A94" s="21" t="str">
        <x:v>CH-VT-001</x:v>
      </x:c>
      <x:c r="B94" s="21" t="str">
        <x:v>KB007</x:v>
      </x:c>
      <x:c r="C94" s="21"/>
      <x:c r="D94" s="21" t="str">
        <x:v>Official U.S.-Serving DTC</x:v>
      </x:c>
      <x:c r="E94" s="21" t="str">
        <x:v>https://globalvt-cosmetics.com</x:v>
      </x:c>
      <x:c r="F94" s="21" t="str">
        <x:v>VT Cosmetics</x:v>
      </x:c>
      <x:c r="G94" s="21" t="str">
        <x:v>Official global storefront ships to the United States in USD</x:v>
      </x:c>
      <x:c r="H94" s="52"/>
      <x:c r="I94" s="52"/>
      <x:c r="J94" s="52"/>
      <x:c r="K94" s="33"/>
      <x:c r="L94" s="27"/>
      <x:c r="M94" s="21"/>
      <x:c r="N94" s="21" t="str">
        <x:v>Full Reedle, PDRN, Cica, mask, cleanser, lip and hair assortment</x:v>
      </x:c>
      <x:c r="O94" s="21" t="str">
        <x:v>Active</x:v>
      </x:c>
      <x:c r="P94" s="21" t="str">
        <x:v>Not disclosed</x:v>
      </x:c>
      <x:c r="Q94" s="21" t="str">
        <x:v>Footer identifies Korean company details and official B2B/customer-service contacts.</x:v>
      </x:c>
      <x:c r="R94" s="21" t="str">
        <x:v>Strong direct infrastructure</x:v>
      </x:c>
      <x:c r="S94" s="21" t="str">
        <x:v>Consumer storefront is not wholesale authorization; promotions of 10%–40% pressure resale economics.</x:v>
      </x:c>
      <x:c r="T94" s="21" t="str">
        <x:v>High</x:v>
      </x:c>
      <x:c r="U94" s="25" t="str">
        <x:v>2026-07-30</x:v>
      </x:c>
      <x:c r="V94" s="21" t="str">
        <x:v>SRC-VT-001,SRC-VT-004,SRC-VT-050</x:v>
      </x:c>
      <x:c r="W94" s="21" t="str">
        <x:v>Not a wholesale source.</x:v>
      </x:c>
    </x:row>
    <x:row r="95" ht="120" customHeight="1">
      <x:c r="A95" s="21" t="str">
        <x:v>CH-VT-002</x:v>
      </x:c>
      <x:c r="B95" s="21" t="str">
        <x:v>KB007</x:v>
      </x:c>
      <x:c r="C95" s="21"/>
      <x:c r="D95" s="21" t="str">
        <x:v>Amazon U.S. Search / Brand Store</x:v>
      </x:c>
      <x:c r="E95" s="21" t="str">
        <x:v>https://www.amazon.com/s?k=VT+Cosmetics</x:v>
      </x:c>
      <x:c r="F95" s="21" t="str">
        <x:v>VT Cosmetics US</x:v>
      </x:c>
      <x:c r="G95" s="21" t="str">
        <x:v>Official-seller offers observed on sampled heroes</x:v>
      </x:c>
      <x:c r="H95" s="52"/>
      <x:c r="I95" s="52"/>
      <x:c r="J95" s="52"/>
      <x:c r="K95" s="33"/>
      <x:c r="L95" s="27"/>
      <x:c r="M95" s="21"/>
      <x:c r="N95" s="21" t="str">
        <x:v>Broad Reedle, PDRN, masks, lip and hair visibility</x:v>
      </x:c>
      <x:c r="O95" s="21" t="str">
        <x:v>Active</x:v>
      </x:c>
      <x:c r="P95" s="21" t="str">
        <x:v>Three sampled non-overlapping badges imply at least $624,400/month</x:v>
      </x:c>
      <x:c r="Q95" s="21" t="str">
        <x:v>Sampled hero pages were sold by VT Cosmetics US and fulfilled by Amazon.</x:v>
      </x:c>
      <x:c r="R95" s="21" t="str">
        <x:v>Exceptional marketplace scale</x:v>
      </x:c>
      <x:c r="S95" s="21" t="str">
        <x:v>Search counts, offer attribution and prices are dynamic; avoid variant double counting.</x:v>
      </x:c>
      <x:c r="T95" s="21" t="str">
        <x:v>High</x:v>
      </x:c>
      <x:c r="U95" s="25" t="str">
        <x:v>2026-07-30</x:v>
      </x:c>
      <x:c r="V95" s="21" t="str">
        <x:v>SRC-VT-017,SRC-VT-018,SRC-VT-019,SRC-VT-020,SRC-VT-052</x:v>
      </x:c>
      <x:c r="W95" s="21" t="str">
        <x:v>Lower bound is not audited revenue.</x:v>
      </x:c>
    </x:row>
    <x:row r="96" ht="120" customHeight="1">
      <x:c r="A96" s="21" t="str">
        <x:v>CH-VT-003</x:v>
      </x:c>
      <x:c r="B96" s="21" t="str">
        <x:v>KB007</x:v>
      </x:c>
      <x:c r="C96" s="21" t="str">
        <x:v>VT-P001</x:v>
      </x:c>
      <x:c r="D96" s="21" t="str">
        <x:v>Amazon U.S.</x:v>
      </x:c>
      <x:c r="E96" s="21" t="str">
        <x:v>https://www.amazon.com/dp/B0C2TQ24VY</x:v>
      </x:c>
      <x:c r="F96" s="21" t="str">
        <x:v>VT Cosmetics US</x:v>
      </x:c>
      <x:c r="G96" s="21" t="str">
        <x:v>Official-seller offer observed</x:v>
      </x:c>
      <x:c r="H96" s="52" t="n">
        <x:v>26</x:v>
      </x:c>
      <x:c r="I96" s="52" t="n">
        <x:v>20.34</x:v>
      </x:c>
      <x:c r="J96" s="52" t="n">
        <x:v>0.2177</x:v>
      </x:c>
      <x:c r="K96" s="33" t="n">
        <x:v>12535</x:v>
      </x:c>
      <x:c r="L96" s="27" t="n">
        <x:v>4.5</x:v>
      </x:c>
      <x:c r="M96" s="21" t="str">
        <x:v>#746 Beauty &amp; Personal Care; #27 Facial Serums</x:v>
      </x:c>
      <x:c r="N96" s="21" t="str">
        <x:v>10K+ bought in past month; 2K+ in past week</x:v>
      </x:c>
      <x:c r="O96" s="21" t="str">
        <x:v>In Stock</x:v>
      </x:c>
      <x:c r="P96" s="21" t="str">
        <x:v>At least $203,400/month badge-price lower bound</x:v>
      </x:c>
      <x:c r="Q96" s="21" t="str">
        <x:v>Sold by VT Cosmetics US and fulfilled by Amazon.</x:v>
      </x:c>
      <x:c r="R96" s="21" t="str">
        <x:v>Exceptional current hero velocity</x:v>
      </x:c>
      <x:c r="S96" s="21" t="str">
        <x:v>Dynamic rounded badge; strong claim language and sensory adverse-experience risk.</x:v>
      </x:c>
      <x:c r="T96" s="21" t="str">
        <x:v>High</x:v>
      </x:c>
      <x:c r="U96" s="25" t="str">
        <x:v>2026-07-30</x:v>
      </x:c>
      <x:c r="V96" s="21" t="str">
        <x:v>SRC-VT-017</x:v>
      </x:c>
      <x:c r="W96" s="21" t="str">
        <x:v>ASIN B0C2TQ24VY.</x:v>
      </x:c>
    </x:row>
    <x:row r="97" ht="120" customHeight="1">
      <x:c r="A97" s="21" t="str">
        <x:v>CH-VT-004</x:v>
      </x:c>
      <x:c r="B97" s="21" t="str">
        <x:v>KB007</x:v>
      </x:c>
      <x:c r="C97" s="21" t="str">
        <x:v>VT-P002</x:v>
      </x:c>
      <x:c r="D97" s="21" t="str">
        <x:v>Amazon U.S.</x:v>
      </x:c>
      <x:c r="E97" s="21" t="str">
        <x:v>https://www.amazon.com/dp/B0CRKPZ9PQ</x:v>
      </x:c>
      <x:c r="F97" s="21" t="str">
        <x:v>VT Cosmetics US</x:v>
      </x:c>
      <x:c r="G97" s="21" t="str">
        <x:v>Official-seller offer observed</x:v>
      </x:c>
      <x:c r="H97" s="52" t="n">
        <x:v>28</x:v>
      </x:c>
      <x:c r="I97" s="52" t="n">
        <x:v>22.1</x:v>
      </x:c>
      <x:c r="J97" s="52" t="n">
        <x:v>0.2107</x:v>
      </x:c>
      <x:c r="K97" s="33" t="n">
        <x:v>2506</x:v>
      </x:c>
      <x:c r="L97" s="27" t="n">
        <x:v>4.6</x:v>
      </x:c>
      <x:c r="M97" s="21" t="str">
        <x:v>#2,245 Beauty &amp; Personal Care; #68 Facial Serums</x:v>
      </x:c>
      <x:c r="N97" s="21" t="str">
        <x:v>10K+ bought in past month; 1K+ in past week</x:v>
      </x:c>
      <x:c r="O97" s="21" t="str">
        <x:v>In Stock</x:v>
      </x:c>
      <x:c r="P97" s="21" t="str">
        <x:v>At least $221,000/month badge-price lower bound</x:v>
      </x:c>
      <x:c r="Q97" s="21" t="str">
        <x:v>Sold by VT Cosmetics US and fulfilled by Amazon; $22.10 was the observed subscribe-and-save price, below the $26 one-time price.</x:v>
      </x:c>
      <x:c r="R97" s="21" t="str">
        <x:v>Exceptional emerging PDRN velocity</x:v>
      </x:c>
      <x:c r="S97" s="21" t="str">
        <x:v>PDRN/repair language needs substantiation; subscription and one-time prices differ.</x:v>
      </x:c>
      <x:c r="T97" s="21" t="str">
        <x:v>High</x:v>
      </x:c>
      <x:c r="U97" s="25" t="str">
        <x:v>2026-07-30</x:v>
      </x:c>
      <x:c r="V97" s="21" t="str">
        <x:v>SRC-VT-018</x:v>
      </x:c>
      <x:c r="W97" s="21" t="str">
        <x:v>ASIN B0CRKPZ9PQ; lower price used conservatively.</x:v>
      </x:c>
    </x:row>
    <x:row r="98" ht="120" customHeight="1">
      <x:c r="A98" s="21" t="str">
        <x:v>CH-VT-005</x:v>
      </x:c>
      <x:c r="B98" s="21" t="str">
        <x:v>KB007</x:v>
      </x:c>
      <x:c r="C98" s="21" t="str">
        <x:v>VT-P003</x:v>
      </x:c>
      <x:c r="D98" s="21" t="str">
        <x:v>Amazon U.S.</x:v>
      </x:c>
      <x:c r="E98" s="21" t="str">
        <x:v>https://www.amazon.com/dp/B0FCMH43M9</x:v>
      </x:c>
      <x:c r="F98" s="21" t="str">
        <x:v>VT Cosmetics US</x:v>
      </x:c>
      <x:c r="G98" s="21" t="str">
        <x:v>Official-seller offer observed</x:v>
      </x:c>
      <x:c r="H98" s="52" t="n">
        <x:v>20</x:v>
      </x:c>
      <x:c r="I98" s="52" t="n">
        <x:v>20</x:v>
      </x:c>
      <x:c r="J98" s="52" t="n">
        <x:v>0</x:v>
      </x:c>
      <x:c r="K98" s="33"/>
      <x:c r="L98" s="27"/>
      <x:c r="M98" s="21" t="str">
        <x:v>#5,231 Beauty &amp; Personal Care; #145 Face Moisturizers</x:v>
      </x:c>
      <x:c r="N98" s="21" t="str">
        <x:v>10K+ bought in past month</x:v>
      </x:c>
      <x:c r="O98" s="21" t="str">
        <x:v>In Stock</x:v>
      </x:c>
      <x:c r="P98" s="21" t="str">
        <x:v>At least $200,000/month badge-price lower bound</x:v>
      </x:c>
      <x:c r="Q98" s="21" t="str">
        <x:v>Sold by VT Cosmetics US and shipped by Amazon; $17 subscription and $20 one-time offers observed.</x:v>
      </x:c>
      <x:c r="R98" s="21" t="str">
        <x:v>Exceptional early moisturizer velocity</x:v>
      </x:c>
      <x:c r="S98" s="21" t="str">
        <x:v>Newer listing; review count was not reliably captured; claims and packaging stability require review.</x:v>
      </x:c>
      <x:c r="T98" s="21" t="str">
        <x:v>High</x:v>
      </x:c>
      <x:c r="U98" s="25" t="str">
        <x:v>2026-07-30</x:v>
      </x:c>
      <x:c r="V98" s="21" t="str">
        <x:v>SRC-VT-019</x:v>
      </x:c>
      <x:c r="W98" s="21" t="str">
        <x:v>ASIN B0FCMH43M9; one-time price used.</x:v>
      </x:c>
    </x:row>
    <x:row r="99" ht="120" customHeight="1">
      <x:c r="A99" s="21" t="str">
        <x:v>CH-VT-006</x:v>
      </x:c>
      <x:c r="B99" s="21" t="str">
        <x:v>KB007</x:v>
      </x:c>
      <x:c r="C99" s="21"/>
      <x:c r="D99" s="21" t="str">
        <x:v>TikTok Shop U.S.</x:v>
      </x:c>
      <x:c r="E99" s="21" t="str">
        <x:v>https://shop.tiktok.com/us/store/vt-cosmetics-us/7495823638047000965</x:v>
      </x:c>
      <x:c r="F99" s="21" t="str">
        <x:v>VT Cosmetics US</x:v>
      </x:c>
      <x:c r="G99" s="21" t="str">
        <x:v>Official Shop</x:v>
      </x:c>
      <x:c r="H99" s="52"/>
      <x:c r="I99" s="52"/>
      <x:c r="J99" s="52"/>
      <x:c r="K99" s="33"/>
      <x:c r="L99" s="27" t="n">
        <x:v>4</x:v>
      </x:c>
      <x:c r="M99" s="21"/>
      <x:c r="N99" s="21" t="str">
        <x:v>164.2K+ followers; 361.9K sold; 1,594 videos; Lip Plumper 187.9K sold</x:v>
      </x:c>
      <x:c r="O99" s="21" t="str">
        <x:v>Active</x:v>
      </x:c>
      <x:c r="P99" s="21" t="str">
        <x:v>Not disclosed</x:v>
      </x:c>
      <x:c r="Q99" s="21" t="str">
        <x:v>Official shop status and product-level sold displays verified.</x:v>
      </x:c>
      <x:c r="R99" s="21" t="str">
        <x:v>Exceptional social-commerce scale</x:v>
      </x:c>
      <x:c r="S99" s="21" t="str">
        <x:v>Cumulative dynamic sold displays are not period sales; highly promotional and claim-heavy content needs governance.</x:v>
      </x:c>
      <x:c r="T99" s="21" t="str">
        <x:v>Medium-High</x:v>
      </x:c>
      <x:c r="U99" s="25" t="str">
        <x:v>2026-07-30</x:v>
      </x:c>
      <x:c r="V99" s="21" t="str">
        <x:v>SRC-VT-006,SRC-VT-007,SRC-VT-008</x:v>
      </x:c>
      <x:c r="W99" s="21" t="str">
        <x:v>Lip and hair examples demonstrate diversification.</x:v>
      </x:c>
    </x:row>
    <x:row r="100" ht="120" customHeight="1">
      <x:c r="A100" s="21" t="str">
        <x:v>CH-VT-007</x:v>
      </x:c>
      <x:c r="B100" s="21" t="str">
        <x:v>KB007</x:v>
      </x:c>
      <x:c r="C100" s="21"/>
      <x:c r="D100" s="21" t="str">
        <x:v>Instagram</x:v>
      </x:c>
      <x:c r="E100" s="21" t="str">
        <x:v>https://www.instagram.com/vtcosmetics_global/</x:v>
      </x:c>
      <x:c r="F100" s="21" t="str">
        <x:v>@vtcosmetics_global</x:v>
      </x:c>
      <x:c r="G100" s="21" t="str">
        <x:v>Official global handle linked from brand ecosystem</x:v>
      </x:c>
      <x:c r="H100" s="52"/>
      <x:c r="I100" s="52"/>
      <x:c r="J100" s="52"/>
      <x:c r="K100" s="33"/>
      <x:c r="L100" s="27"/>
      <x:c r="M100" s="21"/>
      <x:c r="N100" s="21" t="str">
        <x:v>Current content and collaborations; follower count not reliably captured</x:v>
      </x:c>
      <x:c r="O100" s="21" t="str">
        <x:v>Active / non-transactional</x:v>
      </x:c>
      <x:c r="P100" s="21" t="str">
        <x:v>Not applicable</x:v>
      </x:c>
      <x:c r="Q100" s="21" t="str">
        <x:v>Official handle confirms social presence, but public follower count was not independently verified in this pass.</x:v>
      </x:c>
      <x:c r="R100" s="21" t="str">
        <x:v>High awareness / non-transactional</x:v>
      </x:c>
      <x:c r="S100" s="21" t="str">
        <x:v>Global audience and engagement are not U.S. sales.</x:v>
      </x:c>
      <x:c r="T100" s="21" t="str">
        <x:v>Medium</x:v>
      </x:c>
      <x:c r="U100" s="25" t="str">
        <x:v>2026-07-30</x:v>
      </x:c>
      <x:c r="V100" s="21" t="str">
        <x:v>SRC-VT-051</x:v>
      </x:c>
      <x:c r="W100" s="21" t="str">
        <x:v>Use only licensed assets.</x:v>
      </x:c>
    </x:row>
    <x:row r="101" ht="120" customHeight="1">
      <x:c r="A101" s="21" t="str">
        <x:v>CH-VT-008</x:v>
      </x:c>
      <x:c r="B101" s="21" t="str">
        <x:v>KB007</x:v>
      </x:c>
      <x:c r="C101" s="21"/>
      <x:c r="D101" s="21" t="str">
        <x:v>Ulta Beauty</x:v>
      </x:c>
      <x:c r="E101" s="21" t="str">
        <x:v>https://www.ulta.com/brand/vt-cosmetics</x:v>
      </x:c>
      <x:c r="F101" s="21" t="str">
        <x:v>Ulta Beauty</x:v>
      </x:c>
      <x:c r="G101" s="21" t="str">
        <x:v>National specialty retailer assortment</x:v>
      </x:c>
      <x:c r="H101" s="52"/>
      <x:c r="I101" s="52"/>
      <x:c r="J101" s="52"/>
      <x:c r="K101" s="33"/>
      <x:c r="L101" s="27"/>
      <x:c r="M101" s="21"/>
      <x:c r="N101" s="21" t="str">
        <x:v>36 products; 31 skincare; multiple Only-at-Ulta labels</x:v>
      </x:c>
      <x:c r="O101" s="21" t="str">
        <x:v>Active</x:v>
      </x:c>
      <x:c r="P101" s="21" t="str">
        <x:v>Not disclosed</x:v>
      </x:c>
      <x:c r="Q101" s="21" t="str">
        <x:v>Reedle 100 4.8/535, PDRN Essence 4.9/527, Lip Plumper 4.6/48 and Capsule Cream 4.9/35.</x:v>
      </x:c>
      <x:c r="R101" s="21" t="str">
        <x:v>Core national specialty account</x:v>
      </x:c>
      <x:c r="S101" s="21" t="str">
        <x:v>Broad assortment and exclusivity labels materially constrain specialty-distributor whitespace.</x:v>
      </x:c>
      <x:c r="T101" s="21" t="str">
        <x:v>High</x:v>
      </x:c>
      <x:c r="U101" s="25" t="str">
        <x:v>2026-07-30</x:v>
      </x:c>
      <x:c r="V101" s="21" t="str">
        <x:v>SRC-VT-009,SRC-VT-026,SRC-VT-027,SRC-VT-028</x:v>
      </x:c>
      <x:c r="W101" s="21" t="str">
        <x:v>Verify exact doors, exclusivity and SKU restrictions.</x:v>
      </x:c>
    </x:row>
    <x:row r="102" ht="120" customHeight="1">
      <x:c r="A102" s="21" t="str">
        <x:v>CH-VT-009</x:v>
      </x:c>
      <x:c r="B102" s="21" t="str">
        <x:v>KB007</x:v>
      </x:c>
      <x:c r="C102" s="21" t="str">
        <x:v>VT-P001</x:v>
      </x:c>
      <x:c r="D102" s="21" t="str">
        <x:v>Target U.S.</x:v>
      </x:c>
      <x:c r="E102" s="21" t="str">
        <x:v>https://www.target.com/p/-/A-94495770</x:v>
      </x:c>
      <x:c r="F102" s="21" t="str">
        <x:v>Target</x:v>
      </x:c>
      <x:c r="G102" s="21" t="str">
        <x:v>First-party Target product pages observed</x:v>
      </x:c>
      <x:c r="H102" s="52" t="n">
        <x:v>19</x:v>
      </x:c>
      <x:c r="I102" s="52" t="n">
        <x:v>17.1</x:v>
      </x:c>
      <x:c r="J102" s="52" t="n">
        <x:v>0.1</x:v>
      </x:c>
      <x:c r="K102" s="33" t="n">
        <x:v>8</x:v>
      </x:c>
      <x:c r="L102" s="27" t="n">
        <x:v>4</x:v>
      </x:c>
      <x:c r="M102" s="21"/>
      <x:c r="N102" s="21" t="str">
        <x:v>Travel Reedle Shot 100/300 plus starter sticks and PDRN mask visibility</x:v>
      </x:c>
      <x:c r="O102" s="21" t="str">
        <x:v>Active</x:v>
      </x:c>
      <x:c r="P102" s="21" t="str">
        <x:v>Not disclosed</x:v>
      </x:c>
      <x:c r="Q102" s="21" t="str">
        <x:v>Target carried the 1.01 fl oz travel Reedle Shot 100 and additional VT trend items.</x:v>
      </x:c>
      <x:c r="R102" s="21" t="str">
        <x:v>Meaningful mass-retail expansion</x:v>
      </x:c>
      <x:c r="S102" s="21" t="str">
        <x:v>Small review base; wording on acne, absorption and wrinkle reduction warrants regulatory review.</x:v>
      </x:c>
      <x:c r="T102" s="21" t="str">
        <x:v>High</x:v>
      </x:c>
      <x:c r="U102" s="25" t="str">
        <x:v>2026-07-30</x:v>
      </x:c>
      <x:c r="V102" s="21" t="str">
        <x:v>SRC-VT-052</x:v>
      </x:c>
      <x:c r="W102" s="21" t="str">
        <x:v>Current offers and assortment can change.</x:v>
      </x:c>
    </x:row>
    <x:row r="103" ht="120" customHeight="1">
      <x:c r="A103" s="21" t="str">
        <x:v>CH-VT-010</x:v>
      </x:c>
      <x:c r="B103" s="21" t="str">
        <x:v>KB007</x:v>
      </x:c>
      <x:c r="C103" s="21"/>
      <x:c r="D103" s="21" t="str">
        <x:v>Nordstrom</x:v>
      </x:c>
      <x:c r="E103" s="21" t="str">
        <x:v>https://www.nordstrom.com/browse/beauty?filterByBrand=vt-cosmetics</x:v>
      </x:c>
      <x:c r="F103" s="21" t="str">
        <x:v>Nordstrom</x:v>
      </x:c>
      <x:c r="G103" s="21" t="str">
        <x:v>First-party department-store assortment</x:v>
      </x:c>
      <x:c r="H103" s="52"/>
      <x:c r="I103" s="52"/>
      <x:c r="J103" s="52"/>
      <x:c r="K103" s="33"/>
      <x:c r="L103" s="27"/>
      <x:c r="M103" s="21"/>
      <x:c r="N103" s="21" t="str">
        <x:v>20 products across Reedle, PDRN, lip, cleanser and hair</x:v>
      </x:c>
      <x:c r="O103" s="21" t="str">
        <x:v>Active / New</x:v>
      </x:c>
      <x:c r="P103" s="21" t="str">
        <x:v>Not disclosed</x:v>
      </x:c>
      <x:c r="Q103" s="21" t="str">
        <x:v>Nordstrom displayed 20 current VT items at prices aligned with Ulta.</x:v>
      </x:c>
      <x:c r="R103" s="21" t="str">
        <x:v>Meaningful prestige-adjacent expansion</x:v>
      </x:c>
      <x:c r="S103" s="21" t="str">
        <x:v>New assortment increases account conflict and reduces department-store whitespace.</x:v>
      </x:c>
      <x:c r="T103" s="21" t="str">
        <x:v>High</x:v>
      </x:c>
      <x:c r="U103" s="25" t="str">
        <x:v>2026-07-30</x:v>
      </x:c>
      <x:c r="V103" s="21" t="str">
        <x:v>SRC-VT-010</x:v>
      </x:c>
      <x:c r="W103" s="21" t="str">
        <x:v>Availability and offers are dynamic.</x:v>
      </x:c>
    </x:row>
    <x:row r="104" ht="120" customHeight="1">
      <x:c r="A104" s="21" t="str">
        <x:v>CH-VT-011</x:v>
      </x:c>
      <x:c r="B104" s="21" t="str">
        <x:v>KB007</x:v>
      </x:c>
      <x:c r="C104" s="21" t="str">
        <x:v>VT-P001</x:v>
      </x:c>
      <x:c r="D104" s="21" t="str">
        <x:v>Costco U.S.</x:v>
      </x:c>
      <x:c r="E104" s="21" t="str">
        <x:v>https://www.costco.com/p/-/vt-reedle-shot-100-essence-303-fl-oz-set/4000413266</x:v>
      </x:c>
      <x:c r="F104" s="21" t="str">
        <x:v>Costco Wholesale</x:v>
      </x:c>
      <x:c r="G104" s="21" t="str">
        <x:v>First-party membership-club page observed</x:v>
      </x:c>
      <x:c r="H104" s="52"/>
      <x:c r="I104" s="52"/>
      <x:c r="J104" s="52"/>
      <x:c r="K104" s="33"/>
      <x:c r="L104" s="27"/>
      <x:c r="M104" s="21"/>
      <x:c r="N104" s="21" t="str">
        <x:v>Reedle Shot 100 3.03 fl oz set; Reedle Shot 300 two-pack visibility</x:v>
      </x:c>
      <x:c r="O104" s="21" t="str">
        <x:v>Item currently unavailable / program observed</x:v>
      </x:c>
      <x:c r="P104" s="21" t="str">
        <x:v>Not disclosed</x:v>
      </x:c>
      <x:c r="Q104" s="21" t="str">
        <x:v>Direct Costco page establishes club-channel placement and bundle-size strategy.</x:v>
      </x:c>
      <x:c r="R104" s="21" t="str">
        <x:v>Meaningful club/off-price coverage</x:v>
      </x:c>
      <x:c r="S104" s="21" t="str">
        <x:v>Program may be regional or temporary; claims on the Costco page create review risk; club pricing can conflict with MSRP.</x:v>
      </x:c>
      <x:c r="T104" s="21" t="str">
        <x:v>High</x:v>
      </x:c>
      <x:c r="U104" s="25" t="str">
        <x:v>2026-07-30</x:v>
      </x:c>
      <x:c r="V104" s="21" t="str">
        <x:v>SRC-VT-011</x:v>
      </x:c>
      <x:c r="W104" s="21" t="str">
        <x:v>Confirm current authorization, inventory and bundle economics.</x:v>
      </x:c>
    </x:row>
    <x:row r="105" ht="120" customHeight="1">
      <x:c r="A105" s="21" t="str">
        <x:v>CH-VT-012</x:v>
      </x:c>
      <x:c r="B105" s="21" t="str">
        <x:v>KB007</x:v>
      </x:c>
      <x:c r="C105" s="21" t="str">
        <x:v>VT-P001</x:v>
      </x:c>
      <x:c r="D105" s="21" t="str">
        <x:v>iHerb</x:v>
      </x:c>
      <x:c r="E105" s="21" t="str">
        <x:v>https://www.iherb.com/c/vt-cosmetics/k-beauty-treatments-serums</x:v>
      </x:c>
      <x:c r="F105" s="21" t="str">
        <x:v>iHerb</x:v>
      </x:c>
      <x:c r="G105" s="21" t="str">
        <x:v>Brand lists iHerb as an authorized global seller</x:v>
      </x:c>
      <x:c r="H105" s="52" t="n">
        <x:v>26</x:v>
      </x:c>
      <x:c r="I105" s="52" t="n">
        <x:v>29.18</x:v>
      </x:c>
      <x:c r="J105" s="52" t="n">
        <x:v>-0.1223</x:v>
      </x:c>
      <x:c r="K105" s="33" t="n">
        <x:v>2413</x:v>
      </x:c>
      <x:c r="L105" s="27"/>
      <x:c r="M105" s="21"/>
      <x:c r="N105" s="21" t="str">
        <x:v>Reedle Shot 100 200+ sold/30 days; 25 treatment/serum results</x:v>
      </x:c>
      <x:c r="O105" s="21" t="str">
        <x:v>Active</x:v>
      </x:c>
      <x:c r="P105" s="21" t="str">
        <x:v>Not calculated</x:v>
      </x:c>
      <x:c r="Q105" s="21" t="str">
        <x:v>iHerb displayed broad VT assortment and deep Reedle review history.</x:v>
      </x:c>
      <x:c r="R105" s="21" t="str">
        <x:v>Strong authorized K-Beauty channel</x:v>
      </x:c>
      <x:c r="S105" s="21" t="str">
        <x:v>Price can exceed U.S. MSRP; country display and sold badges vary; consumer access does not grant downstream rights.</x:v>
      </x:c>
      <x:c r="T105" s="21" t="str">
        <x:v>High</x:v>
      </x:c>
      <x:c r="U105" s="25" t="str">
        <x:v>2026-07-30</x:v>
      </x:c>
      <x:c r="V105" s="21" t="str">
        <x:v>SRC-VT-005,SRC-VT-012</x:v>
      </x:c>
      <x:c r="W105" s="21" t="str">
        <x:v>Direct product prices and counts change.</x:v>
      </x:c>
    </x:row>
    <x:row r="106" ht="120" customHeight="1">
      <x:c r="A106" s="21" t="str">
        <x:v>CH-VT-013</x:v>
      </x:c>
      <x:c r="B106" s="21" t="str">
        <x:v>KB007</x:v>
      </x:c>
      <x:c r="C106" s="21"/>
      <x:c r="D106" s="21" t="str">
        <x:v>Official U.S. Authorized Sellers</x:v>
      </x:c>
      <x:c r="E106" s="21" t="str">
        <x:v>https://globalvt-cosmetics.com/pages/retailers</x:v>
      </x:c>
      <x:c r="F106" s="21" t="str">
        <x:v>Song of Skin; Moida; Amazon.US; TikTok Shop</x:v>
      </x:c>
      <x:c r="G106" s="21" t="str">
        <x:v>Brand-owned authorized-seller list</x:v>
      </x:c>
      <x:c r="H106" s="52"/>
      <x:c r="I106" s="52"/>
      <x:c r="J106" s="52"/>
      <x:c r="K106" s="33"/>
      <x:c r="L106" s="27"/>
      <x:c r="M106" s="21"/>
      <x:c r="N106" s="21" t="str">
        <x:v>Two named U.S. sellers plus two official malls</x:v>
      </x:c>
      <x:c r="O106" s="21" t="str">
        <x:v>Active</x:v>
      </x:c>
      <x:c r="P106" s="21" t="str">
        <x:v>Not disclosed</x:v>
      </x:c>
      <x:c r="Q106" s="21" t="str">
        <x:v>Brand's own retailer page names Song of Skin and Moida as U.S. authorized sellers and Amazon/TikTok as official malls.</x:v>
      </x:c>
      <x:c r="R106" s="21" t="str">
        <x:v>Existing specialty network</x:v>
      </x:c>
      <x:c r="S106" s="21" t="str">
        <x:v>Ulta, Target, Nordstrom and Costco are not yet reflected on this page; written current authorization matrix is needed.</x:v>
      </x:c>
      <x:c r="T106" s="21" t="str">
        <x:v>High</x:v>
      </x:c>
      <x:c r="U106" s="25" t="str">
        <x:v>2026-07-30</x:v>
      </x:c>
      <x:c r="V106" s="21" t="str">
        <x:v>SRC-VT-005</x:v>
      </x:c>
      <x:c r="W106" s="21" t="str">
        <x:v>Use vendor confirmation for any account proposal.</x:v>
      </x:c>
    </x:row>
    <x:row r="107" ht="120" customHeight="1">
      <x:c r="A107" s="21" t="str">
        <x:v>CH-VT-014</x:v>
      </x:c>
      <x:c r="B107" s="21" t="str">
        <x:v>KB007</x:v>
      </x:c>
      <x:c r="C107" s="21"/>
      <x:c r="D107" s="21" t="str">
        <x:v>Authorized Cross-Border K-Beauty Retailers</x:v>
      </x:c>
      <x:c r="E107" s="21" t="str">
        <x:v>https://globalvt-cosmetics.com/pages/retailers</x:v>
      </x:c>
      <x:c r="F107" s="21" t="str">
        <x:v>YesStyle; StyleKorean; Stylevana; Olive Young Global; Jolse; iHerb and others</x:v>
      </x:c>
      <x:c r="G107" s="21" t="str">
        <x:v>Brand-owned global authorized-seller list</x:v>
      </x:c>
      <x:c r="H107" s="52"/>
      <x:c r="I107" s="52"/>
      <x:c r="J107" s="52"/>
      <x:c r="K107" s="33"/>
      <x:c r="L107" s="27"/>
      <x:c r="M107" s="21"/>
      <x:c r="N107" s="21" t="str">
        <x:v>Broad cross-border access to U.S. consumers</x:v>
      </x:c>
      <x:c r="O107" s="21" t="str">
        <x:v>Active</x:v>
      </x:c>
      <x:c r="P107" s="21" t="str">
        <x:v>Not disclosed</x:v>
      </x:c>
      <x:c r="Q107" s="21" t="str">
        <x:v>Official list confirms global authorized sellers that can ship into the U.S. market.</x:v>
      </x:c>
      <x:c r="R107" s="21" t="str">
        <x:v>High price transparency / broad access</x:v>
      </x:c>
      <x:c r="S107" s="21" t="str">
        <x:v>Cross-border discounting, packaging versions, duty/returns and territory ambiguity can conflict with a U.S. distributor.</x:v>
      </x:c>
      <x:c r="T107" s="21" t="str">
        <x:v>High</x:v>
      </x:c>
      <x:c r="U107" s="25" t="str">
        <x:v>2026-07-30</x:v>
      </x:c>
      <x:c r="V107" s="21" t="str">
        <x:v>SRC-VT-005</x:v>
      </x:c>
      <x:c r="W107" s="21" t="str">
        <x:v>Consumer availability is not U.S. wholesale authorization.</x:v>
      </x:c>
    </x:row>
    <x:row r="108" ht="120" customHeight="1">
      <x:c r="A108" s="21" t="str">
        <x:v>CH-VT-015</x:v>
      </x:c>
      <x:c r="B108" s="21" t="str">
        <x:v>KB007</x:v>
      </x:c>
      <x:c r="C108" s="21" t="str">
        <x:v>VT-P001</x:v>
      </x:c>
      <x:c r="D108" s="21" t="str">
        <x:v>Walmart U.S. Marketplace</x:v>
      </x:c>
      <x:c r="E108" s="21" t="str">
        <x:v>https://www.walmart.com/ip/5105205780</x:v>
      </x:c>
      <x:c r="F108" s="21" t="str">
        <x:v>T.E.R Glow and other third parties</x:v>
      </x:c>
      <x:c r="G108" s="21" t="str">
        <x:v>Marketplace; seller not on current official U.S. authorized list</x:v>
      </x:c>
      <x:c r="H108" s="52" t="n">
        <x:v>32</x:v>
      </x:c>
      <x:c r="I108" s="52" t="n">
        <x:v>29.99</x:v>
      </x:c>
      <x:c r="J108" s="52" t="n">
        <x:v>0.0628</x:v>
      </x:c>
      <x:c r="K108" s="33" t="n">
        <x:v>15</x:v>
      </x:c>
      <x:c r="L108" s="27" t="n">
        <x:v>4</x:v>
      </x:c>
      <x:c r="M108" s="21"/>
      <x:c r="N108" s="21" t="str">
        <x:v>Four-item brand browse plus multiple seller-specific listings</x:v>
      </x:c>
      <x:c r="O108" s="21" t="str">
        <x:v>Active / seller-specific</x:v>
      </x:c>
      <x:c r="P108" s="21" t="str">
        <x:v>Not calculated</x:v>
      </x:c>
      <x:c r="Q108" s="21" t="str">
        <x:v>Sample Reedle 100 page was fulfilled by Walmart but sold by a third party; reviews included fake-product complaints.</x:v>
      </x:c>
      <x:c r="R108" s="21" t="str">
        <x:v>High awareness / high gray-market risk</x:v>
      </x:c>
      <x:c r="S108" s="21" t="str">
        <x:v>Authorization, authenticity, lot/label version and seller identity must be checked per offer; complaints are anecdotal, not proof.</x:v>
      </x:c>
      <x:c r="T108" s="21" t="str">
        <x:v>High</x:v>
      </x:c>
      <x:c r="U108" s="25" t="str">
        <x:v>2026-07-30</x:v>
      </x:c>
      <x:c r="V108" s="21" t="str">
        <x:v>SRC-VT-013,SRC-VT-044</x:v>
      </x:c>
      <x:c r="W108" s="21" t="str">
        <x:v>Do not source from consumer marketplace offers.</x:v>
      </x:c>
    </x:row>
    <x:row r="109" ht="112" customHeight="1">
      <x:c r="A109" s="21" t="str">
        <x:v>CH-RL-001</x:v>
      </x:c>
      <x:c r="B109" s="21" t="str">
        <x:v>KB008</x:v>
      </x:c>
      <x:c r="C109" s="21"/>
      <x:c r="D109" s="21" t="str">
        <x:v>Official U.S. DTC</x:v>
      </x:c>
      <x:c r="E109" s="21" t="str">
        <x:v>https://roundlab.com</x:v>
      </x:c>
      <x:c r="F109" s="21" t="str">
        <x:v>UB Round Lab LLC</x:v>
      </x:c>
      <x:c r="G109" s="21" t="str">
        <x:v>Official</x:v>
      </x:c>
      <x:c r="H109" s="31"/>
      <x:c r="I109" s="31"/>
      <x:c r="J109" s="35"/>
      <x:c r="K109" s="33"/>
      <x:c r="L109" s="27"/>
      <x:c r="M109" s="21"/>
      <x:c r="N109" s="21"/>
      <x:c r="O109" s="21" t="str">
        <x:v>In stock across sampled assortment</x:v>
      </x:c>
      <x:c r="P109" s="21"/>
      <x:c r="Q109" s="21" t="str">
        <x:v>Official U.S. storefront; U.S. warehouse messaging; broad skincare and OTC sun-care assortment.</x:v>
      </x:c>
      <x:c r="R109" s="21" t="str">
        <x:v>Not estimated</x:v>
      </x:c>
      <x:c r="S109" s="21" t="str">
        <x:v>First-party channel; no public audited sell-through.</x:v>
      </x:c>
      <x:c r="T109" s="21" t="str">
        <x:v>High</x:v>
      </x:c>
      <x:c r="U109" s="25" t="str">
        <x:v>2026-07-30</x:v>
      </x:c>
      <x:c r="V109" s="21" t="str">
        <x:v>SRC-RL-002,SRC-RL-004</x:v>
      </x:c>
      <x:c r="W109" s="21" t="str">
        <x:v>Official site prices and promotions vary by product/variant.</x:v>
      </x:c>
    </x:row>
    <x:row r="110" ht="112" customHeight="1">
      <x:c r="A110" s="21" t="str">
        <x:v>CH-RL-002</x:v>
      </x:c>
      <x:c r="B110" s="21" t="str">
        <x:v>KB008</x:v>
      </x:c>
      <x:c r="C110" s="21" t="str">
        <x:v>RL-P001</x:v>
      </x:c>
      <x:c r="D110" s="21" t="str">
        <x:v>Amazon U.S.</x:v>
      </x:c>
      <x:c r="E110" s="21" t="str">
        <x:v>https://www.amazon.com/dp/B0DJGWH3TC</x:v>
      </x:c>
      <x:c r="F110" s="21" t="str">
        <x:v>ROUNDLAB OFFICIAL</x:v>
      </x:c>
      <x:c r="G110" s="21" t="str">
        <x:v>Official seller displayed / Amazon fulfilled</x:v>
      </x:c>
      <x:c r="H110" s="31" t="n">
        <x:v>24.99</x:v>
      </x:c>
      <x:c r="I110" s="31" t="n">
        <x:v>22.22</x:v>
      </x:c>
      <x:c r="J110" s="35" t="n">
        <x:v>0.1108</x:v>
      </x:c>
      <x:c r="K110" s="33" t="n">
        <x:v>2100</x:v>
      </x:c>
      <x:c r="L110" s="27" t="n">
        <x:v>4.4</x:v>
      </x:c>
      <x:c r="M110" s="21" t="str">
        <x:v>#1,255 Beauty; #23 Facial Sunscreens; #226 Facial Skin Care</x:v>
      </x:c>
      <x:c r="N110" s="21" t="str">
        <x:v>10K+ bought in past month</x:v>
      </x:c>
      <x:c r="O110" s="21" t="str">
        <x:v>Buying options; no featured offer</x:v>
      </x:c>
      <x:c r="P110" s="21"/>
      <x:c r="Q110" s="21" t="str">
        <x:v>ASIN B0DJGWH3TC; direct seller, fulfillment, review, purchase-badge and BSR check.</x:v>
      </x:c>
      <x:c r="R110" s="21" t="str">
        <x:v>At least $222,200/month at observed buying-option price</x:v>
      </x:c>
      <x:c r="S110" s="21" t="str">
        <x:v>10,000 rounded public badge × $22.22; excludes tax, returns, coupons and all other SKUs.</x:v>
      </x:c>
      <x:c r="T110" s="21" t="str">
        <x:v>Medium-High</x:v>
      </x:c>
      <x:c r="U110" s="25" t="str">
        <x:v>2026-07-30</x:v>
      </x:c>
      <x:c r="V110" s="21" t="str">
        <x:v>SRC-RL-015</x:v>
      </x:c>
      <x:c r="W110" s="21" t="str">
        <x:v>Dynamic signal; no featured offer and seller switching require re-check before procurement.</x:v>
      </x:c>
    </x:row>
    <x:row r="111" ht="112" customHeight="1">
      <x:c r="A111" s="21" t="str">
        <x:v>CH-RL-003</x:v>
      </x:c>
      <x:c r="B111" s="21" t="str">
        <x:v>KB008</x:v>
      </x:c>
      <x:c r="C111" s="21" t="str">
        <x:v>RL-P002</x:v>
      </x:c>
      <x:c r="D111" s="21" t="str">
        <x:v>Amazon U.S.</x:v>
      </x:c>
      <x:c r="E111" s="21" t="str">
        <x:v>https://www.amazon.com/dp/B08FM5BTF6</x:v>
      </x:c>
      <x:c r="F111" s="21" t="str">
        <x:v>ROUNDLAB OFFICIAL</x:v>
      </x:c>
      <x:c r="G111" s="21" t="str">
        <x:v>Official seller displayed / Amazon fulfilled</x:v>
      </x:c>
      <x:c r="H111" s="31" t="n">
        <x:v>16.99</x:v>
      </x:c>
      <x:c r="I111" s="31" t="n">
        <x:v>11.69</x:v>
      </x:c>
      <x:c r="J111" s="35" t="n">
        <x:v>0.3119</x:v>
      </x:c>
      <x:c r="K111" s="33" t="n">
        <x:v>1842</x:v>
      </x:c>
      <x:c r="L111" s="27" t="n">
        <x:v>4.7</x:v>
      </x:c>
      <x:c r="M111" s="21" t="str">
        <x:v>#5,132 Beauty; #44 Toners</x:v>
      </x:c>
      <x:c r="N111" s="21" t="str">
        <x:v>7K+ bought in past month</x:v>
      </x:c>
      <x:c r="O111" s="21" t="str">
        <x:v>Buying options; no featured offer</x:v>
      </x:c>
      <x:c r="P111" s="21"/>
      <x:c r="Q111" s="21" t="str">
        <x:v>ASIN B08FM5BTF6; direct seller, fulfillment, review, purchase-badge and BSR check.</x:v>
      </x:c>
      <x:c r="R111" s="21" t="str">
        <x:v>At least $81,830/month at observed buying-option price</x:v>
      </x:c>
      <x:c r="S111" s="21" t="str">
        <x:v>7,000 rounded public badge × $11.69; excludes tax, returns, coupons and other sizes/SKUs.</x:v>
      </x:c>
      <x:c r="T111" s="21" t="str">
        <x:v>Medium-High</x:v>
      </x:c>
      <x:c r="U111" s="25" t="str">
        <x:v>2026-07-30</x:v>
      </x:c>
      <x:c r="V111" s="21" t="str">
        <x:v>SRC-RL-016</x:v>
      </x:c>
      <x:c r="W111" s="21" t="str">
        <x:v>Dynamic signal; multiple sizes/variants and seller switching can change the offer.</x:v>
      </x:c>
    </x:row>
    <x:row r="112" ht="112" customHeight="1">
      <x:c r="A112" s="21" t="str">
        <x:v>CH-RL-004</x:v>
      </x:c>
      <x:c r="B112" s="21" t="str">
        <x:v>KB008</x:v>
      </x:c>
      <x:c r="C112" s="21" t="str">
        <x:v>RL-P005</x:v>
      </x:c>
      <x:c r="D112" s="21" t="str">
        <x:v>Amazon U.S.</x:v>
      </x:c>
      <x:c r="E112" s="21" t="str">
        <x:v>https://www.amazon.com/dp/B0DK4MXPMD</x:v>
      </x:c>
      <x:c r="F112" s="21" t="str">
        <x:v>ROUNDLAB OFFICIAL</x:v>
      </x:c>
      <x:c r="G112" s="21" t="str">
        <x:v>Official seller displayed / Amazon fulfilled</x:v>
      </x:c>
      <x:c r="H112" s="31" t="n">
        <x:v>24.99</x:v>
      </x:c>
      <x:c r="I112" s="31"/>
      <x:c r="J112" s="35"/>
      <x:c r="K112" s="33" t="n">
        <x:v>614</x:v>
      </x:c>
      <x:c r="L112" s="27" t="n">
        <x:v>4.3</x:v>
      </x:c>
      <x:c r="M112" s="21" t="str">
        <x:v>#5,357 Beauty; #89 Facial Sunscreens</x:v>
      </x:c>
      <x:c r="N112" s="21" t="str">
        <x:v>3K+ bought in past month</x:v>
      </x:c>
      <x:c r="O112" s="21" t="str">
        <x:v>Price hidden until cart</x:v>
      </x:c>
      <x:c r="P112" s="21"/>
      <x:c r="Q112" s="21" t="str">
        <x:v>ASIN B0DK4MXPMD; current purchase badge and category rank captured.</x:v>
      </x:c>
      <x:c r="R112" s="21" t="str">
        <x:v>Not monetized</x:v>
      </x:c>
      <x:c r="S112" s="21" t="str">
        <x:v>Current public price was not visible; excluded from the conservative sales floor.</x:v>
      </x:c>
      <x:c r="T112" s="21" t="str">
        <x:v>Medium-High</x:v>
      </x:c>
      <x:c r="U112" s="25" t="str">
        <x:v>2026-07-30</x:v>
      </x:c>
      <x:c r="V112" s="21" t="str">
        <x:v>SRC-RL-017</x:v>
      </x:c>
      <x:c r="W112" s="21" t="str">
        <x:v>Dynamic. Verify exact U.S. OTC formula, NDC and seller at order time.</x:v>
      </x:c>
    </x:row>
    <x:row r="113" ht="112" customHeight="1">
      <x:c r="A113" s="21" t="str">
        <x:v>CH-RL-005</x:v>
      </x:c>
      <x:c r="B113" s="21" t="str">
        <x:v>KB008</x:v>
      </x:c>
      <x:c r="C113" s="21"/>
      <x:c r="D113" s="21" t="str">
        <x:v>TikTok Shop U.S.</x:v>
      </x:c>
      <x:c r="E113" s="21" t="str">
        <x:v>https://shop.tiktok.com/us/store/round-lab/7495840792980655024</x:v>
      </x:c>
      <x:c r="F113" s="21" t="str">
        <x:v>Round Lab</x:v>
      </x:c>
      <x:c r="G113" s="21" t="str">
        <x:v>Official Shop</x:v>
      </x:c>
      <x:c r="H113" s="31"/>
      <x:c r="I113" s="31"/>
      <x:c r="J113" s="35"/>
      <x:c r="K113" s="33"/>
      <x:c r="L113" s="27"/>
      <x:c r="M113" s="21"/>
      <x:c r="N113" s="21" t="str">
        <x:v>74.1K followers; 145.1K sold; 880 videos</x:v>
      </x:c>
      <x:c r="O113" s="21" t="str">
        <x:v>Active</x:v>
      </x:c>
      <x:c r="P113" s="21"/>
      <x:c r="Q113" s="21" t="str">
        <x:v>Official shop displayed strong cumulative store-level social-commerce volume.</x:v>
      </x:c>
      <x:c r="R113" s="21" t="str">
        <x:v>Not estimated</x:v>
      </x:c>
      <x:c r="S113" s="21" t="str">
        <x:v>Cumulative platform sold display spans products, variants and promotional periods.</x:v>
      </x:c>
      <x:c r="T113" s="21" t="str">
        <x:v>Medium-High</x:v>
      </x:c>
      <x:c r="U113" s="25" t="str">
        <x:v>2026-07-30</x:v>
      </x:c>
      <x:c r="V113" s="21" t="str">
        <x:v>SRC-RL-009</x:v>
      </x:c>
      <x:c r="W113" s="21" t="str">
        <x:v>Counts are dynamic and not audited U.S. revenue.</x:v>
      </x:c>
    </x:row>
    <x:row r="114" ht="112" customHeight="1">
      <x:c r="A114" s="21" t="str">
        <x:v>CH-RL-006</x:v>
      </x:c>
      <x:c r="B114" s="21" t="str">
        <x:v>KB008</x:v>
      </x:c>
      <x:c r="C114" s="21"/>
      <x:c r="D114" s="21" t="str">
        <x:v>TikTok Shop U.S. — Camellia Mask</x:v>
      </x:c>
      <x:c r="E114" s="21" t="str">
        <x:v>https://shop.tiktok.com/us/store/round-lab/7495840792980655024</x:v>
      </x:c>
      <x:c r="F114" s="21" t="str">
        <x:v>Round Lab</x:v>
      </x:c>
      <x:c r="G114" s="21" t="str">
        <x:v>Official Shop</x:v>
      </x:c>
      <x:c r="H114" s="31" t="n">
        <x:v>28</x:v>
      </x:c>
      <x:c r="I114" s="31" t="n">
        <x:v>20.99</x:v>
      </x:c>
      <x:c r="J114" s="35" t="n">
        <x:v>0.2504</x:v>
      </x:c>
      <x:c r="K114" s="33"/>
      <x:c r="L114" s="27"/>
      <x:c r="M114" s="21"/>
      <x:c r="N114" s="21" t="str">
        <x:v>About 43.3K sold</x:v>
      </x:c>
      <x:c r="O114" s="21" t="str">
        <x:v>Active</x:v>
      </x:c>
      <x:c r="P114" s="21"/>
      <x:c r="Q114" s="21" t="str">
        <x:v>Camellia Deep Collagen Chin Lifting Gel Mask was the largest captured product-level sold display.</x:v>
      </x:c>
      <x:c r="R114" s="21" t="str">
        <x:v>Not estimated</x:v>
      </x:c>
      <x:c r="S114" s="21" t="str">
        <x:v>Cumulative sold display; product/variant grouping and promotions can change.</x:v>
      </x:c>
      <x:c r="T114" s="21" t="str">
        <x:v>Medium</x:v>
      </x:c>
      <x:c r="U114" s="25" t="str">
        <x:v>2026-07-30</x:v>
      </x:c>
      <x:c r="V114" s="21" t="str">
        <x:v>SRC-RL-027</x:v>
      </x:c>
      <x:c r="W114" s="21" t="str">
        <x:v>Important awareness extension beyond Birch and Dokdo; not selected as a top-five procurement hero in this pass.</x:v>
      </x:c>
    </x:row>
    <x:row r="115" ht="112" customHeight="1">
      <x:c r="A115" s="21" t="str">
        <x:v>CH-RL-007</x:v>
      </x:c>
      <x:c r="B115" s="21" t="str">
        <x:v>KB008</x:v>
      </x:c>
      <x:c r="C115" s="21"/>
      <x:c r="D115" s="21" t="str">
        <x:v>Instagram</x:v>
      </x:c>
      <x:c r="E115" s="21" t="str">
        <x:v>https://www.instagram.com/roundlab_us/</x:v>
      </x:c>
      <x:c r="F115" s="21" t="str">
        <x:v>@roundlab_us</x:v>
      </x:c>
      <x:c r="G115" s="21" t="str">
        <x:v>Official U.S. profile</x:v>
      </x:c>
      <x:c r="H115" s="31"/>
      <x:c r="I115" s="31"/>
      <x:c r="J115" s="35"/>
      <x:c r="K115" s="33"/>
      <x:c r="L115" s="27"/>
      <x:c r="M115" s="21"/>
      <x:c r="N115" s="21"/>
      <x:c r="O115" s="21" t="str">
        <x:v>Active</x:v>
      </x:c>
      <x:c r="P115" s="21"/>
      <x:c r="Q115" s="21" t="str">
        <x:v>Official U.S. social destination linked by the brand ecosystem; reliable follower count not captured.</x:v>
      </x:c>
      <x:c r="R115" s="21" t="str">
        <x:v>Not estimated</x:v>
      </x:c>
      <x:c r="S115" s="21" t="str">
        <x:v>Awareness channel only.</x:v>
      </x:c>
      <x:c r="T115" s="21" t="str">
        <x:v>Medium</x:v>
      </x:c>
      <x:c r="U115" s="25" t="str">
        <x:v>2026-07-30</x:v>
      </x:c>
      <x:c r="V115" s="21" t="str">
        <x:v>SRC-RL-010</x:v>
      </x:c>
      <x:c r="W115" s="21" t="str">
        <x:v>Do not infer sales from follower visibility.</x:v>
      </x:c>
    </x:row>
    <x:row r="116" ht="112" customHeight="1">
      <x:c r="A116" s="21" t="str">
        <x:v>CH-RL-008</x:v>
      </x:c>
      <x:c r="B116" s="21" t="str">
        <x:v>KB008</x:v>
      </x:c>
      <x:c r="C116" s="21"/>
      <x:c r="D116" s="21" t="str">
        <x:v>Ulta Beauty</x:v>
      </x:c>
      <x:c r="E116" s="21" t="str">
        <x:v>https://www.ulta.com/brand/round-lab?category=skin-care</x:v>
      </x:c>
      <x:c r="F116" s="21" t="str">
        <x:v>Ulta Beauty</x:v>
      </x:c>
      <x:c r="G116" s="21" t="str">
        <x:v>Authorized mainstream retailer</x:v>
      </x:c>
      <x:c r="H116" s="31"/>
      <x:c r="I116" s="31"/>
      <x:c r="J116" s="35"/>
      <x:c r="K116" s="33"/>
      <x:c r="L116" s="27"/>
      <x:c r="M116" s="21"/>
      <x:c r="N116" s="21" t="str">
        <x:v>27 products displayed</x:v>
      </x:c>
      <x:c r="O116" s="21" t="str">
        <x:v>Active</x:v>
      </x:c>
      <x:c r="P116" s="21"/>
      <x:c r="Q116" s="21" t="str">
        <x:v>Ulta assortment includes sunscreen, toner, cleanser, cream, masks and treatment extensions.</x:v>
      </x:c>
      <x:c r="R116" s="21" t="str">
        <x:v>Not estimated</x:v>
      </x:c>
      <x:c r="S116" s="21" t="str">
        <x:v>Retailer assortment and review displays; no sell-through disclosed.</x:v>
      </x:c>
      <x:c r="T116" s="21" t="str">
        <x:v>High</x:v>
      </x:c>
      <x:c r="U116" s="25" t="str">
        <x:v>2026-07-30</x:v>
      </x:c>
      <x:c r="V116" s="21" t="str">
        <x:v>SRC-RL-012,SRC-RL-013</x:v>
      </x:c>
      <x:c r="W116" s="21" t="str">
        <x:v>Sampled aggregates: toner 4.9/270, cleanser 4.8/236, cream 4.8/153, Mild-Up 4.0/51.</x:v>
      </x:c>
    </x:row>
    <x:row r="117" ht="112" customHeight="1">
      <x:c r="A117" s="21" t="str">
        <x:v>CH-RL-009</x:v>
      </x:c>
      <x:c r="B117" s="21" t="str">
        <x:v>KB008</x:v>
      </x:c>
      <x:c r="C117" s="21"/>
      <x:c r="D117" s="21" t="str">
        <x:v>Target</x:v>
      </x:c>
      <x:c r="E117" s="21" t="str">
        <x:v>https://www.target.com/b/round-lab/-/N-q643lega5t</x:v>
      </x:c>
      <x:c r="F117" s="21" t="str">
        <x:v>Target</x:v>
      </x:c>
      <x:c r="G117" s="21" t="str">
        <x:v>Authorized mainstream retailer</x:v>
      </x:c>
      <x:c r="H117" s="31"/>
      <x:c r="I117" s="31"/>
      <x:c r="J117" s="35"/>
      <x:c r="K117" s="33"/>
      <x:c r="L117" s="27"/>
      <x:c r="M117" s="21"/>
      <x:c r="N117" s="21" t="str">
        <x:v>34 results displayed</x:v>
      </x:c>
      <x:c r="O117" s="21" t="str">
        <x:v>Active</x:v>
      </x:c>
      <x:c r="P117" s="21"/>
      <x:c r="Q117" s="21" t="str">
        <x:v>Broad mass-market assortment; sampled review and recent-purchase signals were strong.</x:v>
      </x:c>
      <x:c r="R117" s="21" t="str">
        <x:v>Not estimated</x:v>
      </x:c>
      <x:c r="S117" s="21" t="str">
        <x:v>Retailer assortment, reviews and rounded recent-purchase displays.</x:v>
      </x:c>
      <x:c r="T117" s="21" t="str">
        <x:v>High</x:v>
      </x:c>
      <x:c r="U117" s="25" t="str">
        <x:v>2026-07-30</x:v>
      </x:c>
      <x:c r="V117" s="21" t="str">
        <x:v>SRC-RL-014,SRC-RL-029</x:v>
      </x:c>
      <x:c r="W117" s="21" t="str">
        <x:v>Sampled current prices: UVLock $24.99, toner $11.69, cleanser $11.39, cream $25.99.</x:v>
      </x:c>
    </x:row>
    <x:row r="118" ht="112" customHeight="1">
      <x:c r="A118" s="21" t="str">
        <x:v>CH-RL-010</x:v>
      </x:c>
      <x:c r="B118" s="21" t="str">
        <x:v>KB008</x:v>
      </x:c>
      <x:c r="C118" s="21" t="str">
        <x:v>RL-P001</x:v>
      </x:c>
      <x:c r="D118" s="21" t="str">
        <x:v>Costco</x:v>
      </x:c>
      <x:c r="E118" s="21" t="str">
        <x:v>https://www.costco.com/p/-/round-lab-birch-juice-moisturizing-uvlock-spf-45-broad-spectrum-203-fl-oz-2-pack/4000341861</x:v>
      </x:c>
      <x:c r="F118" s="21" t="str">
        <x:v>Costco Wholesale</x:v>
      </x:c>
      <x:c r="G118" s="21" t="str">
        <x:v>Authorized club retail</x:v>
      </x:c>
      <x:c r="H118" s="31"/>
      <x:c r="I118" s="31"/>
      <x:c r="J118" s="35"/>
      <x:c r="K118" s="33"/>
      <x:c r="L118" s="27"/>
      <x:c r="M118" s="21"/>
      <x:c r="N118" s="21" t="str">
        <x:v>2.03 fl oz × 2 pack</x:v>
      </x:c>
      <x:c r="O118" s="21" t="str">
        <x:v>Listing observed</x:v>
      </x:c>
      <x:c r="P118" s="21"/>
      <x:c r="Q118" s="21" t="str">
        <x:v>Club-size U.S. OTC UVLock two-pack confirms additional high-volume channel reach.</x:v>
      </x:c>
      <x:c r="R118" s="21" t="str">
        <x:v>Not estimated</x:v>
      </x:c>
      <x:c r="S118" s="21" t="str">
        <x:v>Public listing only; member price/sell-through not used.</x:v>
      </x:c>
      <x:c r="T118" s="21" t="str">
        <x:v>High</x:v>
      </x:c>
      <x:c r="U118" s="25" t="str">
        <x:v>2026-07-30</x:v>
      </x:c>
      <x:c r="V118" s="21" t="str">
        <x:v>SRC-RL-028</x:v>
      </x:c>
      <x:c r="W118" s="21" t="str">
        <x:v>Club packs create price/MAP and pack-size conflict for smaller retailers.</x:v>
      </x:c>
    </x:row>
    <x:row r="119" ht="112" customHeight="1">
      <x:c r="A119" s="21" t="str">
        <x:v>CH-RL-011</x:v>
      </x:c>
      <x:c r="B119" s="21" t="str">
        <x:v>KB008</x:v>
      </x:c>
      <x:c r="C119" s="21"/>
      <x:c r="D119" s="21" t="str">
        <x:v>iHerb</x:v>
      </x:c>
      <x:c r="E119" s="21" t="str">
        <x:v>https://www.iherb.com/c/round-lab</x:v>
      </x:c>
      <x:c r="F119" s="21" t="str">
        <x:v>iHerb</x:v>
      </x:c>
      <x:c r="G119" s="21" t="str">
        <x:v>Brand-linked global retailer</x:v>
      </x:c>
      <x:c r="H119" s="31"/>
      <x:c r="I119" s="31"/>
      <x:c r="J119" s="35"/>
      <x:c r="K119" s="33"/>
      <x:c r="L119" s="27"/>
      <x:c r="M119" s="21"/>
      <x:c r="N119" s="21" t="str">
        <x:v>Broad 50+ item catalog in sampled locale</x:v>
      </x:c>
      <x:c r="O119" s="21" t="str">
        <x:v>Active / some stockouts</x:v>
      </x:c>
      <x:c r="P119" s="21"/>
      <x:c r="Q119" s="21" t="str">
        <x:v>iHerb carried Dokdo, Birch, Mugwort, Pine and Soybean products with large review bases and public sales badges in some locales.</x:v>
      </x:c>
      <x:c r="R119" s="21" t="str">
        <x:v>Not estimated</x:v>
      </x:c>
      <x:c r="S119" s="21" t="str">
        <x:v>Retailer catalog and platform displays; locale-specific signals were not treated as U.S. sell-through.</x:v>
      </x:c>
      <x:c r="T119" s="21" t="str">
        <x:v>Medium-High</x:v>
      </x:c>
      <x:c r="U119" s="25" t="str">
        <x:v>2026-07-30</x:v>
      </x:c>
      <x:c r="V119" s="21" t="str">
        <x:v>SRC-RL-029</x:v>
      </x:c>
      <x:c r="W119" s="21" t="str">
        <x:v>Confirm U.S. item authorization, formula and inventory by SKU.</x:v>
      </x:c>
    </x:row>
    <x:row r="120" ht="112" customHeight="1">
      <x:c r="A120" s="21" t="str">
        <x:v>CH-RL-012</x:v>
      </x:c>
      <x:c r="B120" s="21" t="str">
        <x:v>KB008</x:v>
      </x:c>
      <x:c r="C120" s="21"/>
      <x:c r="D120" s="21" t="str">
        <x:v>Olive Young U.S. / Global</x:v>
      </x:c>
      <x:c r="E120" s="21" t="str">
        <x:v>https://linktr.ee/roundlabglobal</x:v>
      </x:c>
      <x:c r="F120" s="21" t="str">
        <x:v>Round Lab / Olive Young</x:v>
      </x:c>
      <x:c r="G120" s="21" t="str">
        <x:v>Official brand-linked retailer destination</x:v>
      </x:c>
      <x:c r="H120" s="31"/>
      <x:c r="I120" s="31"/>
      <x:c r="J120" s="35"/>
      <x:c r="K120" s="33"/>
      <x:c r="L120" s="27"/>
      <x:c r="M120" s="21"/>
      <x:c r="N120" s="21"/>
      <x:c r="O120" s="21" t="str">
        <x:v>Linked</x:v>
      </x:c>
      <x:c r="P120" s="21"/>
      <x:c r="Q120" s="21" t="str">
        <x:v>Official global link hub routes consumers to Olive Young U.S./Global.</x:v>
      </x:c>
      <x:c r="R120" s="21" t="str">
        <x:v>Not estimated</x:v>
      </x:c>
      <x:c r="S120" s="21" t="str">
        <x:v>Authorization/navigation evidence only.</x:v>
      </x:c>
      <x:c r="T120" s="21" t="str">
        <x:v>Medium-High</x:v>
      </x:c>
      <x:c r="U120" s="25" t="str">
        <x:v>2026-07-30</x:v>
      </x:c>
      <x:c r="V120" s="21" t="str">
        <x:v>SRC-RL-011</x:v>
      </x:c>
      <x:c r="W120" s="21" t="str">
        <x:v>Check exact U.S. stock, formula and price before commercial comparison.</x:v>
      </x:c>
    </x:row>
    <x:row r="121" ht="112" customHeight="1">
      <x:c r="A121" s="21" t="str">
        <x:v>CH-RL-013</x:v>
      </x:c>
      <x:c r="B121" s="21" t="str">
        <x:v>KB008</x:v>
      </x:c>
      <x:c r="C121" s="21"/>
      <x:c r="D121" s="21" t="str">
        <x:v>YesStyle / Cross-border</x:v>
      </x:c>
      <x:c r="E121" s="21" t="str">
        <x:v>https://linktr.ee/roundlabglobal</x:v>
      </x:c>
      <x:c r="F121" s="21" t="str">
        <x:v>Round Lab / YesStyle</x:v>
      </x:c>
      <x:c r="G121" s="21" t="str">
        <x:v>Official brand-linked cross-border retailer</x:v>
      </x:c>
      <x:c r="H121" s="31"/>
      <x:c r="I121" s="31"/>
      <x:c r="J121" s="35"/>
      <x:c r="K121" s="33"/>
      <x:c r="L121" s="27"/>
      <x:c r="M121" s="21"/>
      <x:c r="N121" s="21"/>
      <x:c r="O121" s="21" t="str">
        <x:v>Linked</x:v>
      </x:c>
      <x:c r="P121" s="21"/>
      <x:c r="Q121" s="21" t="str">
        <x:v>Official global link hub routes consumers to YesStyle and other global sellers.</x:v>
      </x:c>
      <x:c r="R121" s="21" t="str">
        <x:v>Not estimated</x:v>
      </x:c>
      <x:c r="S121" s="21" t="str">
        <x:v>Authorization/navigation evidence only.</x:v>
      </x:c>
      <x:c r="T121" s="21" t="str">
        <x:v>Medium-High</x:v>
      </x:c>
      <x:c r="U121" s="25" t="str">
        <x:v>2026-07-30</x:v>
      </x:c>
      <x:c r="V121" s="21" t="str">
        <x:v>SRC-RL-011</x:v>
      </x:c>
      <x:c r="W121" s="21" t="str">
        <x:v>Cross-border Korean/global sunscreen formulas must not be substituted for U.S. OTC units.</x:v>
      </x:c>
    </x:row>
    <x:row r="122" ht="112" customHeight="1">
      <x:c r="A122" s="21" t="str">
        <x:v>CH-RL-014</x:v>
      </x:c>
      <x:c r="B122" s="21" t="str">
        <x:v>KB008</x:v>
      </x:c>
      <x:c r="C122" s="21"/>
      <x:c r="D122" s="21" t="str">
        <x:v>Walmart Marketplace</x:v>
      </x:c>
      <x:c r="E122" s="21" t="str">
        <x:v>https://www.walmart.com/ip/20209105874</x:v>
      </x:c>
      <x:c r="F122" s="21" t="str">
        <x:v>Third-party marketplace seller varies</x:v>
      </x:c>
      <x:c r="G122" s="21" t="str">
        <x:v>Authorization not confirmed</x:v>
      </x:c>
      <x:c r="H122" s="31"/>
      <x:c r="I122" s="31"/>
      <x:c r="J122" s="35"/>
      <x:c r="K122" s="33"/>
      <x:c r="L122" s="27"/>
      <x:c r="M122" s="21"/>
      <x:c r="N122" s="21"/>
      <x:c r="O122" s="21" t="str">
        <x:v>Listing observed</x:v>
      </x:c>
      <x:c r="P122" s="21"/>
      <x:c r="Q122" s="21" t="str">
        <x:v>Round Lab Korean/global sunscreen marketplace listing observed; seller authorization and U.S. OTC suitability were not confirmed.</x:v>
      </x:c>
      <x:c r="R122" s="21" t="str">
        <x:v>Not estimated</x:v>
      </x:c>
      <x:c r="S122" s="21" t="str">
        <x:v>Third-party listing only.</x:v>
      </x:c>
      <x:c r="T122" s="21" t="str">
        <x:v>Medium-High</x:v>
      </x:c>
      <x:c r="U122" s="25" t="str">
        <x:v>2026-07-30</x:v>
      </x:c>
      <x:c r="V122" s="21" t="str">
        <x:v>SRC-RL-030</x:v>
      </x:c>
      <x:c r="W122" s="21" t="str">
        <x:v>High gray-market, formula-confusion and channel-conflict risk. Do not treat as authorized without documentation.</x:v>
      </x:c>
    </x:row>
    <x:row r="123" ht="112" customHeight="1">
      <x:c r="A123" s="21" t="str">
        <x:v>CH-RL-015</x:v>
      </x:c>
      <x:c r="B123" s="21" t="str">
        <x:v>KB008</x:v>
      </x:c>
      <x:c r="C123" s="21"/>
      <x:c r="D123" s="21" t="str">
        <x:v>Official U.S. Retail Store Locator</x:v>
      </x:c>
      <x:c r="E123" s="21" t="str">
        <x:v>https://roundlab.com/pages/store-locator</x:v>
      </x:c>
      <x:c r="F123" s="21" t="str">
        <x:v>Round Lab / Target</x:v>
      </x:c>
      <x:c r="G123" s="21" t="str">
        <x:v>Official locator</x:v>
      </x:c>
      <x:c r="H123" s="31"/>
      <x:c r="I123" s="31"/>
      <x:c r="J123" s="35"/>
      <x:c r="K123" s="33"/>
      <x:c r="L123" s="27"/>
      <x:c r="M123" s="21"/>
      <x:c r="N123" s="21" t="str">
        <x:v>U.S. store locator available</x:v>
      </x:c>
      <x:c r="O123" s="21" t="str">
        <x:v>Active</x:v>
      </x:c>
      <x:c r="P123" s="21"/>
      <x:c r="Q123" s="21" t="str">
        <x:v>Official U.S. site provides a Target-focused store locator, corroborating physical retail scale.</x:v>
      </x:c>
      <x:c r="R123" s="21" t="str">
        <x:v>Not estimated</x:v>
      </x:c>
      <x:c r="S123" s="21" t="str">
        <x:v>Official locator; no store count used.</x:v>
      </x:c>
      <x:c r="T123" s="21" t="str">
        <x:v>High</x:v>
      </x:c>
      <x:c r="U123" s="25" t="str">
        <x:v>2026-07-30</x:v>
      </x:c>
      <x:c r="V123" s="21" t="str">
        <x:v>SRC-RL-051</x:v>
      </x:c>
      <x:c r="W123" s="21" t="str">
        <x:v>Exact store availability changes by ZIP and SKU.</x:v>
      </x:c>
    </x:row>
    <x:row r="124" ht="118" customHeight="1">
      <x:c r="A124" s="21" t="str">
        <x:v>CH-MED-001</x:v>
      </x:c>
      <x:c r="B124" s="21" t="str">
        <x:v>KB009</x:v>
      </x:c>
      <x:c r="C124" s="21"/>
      <x:c r="D124" s="21" t="str">
        <x:v>Official U.S. DTC</x:v>
      </x:c>
      <x:c r="E124" s="21" t="str">
        <x:v>https://mediheal.com</x:v>
      </x:c>
      <x:c r="F124" s="21" t="str">
        <x:v>LNP COSMETICS / Mediheal</x:v>
      </x:c>
      <x:c r="G124" s="21" t="str">
        <x:v>Official</x:v>
      </x:c>
      <x:c r="H124" s="31"/>
      <x:c r="I124" s="31"/>
      <x:c r="J124" s="35"/>
      <x:c r="K124" s="33"/>
      <x:c r="L124" s="27"/>
      <x:c r="M124" s="21"/>
      <x:c r="N124" s="21" t="str">
        <x:v>123 products displayed in All Products</x:v>
      </x:c>
      <x:c r="O124" s="21" t="str">
        <x:v>Active</x:v>
      </x:c>
      <x:c r="P124" s="21"/>
      <x:c r="Q124" s="21" t="str">
        <x:v>Official Shopify storefront, company footer, support contacts, broad pad/mask/serum/cleanser/cream assortment and U.S. pricing.</x:v>
      </x:c>
      <x:c r="R124" s="21" t="str">
        <x:v>Not estimated</x:v>
      </x:c>
      <x:c r="S124" s="21" t="str">
        <x:v>First-party channel; no audited sell-through.</x:v>
      </x:c>
      <x:c r="T124" s="21" t="str">
        <x:v>High</x:v>
      </x:c>
      <x:c r="U124" s="25" t="str">
        <x:v>2026-07-30</x:v>
      </x:c>
      <x:c r="V124" s="21" t="str">
        <x:v>SRC-MED-001,SRC-MED-002,SRC-MED-004</x:v>
      </x:c>
      <x:c r="W124" s="21" t="str">
        <x:v>Confirm the exact U.S. wholesale invoicing, inventory and responsible-person roles.</x:v>
      </x:c>
    </x:row>
    <x:row r="125" ht="118" customHeight="1">
      <x:c r="A125" s="21" t="str">
        <x:v>CH-MED-002</x:v>
      </x:c>
      <x:c r="B125" s="21" t="str">
        <x:v>KB009</x:v>
      </x:c>
      <x:c r="C125" s="21" t="str">
        <x:v>MED-P001</x:v>
      </x:c>
      <x:c r="D125" s="21" t="str">
        <x:v>Amazon U.S.</x:v>
      </x:c>
      <x:c r="E125" s="21" t="str">
        <x:v>https://www.amazon.com/dp/B0BHVBVRYY</x:v>
      </x:c>
      <x:c r="F125" s="21" t="str">
        <x:v>Mediheal Cos</x:v>
      </x:c>
      <x:c r="G125" s="21" t="str">
        <x:v>Official brand store / seller displayed</x:v>
      </x:c>
      <x:c r="H125" s="31" t="n">
        <x:v>26.4</x:v>
      </x:c>
      <x:c r="I125" s="31" t="n">
        <x:v>16.8</x:v>
      </x:c>
      <x:c r="J125" s="35" t="n">
        <x:v>0.3636</x:v>
      </x:c>
      <x:c r="K125" s="33" t="n">
        <x:v>10184</x:v>
      </x:c>
      <x:c r="L125" s="27" t="n">
        <x:v>4.6</x:v>
      </x:c>
      <x:c r="M125" s="21"/>
      <x:c r="N125" s="21" t="str">
        <x:v>4K+ bought in past month</x:v>
      </x:c>
      <x:c r="O125" s="21" t="str">
        <x:v>In stock / limited-time deal</x:v>
      </x:c>
      <x:c r="P125" s="21"/>
      <x:c r="Q125" s="21" t="str">
        <x:v>ASIN B0BHVBVRYY; direct seller, brand-store, rating, purchase badge and price checked.</x:v>
      </x:c>
      <x:c r="R125" s="21" t="str">
        <x:v>At least $67,200/month at observed price</x:v>
      </x:c>
      <x:c r="S125" s="21" t="str">
        <x:v>4,000 rounded public badge × $16.80; excludes tax, returns, coupons and other variants.</x:v>
      </x:c>
      <x:c r="T125" s="21" t="str">
        <x:v>Medium-High</x:v>
      </x:c>
      <x:c r="U125" s="25" t="str">
        <x:v>2026-07-30</x:v>
      </x:c>
      <x:c r="V125" s="21" t="str">
        <x:v>SRC-MED-022</x:v>
      </x:c>
      <x:c r="W125" s="21" t="str">
        <x:v>Dynamic; 10,184 reviews are shared across a toner-pad variation family.</x:v>
      </x:c>
    </x:row>
    <x:row r="126" ht="118" customHeight="1">
      <x:c r="A126" s="21" t="str">
        <x:v>CH-MED-003</x:v>
      </x:c>
      <x:c r="B126" s="21" t="str">
        <x:v>KB009</x:v>
      </x:c>
      <x:c r="C126" s="21" t="str">
        <x:v>MED-P002</x:v>
      </x:c>
      <x:c r="D126" s="21" t="str">
        <x:v>Amazon U.S.</x:v>
      </x:c>
      <x:c r="E126" s="21" t="str">
        <x:v>https://www.amazon.com/dp/B0FWRC7FR8</x:v>
      </x:c>
      <x:c r="F126" s="21" t="str">
        <x:v>Mediheal Cos</x:v>
      </x:c>
      <x:c r="G126" s="21" t="str">
        <x:v>Official brand store / seller displayed</x:v>
      </x:c>
      <x:c r="H126" s="31" t="n">
        <x:v>26.4</x:v>
      </x:c>
      <x:c r="I126" s="31" t="n">
        <x:v>16.8</x:v>
      </x:c>
      <x:c r="J126" s="35" t="n">
        <x:v>0.3636</x:v>
      </x:c>
      <x:c r="K126" s="33" t="n">
        <x:v>10184</x:v>
      </x:c>
      <x:c r="L126" s="27" t="n">
        <x:v>4.6</x:v>
      </x:c>
      <x:c r="M126" s="21"/>
      <x:c r="N126" s="21" t="str">
        <x:v>1K+ bought in past month</x:v>
      </x:c>
      <x:c r="O126" s="21" t="str">
        <x:v>In stock / limited-time deal</x:v>
      </x:c>
      <x:c r="P126" s="21"/>
      <x:c r="Q126" s="21" t="str">
        <x:v>ASIN B0FWRC7FR8; direct seller, brand-store, rating, purchase badge and price checked.</x:v>
      </x:c>
      <x:c r="R126" s="21" t="str">
        <x:v>At least $16,800/month at observed price</x:v>
      </x:c>
      <x:c r="S126" s="21" t="str">
        <x:v>1,000 rounded public badge × $16.80.</x:v>
      </x:c>
      <x:c r="T126" s="21" t="str">
        <x:v>Medium-High</x:v>
      </x:c>
      <x:c r="U126" s="25" t="str">
        <x:v>2026-07-30</x:v>
      </x:c>
      <x:c r="V126" s="21" t="str">
        <x:v>SRC-MED-023</x:v>
      </x:c>
      <x:c r="W126" s="21" t="str">
        <x:v>Dynamic; reviews are shared across the toner-pad variation family.</x:v>
      </x:c>
    </x:row>
    <x:row r="127" ht="118" customHeight="1">
      <x:c r="A127" s="21" t="str">
        <x:v>CH-MED-004</x:v>
      </x:c>
      <x:c r="B127" s="21" t="str">
        <x:v>KB009</x:v>
      </x:c>
      <x:c r="C127" s="21" t="str">
        <x:v>MED-P003</x:v>
      </x:c>
      <x:c r="D127" s="21" t="str">
        <x:v>Amazon U.S.</x:v>
      </x:c>
      <x:c r="E127" s="21" t="str">
        <x:v>https://www.amazon.com/dp/B0F933KJVY</x:v>
      </x:c>
      <x:c r="F127" s="21" t="str">
        <x:v>Mediheal Cos</x:v>
      </x:c>
      <x:c r="G127" s="21" t="str">
        <x:v>Official brand store / seller displayed</x:v>
      </x:c>
      <x:c r="H127" s="31" t="n">
        <x:v>26.4</x:v>
      </x:c>
      <x:c r="I127" s="31" t="n">
        <x:v>16.8</x:v>
      </x:c>
      <x:c r="J127" s="35" t="n">
        <x:v>0.3636</x:v>
      </x:c>
      <x:c r="K127" s="33" t="n">
        <x:v>10184</x:v>
      </x:c>
      <x:c r="L127" s="27" t="n">
        <x:v>4.6</x:v>
      </x:c>
      <x:c r="M127" s="21"/>
      <x:c r="N127" s="21" t="str">
        <x:v>1K+ bought in past month</x:v>
      </x:c>
      <x:c r="O127" s="21" t="str">
        <x:v>In stock / limited-time deal</x:v>
      </x:c>
      <x:c r="P127" s="21"/>
      <x:c r="Q127" s="21" t="str">
        <x:v>ASIN B0F933KJVY; direct seller, brand-store, rating, purchase badge and price checked.</x:v>
      </x:c>
      <x:c r="R127" s="21" t="str">
        <x:v>At least $16,800/month at observed price</x:v>
      </x:c>
      <x:c r="S127" s="21" t="str">
        <x:v>1,000 rounded public badge × $16.80.</x:v>
      </x:c>
      <x:c r="T127" s="21" t="str">
        <x:v>Medium-High</x:v>
      </x:c>
      <x:c r="U127" s="25" t="str">
        <x:v>2026-07-30</x:v>
      </x:c>
      <x:c r="V127" s="21" t="str">
        <x:v>SRC-MED-024</x:v>
      </x:c>
      <x:c r="W127" s="21" t="str">
        <x:v>New variant; Amazon review count is parent-family, not PDRN-specific.</x:v>
      </x:c>
    </x:row>
    <x:row r="128" ht="118" customHeight="1">
      <x:c r="A128" s="21" t="str">
        <x:v>CH-MED-005</x:v>
      </x:c>
      <x:c r="B128" s="21" t="str">
        <x:v>KB009</x:v>
      </x:c>
      <x:c r="C128" s="21"/>
      <x:c r="D128" s="21" t="str">
        <x:v>Amazon U.S. — Vitamide Pad</x:v>
      </x:c>
      <x:c r="E128" s="21" t="str">
        <x:v>https://www.amazon.com/dp/B0C6VB86QN</x:v>
      </x:c>
      <x:c r="F128" s="21" t="str">
        <x:v>Mediheal Cos</x:v>
      </x:c>
      <x:c r="G128" s="21" t="str">
        <x:v>Official brand store / seller displayed</x:v>
      </x:c>
      <x:c r="H128" s="31" t="n">
        <x:v>26.4</x:v>
      </x:c>
      <x:c r="I128" s="31" t="n">
        <x:v>16.8</x:v>
      </x:c>
      <x:c r="J128" s="35" t="n">
        <x:v>0.3636</x:v>
      </x:c>
      <x:c r="K128" s="33" t="n">
        <x:v>10184</x:v>
      </x:c>
      <x:c r="L128" s="27" t="n">
        <x:v>4.6</x:v>
      </x:c>
      <x:c r="M128" s="21"/>
      <x:c r="N128" s="21" t="str">
        <x:v>600+ bought in past month</x:v>
      </x:c>
      <x:c r="O128" s="21" t="str">
        <x:v>In stock / limited-time deal</x:v>
      </x:c>
      <x:c r="P128" s="21"/>
      <x:c r="Q128" s="21" t="str">
        <x:v>ASIN B0C6VB86QN; official seller and distinct monthly purchase badge.</x:v>
      </x:c>
      <x:c r="R128" s="21" t="str">
        <x:v>At least $10,080/month at observed price</x:v>
      </x:c>
      <x:c r="S128" s="21" t="str">
        <x:v>600 rounded public badge × $16.80.</x:v>
      </x:c>
      <x:c r="T128" s="21" t="str">
        <x:v>Medium-High</x:v>
      </x:c>
      <x:c r="U128" s="25" t="str">
        <x:v>2026-07-30</x:v>
      </x:c>
      <x:c r="V128" s="21" t="str">
        <x:v>SRC-MED-025</x:v>
      </x:c>
      <x:c r="W128" s="21" t="str">
        <x:v>Dynamic; reviews are shared across the toner-pad variation family.</x:v>
      </x:c>
    </x:row>
    <x:row r="129" ht="118" customHeight="1">
      <x:c r="A129" s="21" t="str">
        <x:v>CH-MED-006</x:v>
      </x:c>
      <x:c r="B129" s="21" t="str">
        <x:v>KB009</x:v>
      </x:c>
      <x:c r="C129" s="21"/>
      <x:c r="D129" s="21" t="str">
        <x:v>Amazon U.S. — Hyaluronate Pad</x:v>
      </x:c>
      <x:c r="E129" s="21" t="str">
        <x:v>https://www.amazon.com/dp/B0FWR96ZYV</x:v>
      </x:c>
      <x:c r="F129" s="21" t="str">
        <x:v>Mediheal Cos</x:v>
      </x:c>
      <x:c r="G129" s="21" t="str">
        <x:v>Official brand store / seller displayed</x:v>
      </x:c>
      <x:c r="H129" s="31" t="n">
        <x:v>26.4</x:v>
      </x:c>
      <x:c r="I129" s="31" t="n">
        <x:v>16.8</x:v>
      </x:c>
      <x:c r="J129" s="35" t="n">
        <x:v>0.3636</x:v>
      </x:c>
      <x:c r="K129" s="33" t="n">
        <x:v>10184</x:v>
      </x:c>
      <x:c r="L129" s="27" t="n">
        <x:v>4.6</x:v>
      </x:c>
      <x:c r="M129" s="21"/>
      <x:c r="N129" s="21" t="str">
        <x:v>500+ bought in past month</x:v>
      </x:c>
      <x:c r="O129" s="21" t="str">
        <x:v>In stock / limited-time deal</x:v>
      </x:c>
      <x:c r="P129" s="21"/>
      <x:c r="Q129" s="21" t="str">
        <x:v>ASIN B0FWR96ZYV; official seller and distinct monthly purchase badge.</x:v>
      </x:c>
      <x:c r="R129" s="21" t="str">
        <x:v>At least $8,400/month at observed price</x:v>
      </x:c>
      <x:c r="S129" s="21" t="str">
        <x:v>500 rounded public badge × $16.80.</x:v>
      </x:c>
      <x:c r="T129" s="21" t="str">
        <x:v>Medium-High</x:v>
      </x:c>
      <x:c r="U129" s="25" t="str">
        <x:v>2026-07-30</x:v>
      </x:c>
      <x:c r="V129" s="21" t="str">
        <x:v>SRC-MED-026</x:v>
      </x:c>
      <x:c r="W129" s="21" t="str">
        <x:v>Current Amazon title uses Hyaluronate Hydration; match supplied U.S. UPC/formula to retailer naming.</x:v>
      </x:c>
    </x:row>
    <x:row r="130" ht="118" customHeight="1">
      <x:c r="A130" s="21" t="str">
        <x:v>CH-MED-007</x:v>
      </x:c>
      <x:c r="B130" s="21" t="str">
        <x:v>KB009</x:v>
      </x:c>
      <x:c r="C130" s="21" t="str">
        <x:v>MED-P004</x:v>
      </x:c>
      <x:c r="D130" s="21" t="str">
        <x:v>Amazon U.S.</x:v>
      </x:c>
      <x:c r="E130" s="21" t="str">
        <x:v>https://www.amazon.com/dp/B0DJ1D917P</x:v>
      </x:c>
      <x:c r="F130" s="21" t="str">
        <x:v>Mediheal Cos</x:v>
      </x:c>
      <x:c r="G130" s="21" t="str">
        <x:v>Official brand store / seller displayed</x:v>
      </x:c>
      <x:c r="H130" s="31" t="n">
        <x:v>22</x:v>
      </x:c>
      <x:c r="I130" s="31" t="n">
        <x:v>22</x:v>
      </x:c>
      <x:c r="J130" s="35" t="n">
        <x:v>0</x:v>
      </x:c>
      <x:c r="K130" s="33" t="n">
        <x:v>593</x:v>
      </x:c>
      <x:c r="L130" s="27" t="n">
        <x:v>4.6</x:v>
      </x:c>
      <x:c r="M130" s="21"/>
      <x:c r="N130" s="21" t="str">
        <x:v>2K+ bought in past month</x:v>
      </x:c>
      <x:c r="O130" s="21" t="str">
        <x:v>In stock</x:v>
      </x:c>
      <x:c r="P130" s="21"/>
      <x:c r="Q130" s="21" t="str">
        <x:v>ASIN B0DJ1D917P; direct seller, brand-store, rating, purchase badge and price checked.</x:v>
      </x:c>
      <x:c r="R130" s="21" t="str">
        <x:v>At least $44,000/month at observed price</x:v>
      </x:c>
      <x:c r="S130" s="21" t="str">
        <x:v>2,000 rounded public badge × $22.00.</x:v>
      </x:c>
      <x:c r="T130" s="21" t="str">
        <x:v>Medium-High</x:v>
      </x:c>
      <x:c r="U130" s="25" t="str">
        <x:v>2026-07-30</x:v>
      </x:c>
      <x:c r="V130" s="21" t="str">
        <x:v>SRC-MED-027</x:v>
      </x:c>
      <x:c r="W130" s="21" t="str">
        <x:v>Dynamic; ten-sheet pack distinct from Target single and four-sheet packs.</x:v>
      </x:c>
    </x:row>
    <x:row r="131" ht="118" customHeight="1">
      <x:c r="A131" s="21" t="str">
        <x:v>CH-MED-008</x:v>
      </x:c>
      <x:c r="B131" s="21" t="str">
        <x:v>KB009</x:v>
      </x:c>
      <x:c r="C131" s="21"/>
      <x:c r="D131" s="21" t="str">
        <x:v>TikTok Shop U.S.</x:v>
      </x:c>
      <x:c r="E131" s="21" t="str">
        <x:v>https://shop.tiktok.com/us/store/mediheal/7494448900486432374</x:v>
      </x:c>
      <x:c r="F131" s="21" t="str">
        <x:v>MEDIHEAL USA</x:v>
      </x:c>
      <x:c r="G131" s="21" t="str">
        <x:v>Official Shop</x:v>
      </x:c>
      <x:c r="H131" s="31"/>
      <x:c r="I131" s="31"/>
      <x:c r="J131" s="35"/>
      <x:c r="K131" s="33"/>
      <x:c r="L131" s="27"/>
      <x:c r="M131" s="21"/>
      <x:c r="N131" s="21" t="str">
        <x:v>97.6K+ followers; 8,776 sold; 741 videos</x:v>
      </x:c>
      <x:c r="O131" s="21" t="str">
        <x:v>Active</x:v>
      </x:c>
      <x:c r="P131" s="21"/>
      <x:c r="Q131" s="21" t="str">
        <x:v>Top captured listings: Madecassoside Pad 262 sold/$39.60; Sun Serum 256/$33; Vitamin C Pad 203/$39.60.</x:v>
      </x:c>
      <x:c r="R131" s="21" t="str">
        <x:v>Not estimated</x:v>
      </x:c>
      <x:c r="S131" s="21" t="str">
        <x:v>Cumulative store sold display; product prices and promotion structure differ materially from Amazon/DTC.</x:v>
      </x:c>
      <x:c r="T131" s="21" t="str">
        <x:v>Medium-High</x:v>
      </x:c>
      <x:c r="U131" s="25" t="str">
        <x:v>2026-07-30</x:v>
      </x:c>
      <x:c r="V131" s="21" t="str">
        <x:v>SRC-MED-014,SRC-MED-016,SRC-MED-017</x:v>
      </x:c>
      <x:c r="W131" s="21" t="str">
        <x:v>Strong awareness but modest direct shop sell-through versus Amazon and Target.</x:v>
      </x:c>
    </x:row>
    <x:row r="132" ht="118" customHeight="1">
      <x:c r="A132" s="21" t="str">
        <x:v>CH-MED-009</x:v>
      </x:c>
      <x:c r="B132" s="21" t="str">
        <x:v>KB009</x:v>
      </x:c>
      <x:c r="C132" s="21"/>
      <x:c r="D132" s="21" t="str">
        <x:v>Instagram</x:v>
      </x:c>
      <x:c r="E132" s="21" t="str">
        <x:v>https://www.instagram.com/mediheal_usa/</x:v>
      </x:c>
      <x:c r="F132" s="21" t="str">
        <x:v>@mediheal_usa</x:v>
      </x:c>
      <x:c r="G132" s="21" t="str">
        <x:v>Official U.S. profile</x:v>
      </x:c>
      <x:c r="H132" s="31"/>
      <x:c r="I132" s="31"/>
      <x:c r="J132" s="35"/>
      <x:c r="K132" s="33" t="n">
        <x:v>951</x:v>
      </x:c>
      <x:c r="L132" s="27"/>
      <x:c r="M132" s="21"/>
      <x:c r="N132" s="21" t="str">
        <x:v>110K followers; 32 following; 951 posts</x:v>
      </x:c>
      <x:c r="O132" s="21" t="str">
        <x:v>Active</x:v>
      </x:c>
      <x:c r="P132" s="21"/>
      <x:c r="Q132" s="21" t="str">
        <x:v>Official site links to the profile; public profile metadata provided current counts.</x:v>
      </x:c>
      <x:c r="R132" s="21" t="str">
        <x:v>Not estimated</x:v>
      </x:c>
      <x:c r="S132" s="21" t="str">
        <x:v>Awareness channel only.</x:v>
      </x:c>
      <x:c r="T132" s="21" t="str">
        <x:v>High</x:v>
      </x:c>
      <x:c r="U132" s="25" t="str">
        <x:v>2026-07-30</x:v>
      </x:c>
      <x:c r="V132" s="21" t="str">
        <x:v>SRC-MED-013</x:v>
      </x:c>
      <x:c r="W132" s="21" t="str">
        <x:v>Do not infer sales from follower count.</x:v>
      </x:c>
    </x:row>
    <x:row r="133" ht="118" customHeight="1">
      <x:c r="A133" s="21" t="str">
        <x:v>CH-MED-010</x:v>
      </x:c>
      <x:c r="B133" s="21" t="str">
        <x:v>KB009</x:v>
      </x:c>
      <x:c r="C133" s="21"/>
      <x:c r="D133" s="21" t="str">
        <x:v>Ulta Beauty</x:v>
      </x:c>
      <x:c r="E133" s="21" t="str">
        <x:v>https://www.ulta.com/brand/mediheal?category=skin-care</x:v>
      </x:c>
      <x:c r="F133" s="21" t="str">
        <x:v>Ulta Beauty</x:v>
      </x:c>
      <x:c r="G133" s="21" t="str">
        <x:v>Authorized national specialty retailer</x:v>
      </x:c>
      <x:c r="H133" s="31"/>
      <x:c r="I133" s="31"/>
      <x:c r="J133" s="35"/>
      <x:c r="K133" s="33"/>
      <x:c r="L133" s="27"/>
      <x:c r="M133" s="21"/>
      <x:c r="N133" s="21" t="str">
        <x:v>32 products displayed; PDRN launch announced for 1,400+ stores</x:v>
      </x:c>
      <x:c r="O133" s="21" t="str">
        <x:v>Active</x:v>
      </x:c>
      <x:c r="P133" s="21"/>
      <x:c r="Q133" s="21" t="str">
        <x:v>Deep pads, masks, serums, cleansers, creams and sunscreen assortment; multiple new/Only at Ulta items.</x:v>
      </x:c>
      <x:c r="R133" s="21" t="str">
        <x:v>Not estimated</x:v>
      </x:c>
      <x:c r="S133" s="21" t="str">
        <x:v>Retailer assortment, reviews and launch announcement; no SKU-level sell-through disclosed.</x:v>
      </x:c>
      <x:c r="T133" s="21" t="str">
        <x:v>High</x:v>
      </x:c>
      <x:c r="U133" s="25" t="str">
        <x:v>2026-07-30</x:v>
      </x:c>
      <x:c r="V133" s="21" t="str">
        <x:v>SRC-MED-015,SRC-MED-016,SRC-MED-029,SRC-MED-033</x:v>
      </x:c>
      <x:c r="W133" s="21" t="str">
        <x:v>Dense coverage limits general-distributor whitespace.</x:v>
      </x:c>
    </x:row>
    <x:row r="134" ht="118" customHeight="1">
      <x:c r="A134" s="21" t="str">
        <x:v>CH-MED-011</x:v>
      </x:c>
      <x:c r="B134" s="21" t="str">
        <x:v>KB009</x:v>
      </x:c>
      <x:c r="C134" s="21"/>
      <x:c r="D134" s="21" t="str">
        <x:v>Target</x:v>
      </x:c>
      <x:c r="E134" s="21" t="str">
        <x:v>https://www.target.com/b/mediheal/-/N-q643le1i4bw</x:v>
      </x:c>
      <x:c r="F134" s="21" t="str">
        <x:v>Target</x:v>
      </x:c>
      <x:c r="G134" s="21" t="str">
        <x:v>Authorized national mass retailer</x:v>
      </x:c>
      <x:c r="H134" s="31"/>
      <x:c r="I134" s="31"/>
      <x:c r="J134" s="35"/>
      <x:c r="K134" s="33"/>
      <x:c r="L134" s="27"/>
      <x:c r="M134" s="21"/>
      <x:c r="N134" s="21" t="str">
        <x:v>24 results displayed</x:v>
      </x:c>
      <x:c r="O134" s="21" t="str">
        <x:v>Active</x:v>
      </x:c>
      <x:c r="P134" s="21"/>
      <x:c r="Q134" s="21" t="str">
        <x:v>Target displayed large current purchase badges: Watermide sheet mask 30K+, Collagen Essential Mask 26K+, Madecassoside Essential Mask 5K+; broad pads and masks.</x:v>
      </x:c>
      <x:c r="R134" s="21" t="str">
        <x:v>Not estimated</x:v>
      </x:c>
      <x:c r="S134" s="21" t="str">
        <x:v>Rounded retailer purchase badges are dynamic and SKU/pack specific.</x:v>
      </x:c>
      <x:c r="T134" s="21" t="str">
        <x:v>High</x:v>
      </x:c>
      <x:c r="U134" s="25" t="str">
        <x:v>2026-07-30</x:v>
      </x:c>
      <x:c r="V134" s="21" t="str">
        <x:v>SRC-MED-017,SRC-MED-034</x:v>
      </x:c>
      <x:c r="W134" s="21" t="str">
        <x:v>Target prices hidden in cart for several toner-pad items; re-check MAP and promotions.</x:v>
      </x:c>
    </x:row>
    <x:row r="135" ht="118" customHeight="1">
      <x:c r="A135" s="21" t="str">
        <x:v>CH-MED-012</x:v>
      </x:c>
      <x:c r="B135" s="21" t="str">
        <x:v>KB009</x:v>
      </x:c>
      <x:c r="C135" s="21" t="str">
        <x:v>MED-P001</x:v>
      </x:c>
      <x:c r="D135" s="21" t="str">
        <x:v>Costco</x:v>
      </x:c>
      <x:c r="E135" s="21" t="str">
        <x:v>https://www.costco.com/p/-/mediheal-madecassoside-blemish-pad-2-pack/4000210439</x:v>
      </x:c>
      <x:c r="F135" s="21" t="str">
        <x:v>Costco Wholesale</x:v>
      </x:c>
      <x:c r="G135" s="21" t="str">
        <x:v>Authorized club retail</x:v>
      </x:c>
      <x:c r="H135" s="31"/>
      <x:c r="I135" s="31"/>
      <x:c r="J135" s="35"/>
      <x:c r="K135" s="33"/>
      <x:c r="L135" s="27"/>
      <x:c r="M135" s="21"/>
      <x:c r="N135" s="21" t="str">
        <x:v>Two-pack of 100-pad jars</x:v>
      </x:c>
      <x:c r="O135" s="21" t="str">
        <x:v>Listing observed</x:v>
      </x:c>
      <x:c r="P135" s="21"/>
      <x:c r="Q135" s="21" t="str">
        <x:v>Current Costco two-pack corroborates brand's stated club expansion and creates a high-value pack format.</x:v>
      </x:c>
      <x:c r="R135" s="21" t="str">
        <x:v>Not estimated</x:v>
      </x:c>
      <x:c r="S135" s="21" t="str">
        <x:v>Public listing only; member price and sell-through not used.</x:v>
      </x:c>
      <x:c r="T135" s="21" t="str">
        <x:v>High</x:v>
      </x:c>
      <x:c r="U135" s="25" t="str">
        <x:v>2026-07-30</x:v>
      </x:c>
      <x:c r="V135" s="21" t="str">
        <x:v>SRC-MED-018</x:v>
      </x:c>
      <x:c r="W135" s="21" t="str">
        <x:v>Club pack may conflict with independent-retailer pricing and pack architecture.</x:v>
      </x:c>
    </x:row>
    <x:row r="136" ht="118" customHeight="1">
      <x:c r="A136" s="21" t="str">
        <x:v>CH-MED-013</x:v>
      </x:c>
      <x:c r="B136" s="21" t="str">
        <x:v>KB009</x:v>
      </x:c>
      <x:c r="C136" s="21"/>
      <x:c r="D136" s="21" t="str">
        <x:v>iHerb</x:v>
      </x:c>
      <x:c r="E136" s="21" t="str">
        <x:v>https://www.iherb.com/c/mediheal/categories?p=1</x:v>
      </x:c>
      <x:c r="F136" s="21" t="str">
        <x:v>iHerb</x:v>
      </x:c>
      <x:c r="G136" s="21" t="str">
        <x:v>Major online retailer</x:v>
      </x:c>
      <x:c r="H136" s="31"/>
      <x:c r="I136" s="31"/>
      <x:c r="J136" s="35"/>
      <x:c r="K136" s="33"/>
      <x:c r="L136" s="27"/>
      <x:c r="M136" s="21"/>
      <x:c r="N136" s="21" t="str">
        <x:v>32 results; Madecassoside Pad 500+ sold in 30 days</x:v>
      </x:c>
      <x:c r="O136" s="21" t="str">
        <x:v>Active</x:v>
      </x:c>
      <x:c r="P136" s="21"/>
      <x:c r="Q136" s="21" t="str">
        <x:v>Broad U.S. catalog with public review and recent-sales signals; Madecassoside Pad listed at $24 with 1,918 reviews.</x:v>
      </x:c>
      <x:c r="R136" s="21" t="str">
        <x:v>Not estimated</x:v>
      </x:c>
      <x:c r="S136" s="21" t="str">
        <x:v>Retailer signals are separate from Amazon lower-bound calculation.</x:v>
      </x:c>
      <x:c r="T136" s="21" t="str">
        <x:v>High</x:v>
      </x:c>
      <x:c r="U136" s="25" t="str">
        <x:v>2026-07-30</x:v>
      </x:c>
      <x:c r="V136" s="21" t="str">
        <x:v>SRC-MED-019</x:v>
      </x:c>
      <x:c r="W136" s="21" t="str">
        <x:v>Verify each U.S. item/UPC, formula and authorization in vendor documents.</x:v>
      </x:c>
    </x:row>
    <x:row r="137" ht="118" customHeight="1">
      <x:c r="A137" s="21" t="str">
        <x:v>CH-MED-014</x:v>
      </x:c>
      <x:c r="B137" s="21" t="str">
        <x:v>KB009</x:v>
      </x:c>
      <x:c r="C137" s="21"/>
      <x:c r="D137" s="21" t="str">
        <x:v>Olive Young U.S. / Pasadena</x:v>
      </x:c>
      <x:c r="E137" s="21" t="str">
        <x:v>https://www.prnewswire.com/news-releases/mediheal-the-no-1-k-beauty-brand-at-olive-young-expands-us-presence-with-launch-at-olive-young-pasadena-302788233.html</x:v>
      </x:c>
      <x:c r="F137" s="21" t="str">
        <x:v>Mediheal / Olive Young</x:v>
      </x:c>
      <x:c r="G137" s="21" t="str">
        <x:v>Brand-announced retail partner</x:v>
      </x:c>
      <x:c r="H137" s="31"/>
      <x:c r="I137" s="31"/>
      <x:c r="J137" s="35"/>
      <x:c r="K137" s="33"/>
      <x:c r="L137" s="27"/>
      <x:c r="M137" s="21"/>
      <x:c r="N137" s="21" t="str">
        <x:v>In-store Pasadena and U.S. online assortment</x:v>
      </x:c>
      <x:c r="O137" s="21" t="str">
        <x:v>Active launch</x:v>
      </x:c>
      <x:c r="P137" s="21"/>
      <x:c r="Q137" s="21" t="str">
        <x:v>Mediheal announced participation in Olive Young's first U.S. store and U.S. online store, following two years as Olive Young Korea's top-selling brand.</x:v>
      </x:c>
      <x:c r="R137" s="21" t="str">
        <x:v>Not estimated</x:v>
      </x:c>
      <x:c r="S137" s="21" t="str">
        <x:v>Brand press release; exact U.S. SKU assortment and sell-through are not public.</x:v>
      </x:c>
      <x:c r="T137" s="21" t="str">
        <x:v>Medium-High</x:v>
      </x:c>
      <x:c r="U137" s="25" t="str">
        <x:v>2026-07-30</x:v>
      </x:c>
      <x:c r="V137" s="21" t="str">
        <x:v>SRC-MED-020</x:v>
      </x:c>
      <x:c r="W137" s="21" t="str">
        <x:v>Adds prestige/authority but further reduces open channel whitespace.</x:v>
      </x:c>
    </x:row>
    <x:row r="138" ht="118" customHeight="1">
      <x:c r="A138" s="21" t="str">
        <x:v>CH-MED-015</x:v>
      </x:c>
      <x:c r="B138" s="21" t="str">
        <x:v>KB009</x:v>
      </x:c>
      <x:c r="C138" s="21"/>
      <x:c r="D138" s="21" t="str">
        <x:v>Walmart Marketplace</x:v>
      </x:c>
      <x:c r="E138" s="21" t="str">
        <x:v>https://www.walmart.com/ip/3376662620</x:v>
      </x:c>
      <x:c r="F138" s="21" t="str">
        <x:v>Third-party seller varies</x:v>
      </x:c>
      <x:c r="G138" s="21" t="str">
        <x:v>Authorization not confirmed</x:v>
      </x:c>
      <x:c r="H138" s="31"/>
      <x:c r="I138" s="31"/>
      <x:c r="J138" s="35"/>
      <x:c r="K138" s="33"/>
      <x:c r="L138" s="27"/>
      <x:c r="M138" s="21"/>
      <x:c r="N138" s="21" t="str">
        <x:v>Mediheal toner-pad listing observed</x:v>
      </x:c>
      <x:c r="O138" s="21" t="str">
        <x:v>Marketplace listing</x:v>
      </x:c>
      <x:c r="P138" s="21"/>
      <x:c r="Q138" s="21" t="str">
        <x:v>Walmart displayed a Vitamide Brightening Pad listing; seller authorization and inventory provenance were not confirmed.</x:v>
      </x:c>
      <x:c r="R138" s="21" t="str">
        <x:v>Not estimated</x:v>
      </x:c>
      <x:c r="S138" s="21" t="str">
        <x:v>Third-party listing only.</x:v>
      </x:c>
      <x:c r="T138" s="21" t="str">
        <x:v>Medium-High</x:v>
      </x:c>
      <x:c r="U138" s="25" t="str">
        <x:v>2026-07-30</x:v>
      </x:c>
      <x:c r="V138" s="21" t="str">
        <x:v>SRC-MED-021</x:v>
      </x:c>
      <x:c r="W138" s="21" t="str">
        <x:v>Treat as gray-market/channel-conflict signal, not an authorized account, until documented.</x:v>
      </x:c>
    </x:row>
    <x:row r="139" ht="120" customHeight="1">
      <x:c r="A139" s="21" t="str">
        <x:v>CH-DJ-001</x:v>
      </x:c>
      <x:c r="B139" s="21" t="str">
        <x:v>KB010</x:v>
      </x:c>
      <x:c r="C139" s="21"/>
      <x:c r="D139" s="21" t="str">
        <x:v>Official U.S. DTC</x:v>
      </x:c>
      <x:c r="E139" s="21" t="str">
        <x:v>https://www.drjart.com</x:v>
      </x:c>
      <x:c r="F139" s="21" t="str">
        <x:v>Have &amp; Be USA, Inc. / Dr.Jart+</x:v>
      </x:c>
      <x:c r="G139" s="21" t="str">
        <x:v>Official</x:v>
      </x:c>
      <x:c r="H139" s="31"/>
      <x:c r="I139" s="31"/>
      <x:c r="J139" s="35"/>
      <x:c r="K139" s="33"/>
      <x:c r="L139" s="27"/>
      <x:c r="M139" s="21"/>
      <x:c r="N139" s="21" t="str">
        <x:v>Broad Cicapair, Ceramidin, mask, hydration and BB assortment</x:v>
      </x:c>
      <x:c r="O139" s="21" t="str">
        <x:v>Active</x:v>
      </x:c>
      <x:c r="P139" s="21"/>
      <x:c r="Q139" s="21" t="str">
        <x:v>Official U.S. storefront, brand education, current product pages, store locator and Have &amp; Be USA copyright/footer.</x:v>
      </x:c>
      <x:c r="R139" s="21" t="str">
        <x:v>Not estimated</x:v>
      </x:c>
      <x:c r="S139" s="21" t="str">
        <x:v>First-party channel; no audited U.S. sell-through disclosed.</x:v>
      </x:c>
      <x:c r="T139" s="21" t="str">
        <x:v>High</x:v>
      </x:c>
      <x:c r="U139" s="25" t="str">
        <x:v>2026-07-31</x:v>
      </x:c>
      <x:c r="V139" s="21" t="str">
        <x:v>SRC-DJ-001,SRC-DJ-002,SRC-DJ-003</x:v>
      </x:c>
      <x:c r="W139" s="21" t="str">
        <x:v>Confirm the exact legal seller, inventory owner and wholesale contracting entity.</x:v>
      </x:c>
    </x:row>
    <x:row r="140" ht="120" customHeight="1">
      <x:c r="A140" s="21" t="str">
        <x:v>CH-DJ-002</x:v>
      </x:c>
      <x:c r="B140" s="21" t="str">
        <x:v>KB010</x:v>
      </x:c>
      <x:c r="C140" s="21" t="str">
        <x:v>DJ-P001</x:v>
      </x:c>
      <x:c r="D140" s="21" t="str">
        <x:v>Amazon U.S.</x:v>
      </x:c>
      <x:c r="E140" s="21" t="str">
        <x:v>https://www.amazon.com/dp/B0F7J295X1</x:v>
      </x:c>
      <x:c r="F140" s="21" t="str">
        <x:v>Amazon.com</x:v>
      </x:c>
      <x:c r="G140" s="21" t="str">
        <x:v>Official brand store / Amazon.com seller</x:v>
      </x:c>
      <x:c r="H140" s="31" t="n">
        <x:v>25</x:v>
      </x:c>
      <x:c r="I140" s="31" t="n">
        <x:v>25</x:v>
      </x:c>
      <x:c r="J140" s="35" t="n">
        <x:v>0</x:v>
      </x:c>
      <x:c r="K140" s="33" t="n">
        <x:v>395</x:v>
      </x:c>
      <x:c r="L140" s="27" t="n">
        <x:v>4.2</x:v>
      </x:c>
      <x:c r="M140" s="21" t="str">
        <x:v>#4,484 Beauty; #8 CC Facial Creams</x:v>
      </x:c>
      <x:c r="N140" s="21" t="str">
        <x:v>2K+ bought in past month</x:v>
      </x:c>
      <x:c r="O140" s="21" t="str">
        <x:v>In stock</x:v>
      </x:c>
      <x:c r="P140" s="21"/>
      <x:c r="Q140" s="21" t="str">
        <x:v>Current 15 mL Cicapair mini; sold and shipped by Amazon.com; official Dr.Jart+ store and manufacturer displayed.</x:v>
      </x:c>
      <x:c r="R140" s="21" t="str">
        <x:v>At least $50,000/month at observed price</x:v>
      </x:c>
      <x:c r="S140" s="21" t="str">
        <x:v>2,000 rounded public badge × $25; excludes tax, returns, coupons and sales above the rounded minimum.</x:v>
      </x:c>
      <x:c r="T140" s="21" t="str">
        <x:v>Medium-High</x:v>
      </x:c>
      <x:c r="U140" s="25" t="str">
        <x:v>2026-07-31</x:v>
      </x:c>
      <x:c r="V140" s="21" t="str">
        <x:v>SRC-DJ-020</x:v>
      </x:c>
      <x:c r="W140" s="21" t="str">
        <x:v>Dynamic; do not combine with older/full-size Cicapair variation badges.</x:v>
      </x:c>
    </x:row>
    <x:row r="141" ht="120" customHeight="1">
      <x:c r="A141" s="21" t="str">
        <x:v>CH-DJ-003</x:v>
      </x:c>
      <x:c r="B141" s="21" t="str">
        <x:v>KB010</x:v>
      </x:c>
      <x:c r="C141" s="21" t="str">
        <x:v>DJ-P002</x:v>
      </x:c>
      <x:c r="D141" s="21" t="str">
        <x:v>Amazon U.S.</x:v>
      </x:c>
      <x:c r="E141" s="21" t="str">
        <x:v>https://www.amazon.com/dp/B015RYQBIS</x:v>
      </x:c>
      <x:c r="F141" s="21" t="str">
        <x:v>Amazon.com</x:v>
      </x:c>
      <x:c r="G141" s="21" t="str">
        <x:v>Official brand store / Amazon.com seller</x:v>
      </x:c>
      <x:c r="H141" s="31" t="n">
        <x:v>52</x:v>
      </x:c>
      <x:c r="I141" s="31" t="n">
        <x:v>52</x:v>
      </x:c>
      <x:c r="J141" s="35" t="n">
        <x:v>0</x:v>
      </x:c>
      <x:c r="K141" s="33" t="n">
        <x:v>2242</x:v>
      </x:c>
      <x:c r="L141" s="27" t="n">
        <x:v>4.7</x:v>
      </x:c>
      <x:c r="M141" s="21" t="str">
        <x:v>#9,661 Beauty; #257 Face Moisturizers</x:v>
      </x:c>
      <x:c r="N141" s="21" t="str">
        <x:v>600+ bought in past month</x:v>
      </x:c>
      <x:c r="O141" s="21" t="str">
        <x:v>In stock</x:v>
      </x:c>
      <x:c r="P141" s="21"/>
      <x:c r="Q141" s="21" t="str">
        <x:v>Ceramidin 50 mL; sold and shipped by Amazon.com; official store and manufacturer displayed.</x:v>
      </x:c>
      <x:c r="R141" s="21" t="str">
        <x:v>At least $31,200/month at observed price</x:v>
      </x:c>
      <x:c r="S141" s="21" t="str">
        <x:v>600 rounded public badge × $52.</x:v>
      </x:c>
      <x:c r="T141" s="21" t="str">
        <x:v>Medium-High</x:v>
      </x:c>
      <x:c r="U141" s="25" t="str">
        <x:v>2026-07-31</x:v>
      </x:c>
      <x:c r="V141" s="21" t="str">
        <x:v>SRC-DJ-021</x:v>
      </x:c>
      <x:c r="W141" s="21" t="str">
        <x:v>Dynamic public sales proxy, not audited revenue.</x:v>
      </x:c>
    </x:row>
    <x:row r="142" ht="120" customHeight="1">
      <x:c r="A142" s="21" t="str">
        <x:v>CH-DJ-004</x:v>
      </x:c>
      <x:c r="B142" s="21" t="str">
        <x:v>KB010</x:v>
      </x:c>
      <x:c r="C142" s="21" t="str">
        <x:v>DJ-P003</x:v>
      </x:c>
      <x:c r="D142" s="21" t="str">
        <x:v>Amazon U.S.</x:v>
      </x:c>
      <x:c r="E142" s="21" t="str">
        <x:v>https://www.amazon.com/dp/B0D2GG3M5V</x:v>
      </x:c>
      <x:c r="F142" s="21" t="str">
        <x:v>Amazon.com</x:v>
      </x:c>
      <x:c r="G142" s="21" t="str">
        <x:v>Official brand store / Amazon.com seller</x:v>
      </x:c>
      <x:c r="H142" s="31" t="n">
        <x:v>52</x:v>
      </x:c>
      <x:c r="I142" s="31" t="n">
        <x:v>52</x:v>
      </x:c>
      <x:c r="J142" s="35" t="n">
        <x:v>0</x:v>
      </x:c>
      <x:c r="K142" s="33" t="n">
        <x:v>644</x:v>
      </x:c>
      <x:c r="L142" s="27" t="n">
        <x:v>4.5</x:v>
      </x:c>
      <x:c r="M142" s="21" t="str">
        <x:v>#9,483 Beauty; #254 Face Moisturizers</x:v>
      </x:c>
      <x:c r="N142" s="21" t="str">
        <x:v>800+ bought in past month</x:v>
      </x:c>
      <x:c r="O142" s="21" t="str">
        <x:v>In stock</x:v>
      </x:c>
      <x:c r="P142" s="21"/>
      <x:c r="Q142" s="21" t="str">
        <x:v>Cicapair Sensitive Skin Moisturizer 50 mL; sold and shipped by Amazon.com.</x:v>
      </x:c>
      <x:c r="R142" s="21" t="str">
        <x:v>At least $41,600/month at observed price</x:v>
      </x:c>
      <x:c r="S142" s="21" t="str">
        <x:v>800 rounded public badge × $52.</x:v>
      </x:c>
      <x:c r="T142" s="21" t="str">
        <x:v>Medium-High</x:v>
      </x:c>
      <x:c r="U142" s="25" t="str">
        <x:v>2026-07-31</x:v>
      </x:c>
      <x:c r="V142" s="21" t="str">
        <x:v>SRC-DJ-022</x:v>
      </x:c>
      <x:c r="W142" s="21" t="str">
        <x:v>Dynamic public sales proxy, not audited revenue.</x:v>
      </x:c>
    </x:row>
    <x:row r="143" ht="120" customHeight="1">
      <x:c r="A143" s="21" t="str">
        <x:v>CH-DJ-005</x:v>
      </x:c>
      <x:c r="B143" s="21" t="str">
        <x:v>KB010</x:v>
      </x:c>
      <x:c r="C143" s="21" t="str">
        <x:v>DJ-P004</x:v>
      </x:c>
      <x:c r="D143" s="21" t="str">
        <x:v>Amazon U.S.</x:v>
      </x:c>
      <x:c r="E143" s="21" t="str">
        <x:v>https://www.amazon.com/dp/B0FX3BBXYR</x:v>
      </x:c>
      <x:c r="F143" s="21" t="str">
        <x:v>Amazon.com</x:v>
      </x:c>
      <x:c r="G143" s="21" t="str">
        <x:v>Official brand store / Amazon.com seller</x:v>
      </x:c>
      <x:c r="H143" s="31" t="n">
        <x:v>16.5</x:v>
      </x:c>
      <x:c r="I143" s="31" t="n">
        <x:v>16.5</x:v>
      </x:c>
      <x:c r="J143" s="35" t="n">
        <x:v>0</x:v>
      </x:c>
      <x:c r="K143" s="33" t="n">
        <x:v>124</x:v>
      </x:c>
      <x:c r="L143" s="27" t="n">
        <x:v>4.6</x:v>
      </x:c>
      <x:c r="M143" s="21" t="str">
        <x:v>#6,819 Beauty; #46 Facial Masks</x:v>
      </x:c>
      <x:c r="N143" s="21" t="str">
        <x:v>1K+ bought in past month</x:v>
      </x:c>
      <x:c r="O143" s="21" t="str">
        <x:v>In stock</x:v>
      </x:c>
      <x:c r="P143" s="21"/>
      <x:c r="Q143" s="21" t="str">
        <x:v>Cryo Rubber Moisturizing Mask; sold and shipped by Amazon.com; manufacturer Have &amp; Be USA, Inc. displayed.</x:v>
      </x:c>
      <x:c r="R143" s="21" t="str">
        <x:v>At least $16,500/month at observed price</x:v>
      </x:c>
      <x:c r="S143" s="21" t="str">
        <x:v>1,000 rounded public badge × $16.50.</x:v>
      </x:c>
      <x:c r="T143" s="21" t="str">
        <x:v>Medium-High</x:v>
      </x:c>
      <x:c r="U143" s="25" t="str">
        <x:v>2026-07-31</x:v>
      </x:c>
      <x:c r="V143" s="21" t="str">
        <x:v>SRC-DJ-023</x:v>
      </x:c>
      <x:c r="W143" s="21" t="str">
        <x:v>Dynamic; new ASIN review depth is modest.</x:v>
      </x:c>
    </x:row>
    <x:row r="144" ht="120" customHeight="1">
      <x:c r="A144" s="21" t="str">
        <x:v>CH-DJ-006</x:v>
      </x:c>
      <x:c r="B144" s="21" t="str">
        <x:v>KB010</x:v>
      </x:c>
      <x:c r="C144" s="21" t="str">
        <x:v>DJ-P005</x:v>
      </x:c>
      <x:c r="D144" s="21" t="str">
        <x:v>Amazon U.S.</x:v>
      </x:c>
      <x:c r="E144" s="21" t="str">
        <x:v>https://www.amazon.com/dp/B0D5YY8HWK</x:v>
      </x:c>
      <x:c r="F144" s="21" t="str">
        <x:v>Amazon.com</x:v>
      </x:c>
      <x:c r="G144" s="21" t="str">
        <x:v>Official brand store / Amazon.com seller</x:v>
      </x:c>
      <x:c r="H144" s="31" t="n">
        <x:v>49</x:v>
      </x:c>
      <x:c r="I144" s="31" t="n">
        <x:v>49</x:v>
      </x:c>
      <x:c r="J144" s="35" t="n">
        <x:v>0</x:v>
      </x:c>
      <x:c r="K144" s="33" t="n">
        <x:v>371</x:v>
      </x:c>
      <x:c r="L144" s="27" t="n">
        <x:v>4.5</x:v>
      </x:c>
      <x:c r="M144" s="21" t="str">
        <x:v>#7,762 Beauty; #9 BB Facial Creams</x:v>
      </x:c>
      <x:c r="N144" s="21" t="str">
        <x:v>1K+ bought in past month</x:v>
      </x:c>
      <x:c r="O144" s="21" t="str">
        <x:v>In stock</x:v>
      </x:c>
      <x:c r="P144" s="21"/>
      <x:c r="Q144" s="21" t="str">
        <x:v>Premium BB SPF 40 Fair-Light 40 mL; sold and shipped by Amazon.com.</x:v>
      </x:c>
      <x:c r="R144" s="21" t="str">
        <x:v>At least $49,000/month at observed price</x:v>
      </x:c>
      <x:c r="S144" s="21" t="str">
        <x:v>1,000 rounded public badge × $49.</x:v>
      </x:c>
      <x:c r="T144" s="21" t="str">
        <x:v>Medium-High</x:v>
      </x:c>
      <x:c r="U144" s="25" t="str">
        <x:v>2026-07-31</x:v>
      </x:c>
      <x:c r="V144" s="21" t="str">
        <x:v>SRC-DJ-024</x:v>
      </x:c>
      <x:c r="W144" s="21" t="str">
        <x:v>Dynamic; verify each shade ASIN/NDC and exact Drug Facts before supply.</x:v>
      </x:c>
    </x:row>
    <x:row r="145" ht="120" customHeight="1">
      <x:c r="A145" s="21" t="str">
        <x:v>CH-DJ-007</x:v>
      </x:c>
      <x:c r="B145" s="21" t="str">
        <x:v>KB010</x:v>
      </x:c>
      <x:c r="C145" s="21"/>
      <x:c r="D145" s="21" t="str">
        <x:v>Amazon Premium Beauty Brand Store</x:v>
      </x:c>
      <x:c r="E145" s="21" t="str">
        <x:v>https://www.amazon.com/s?k=Dr.Jart%2B</x:v>
      </x:c>
      <x:c r="F145" s="21" t="str">
        <x:v>Amazon.com / Dr.Jart+</x:v>
      </x:c>
      <x:c r="G145" s="21" t="str">
        <x:v>Official U.S. launch and brand store</x:v>
      </x:c>
      <x:c r="H145" s="31"/>
      <x:c r="I145" s="31"/>
      <x:c r="J145" s="35"/>
      <x:c r="K145" s="33"/>
      <x:c r="L145" s="27"/>
      <x:c r="M145" s="21"/>
      <x:c r="N145" s="21" t="str">
        <x:v>81 search results; five sampled heroes total at least 5,400 units/month</x:v>
      </x:c>
      <x:c r="O145" s="21" t="str">
        <x:v>Active</x:v>
      </x:c>
      <x:c r="P145" s="21"/>
      <x:c r="Q145" s="21" t="str">
        <x:v>Estée Lauder announced the official U.S. Amazon Premium Beauty launch in July 2024; current direct pages showed Amazon.com as seller and shipper.</x:v>
      </x:c>
      <x:c r="R145" s="21" t="str">
        <x:v>At least $188,300/month for five distinct sampled hero ASINs</x:v>
      </x:c>
      <x:c r="S145" s="21" t="str">
        <x:v>Non-overlapping rounded purchase badges × observed prices; excludes all other SKUs, taxes, returns, coupons and badge volume above minimums.</x:v>
      </x:c>
      <x:c r="T145" s="21" t="str">
        <x:v>Medium-High</x:v>
      </x:c>
      <x:c r="U145" s="25" t="str">
        <x:v>2026-07-31</x:v>
      </x:c>
      <x:c r="V145" s="21" t="str">
        <x:v>SRC-DJ-009,SRC-DJ-025</x:v>
      </x:c>
      <x:c r="W145" s="21" t="str">
        <x:v>Do not add older/new Cicapair versions that may duplicate demand.</x:v>
      </x:c>
    </x:row>
    <x:row r="146" ht="120" customHeight="1">
      <x:c r="A146" s="21" t="str">
        <x:v>CH-DJ-008</x:v>
      </x:c>
      <x:c r="B146" s="21" t="str">
        <x:v>KB010</x:v>
      </x:c>
      <x:c r="C146" s="21"/>
      <x:c r="D146" s="21" t="str">
        <x:v>TikTok Shop U.S.</x:v>
      </x:c>
      <x:c r="E146" s="21" t="str">
        <x:v>https://www.tiktok.com/shop/store/dr-jart/7494181393175709160</x:v>
      </x:c>
      <x:c r="F146" s="21" t="str">
        <x:v>Dr.Jart+</x:v>
      </x:c>
      <x:c r="G146" s="21" t="str">
        <x:v>Verified official Shop</x:v>
      </x:c>
      <x:c r="H146" s="31"/>
      <x:c r="I146" s="31"/>
      <x:c r="J146" s="35"/>
      <x:c r="K146" s="33"/>
      <x:c r="L146" s="27" t="n">
        <x:v>4.6</x:v>
      </x:c>
      <x:c r="M146" s="21"/>
      <x:c r="N146" s="21" t="str">
        <x:v>17.1K sold; 94.0K+ followers</x:v>
      </x:c>
      <x:c r="O146" s="21" t="str">
        <x:v>Active</x:v>
      </x:c>
      <x:c r="P146" s="21"/>
      <x:c r="Q146" s="21" t="str">
        <x:v>Estée Lauder disclosed an October 2025 U.S. TikTok Shop debut. Current official Shop display showed a 4.6 rating, 17.1K sold and 94.0K+ followers.</x:v>
      </x:c>
      <x:c r="R146" s="21" t="str">
        <x:v>Not estimated</x:v>
      </x:c>
      <x:c r="S146" s="21" t="str">
        <x:v>Cumulative store display; search pages mix official and third-party items.</x:v>
      </x:c>
      <x:c r="T146" s="21" t="str">
        <x:v>Medium-High</x:v>
      </x:c>
      <x:c r="U146" s="25" t="str">
        <x:v>2026-07-31</x:v>
      </x:c>
      <x:c r="V146" s="21" t="str">
        <x:v>SRC-DJ-010,SRC-DJ-012</x:v>
      </x:c>
      <x:c r="W146" s="21" t="str">
        <x:v>Exact product attribution and return-adjusted revenue are not public.</x:v>
      </x:c>
    </x:row>
    <x:row r="147" ht="120" customHeight="1">
      <x:c r="A147" s="21" t="str">
        <x:v>CH-DJ-009</x:v>
      </x:c>
      <x:c r="B147" s="21" t="str">
        <x:v>KB010</x:v>
      </x:c>
      <x:c r="C147" s="21"/>
      <x:c r="D147" s="21" t="str">
        <x:v>Instagram</x:v>
      </x:c>
      <x:c r="E147" s="21" t="str">
        <x:v>https://www.instagram.com/drjart/</x:v>
      </x:c>
      <x:c r="F147" s="21" t="str">
        <x:v>@drjart</x:v>
      </x:c>
      <x:c r="G147" s="21" t="str">
        <x:v>Official North America profile</x:v>
      </x:c>
      <x:c r="H147" s="31"/>
      <x:c r="I147" s="31"/>
      <x:c r="J147" s="35"/>
      <x:c r="K147" s="33" t="n">
        <x:v>4432</x:v>
      </x:c>
      <x:c r="L147" s="27"/>
      <x:c r="M147" s="21"/>
      <x:c r="N147" s="21" t="str">
        <x:v>513K followers; 772 following; 4,432 posts</x:v>
      </x:c>
      <x:c r="O147" s="21" t="str">
        <x:v>Active</x:v>
      </x:c>
      <x:c r="P147" s="21"/>
      <x:c r="Q147" s="21" t="str">
        <x:v>Profile identifies Dr.Jart+ North America and links availability at Sephora, Sephora Canada, Kohl's, Amazon and drjart.com.</x:v>
      </x:c>
      <x:c r="R147" s="21" t="str">
        <x:v>Not estimated</x:v>
      </x:c>
      <x:c r="S147" s="21" t="str">
        <x:v>Awareness channel only.</x:v>
      </x:c>
      <x:c r="T147" s="21" t="str">
        <x:v>High</x:v>
      </x:c>
      <x:c r="U147" s="25" t="str">
        <x:v>2026-07-31</x:v>
      </x:c>
      <x:c r="V147" s="21" t="str">
        <x:v>SRC-DJ-011</x:v>
      </x:c>
      <x:c r="W147" s="21" t="str">
        <x:v>Do not infer sales from follower count.</x:v>
      </x:c>
    </x:row>
    <x:row r="148" ht="120" customHeight="1">
      <x:c r="A148" s="21" t="str">
        <x:v>CH-DJ-010</x:v>
      </x:c>
      <x:c r="B148" s="21" t="str">
        <x:v>KB010</x:v>
      </x:c>
      <x:c r="C148" s="21"/>
      <x:c r="D148" s="21" t="str">
        <x:v>Sephora U.S.</x:v>
      </x:c>
      <x:c r="E148" s="21" t="str">
        <x:v>https://www.sephora.com/brand/dr-jart</x:v>
      </x:c>
      <x:c r="F148" s="21" t="str">
        <x:v>Sephora</x:v>
      </x:c>
      <x:c r="G148" s="21" t="str">
        <x:v>Authorized national prestige retailer</x:v>
      </x:c>
      <x:c r="H148" s="31"/>
      <x:c r="I148" s="31"/>
      <x:c r="J148" s="35"/>
      <x:c r="K148" s="33"/>
      <x:c r="L148" s="27"/>
      <x:c r="M148" s="21"/>
      <x:c r="N148" s="21" t="str">
        <x:v>About 47 products/results; deep Cicapair, Ceramidin, mask and BB assortment</x:v>
      </x:c>
      <x:c r="O148" s="21" t="str">
        <x:v>Active</x:v>
      </x:c>
      <x:c r="P148" s="21"/>
      <x:c r="Q148" s="21" t="str">
        <x:v>Sephora provides broad official placement, high review counts and strong loves for Premium BB; Cicapair and Ceramidin remain core franchises.</x:v>
      </x:c>
      <x:c r="R148" s="21" t="str">
        <x:v>Not estimated</x:v>
      </x:c>
      <x:c r="S148" s="21" t="str">
        <x:v>Retailer assortment, reviews and loves; no SKU-level sell-through disclosed.</x:v>
      </x:c>
      <x:c r="T148" s="21" t="str">
        <x:v>High</x:v>
      </x:c>
      <x:c r="U148" s="25" t="str">
        <x:v>2026-07-31</x:v>
      </x:c>
      <x:c r="V148" s="21" t="str">
        <x:v>SRC-DJ-029,SRC-DJ-030,SRC-DJ-031,SRC-DJ-032,SRC-DJ-033</x:v>
      </x:c>
      <x:c r="W148" s="21" t="str">
        <x:v>Dense prestige coverage materially limits new-distributor whitespace.</x:v>
      </x:c>
    </x:row>
    <x:row r="149" ht="120" customHeight="1">
      <x:c r="A149" s="21" t="str">
        <x:v>CH-DJ-011</x:v>
      </x:c>
      <x:c r="B149" s="21" t="str">
        <x:v>KB010</x:v>
      </x:c>
      <x:c r="C149" s="21"/>
      <x:c r="D149" s="21" t="str">
        <x:v>Sephora at Kohl's</x:v>
      </x:c>
      <x:c r="E149" s="21" t="str">
        <x:v>https://www.kohls.com/catalog/sephora-dr-jart-korean-beauty-combination-skin-cream-skincare.jsp</x:v>
      </x:c>
      <x:c r="F149" s="21" t="str">
        <x:v>Kohl's / Sephora</x:v>
      </x:c>
      <x:c r="G149" s="21" t="str">
        <x:v>Authorized national specialty/store network</x:v>
      </x:c>
      <x:c r="H149" s="31"/>
      <x:c r="I149" s="31"/>
      <x:c r="J149" s="35"/>
      <x:c r="K149" s="33"/>
      <x:c r="L149" s="27"/>
      <x:c r="M149" s="21"/>
      <x:c r="N149" s="21" t="str">
        <x:v>10 relevant results in captured query</x:v>
      </x:c>
      <x:c r="O149" s="21" t="str">
        <x:v>Active</x:v>
      </x:c>
      <x:c r="P149" s="21"/>
      <x:c r="Q149" s="21" t="str">
        <x:v>Captured listings included Cicapair $25-$54, Ceramidin $20-$59 and Cicapair Moisturizer $52 with large review aggregates.</x:v>
      </x:c>
      <x:c r="R149" s="21" t="str">
        <x:v>Not estimated</x:v>
      </x:c>
      <x:c r="S149" s="21" t="str">
        <x:v>Retailer page and official Instagram availability statement.</x:v>
      </x:c>
      <x:c r="T149" s="21" t="str">
        <x:v>High</x:v>
      </x:c>
      <x:c r="U149" s="25" t="str">
        <x:v>2026-07-31</x:v>
      </x:c>
      <x:c r="V149" s="21" t="str">
        <x:v>SRC-DJ-011,SRC-DJ-034</x:v>
      </x:c>
      <x:c r="W149" s="21" t="str">
        <x:v>Adds broad physical access and further reduces independent-account novelty.</x:v>
      </x:c>
    </x:row>
    <x:row r="150" ht="120" customHeight="1">
      <x:c r="A150" s="21" t="str">
        <x:v>CH-DJ-012</x:v>
      </x:c>
      <x:c r="B150" s="21" t="str">
        <x:v>KB010</x:v>
      </x:c>
      <x:c r="C150" s="21" t="str">
        <x:v>DJ-P002</x:v>
      </x:c>
      <x:c r="D150" s="21" t="str">
        <x:v>Target Plus</x:v>
      </x:c>
      <x:c r="E150" s="21" t="str">
        <x:v>https://www.target.com/p/-/A-91377262</x:v>
      </x:c>
      <x:c r="F150" s="21" t="str">
        <x:v>SleekShop</x:v>
      </x:c>
      <x:c r="G150" s="21" t="str">
        <x:v>Third-party seller; authorization not confirmed</x:v>
      </x:c>
      <x:c r="H150" s="31" t="n">
        <x:v>52</x:v>
      </x:c>
      <x:c r="I150" s="31" t="n">
        <x:v>52.99</x:v>
      </x:c>
      <x:c r="J150" s="35" t="n">
        <x:v>-0.019</x:v>
      </x:c>
      <x:c r="K150" s="33"/>
      <x:c r="L150" s="27"/>
      <x:c r="M150" s="21"/>
      <x:c r="N150" s="21" t="str">
        <x:v>Listing observed</x:v>
      </x:c>
      <x:c r="O150" s="21" t="str">
        <x:v>Marketplace listing</x:v>
      </x:c>
      <x:c r="P150" s="21"/>
      <x:c r="Q150" s="21" t="str">
        <x:v>Target page stated sold and shipped by SleekShop; listing specifications included an apparent category error, reinforcing catalog/provenance risk.</x:v>
      </x:c>
      <x:c r="R150" s="21" t="str">
        <x:v>Not estimated</x:v>
      </x:c>
      <x:c r="S150" s="21" t="str">
        <x:v>Third-party marketplace listing only.</x:v>
      </x:c>
      <x:c r="T150" s="21" t="str">
        <x:v>Medium-High</x:v>
      </x:c>
      <x:c r="U150" s="25" t="str">
        <x:v>2026-07-31</x:v>
      </x:c>
      <x:c r="V150" s="21" t="str">
        <x:v>SRC-DJ-035</x:v>
      </x:c>
      <x:c r="W150" s="21" t="str">
        <x:v>Do not treat as an authorized Target account without written brand confirmation.</x:v>
      </x:c>
    </x:row>
    <x:row r="151" ht="120" customHeight="1">
      <x:c r="A151" s="21" t="str">
        <x:v>CH-DJ-013</x:v>
      </x:c>
      <x:c r="B151" s="21" t="str">
        <x:v>KB010</x:v>
      </x:c>
      <x:c r="C151" s="21"/>
      <x:c r="D151" s="21" t="str">
        <x:v>Walmart Marketplace</x:v>
      </x:c>
      <x:c r="E151" s="21" t="str">
        <x:v>https://www.walmart.com/c/kp/jart</x:v>
      </x:c>
      <x:c r="F151" s="21" t="str">
        <x:v>Third-party sellers vary</x:v>
      </x:c>
      <x:c r="G151" s="21" t="str">
        <x:v>Authorization not confirmed</x:v>
      </x:c>
      <x:c r="H151" s="31"/>
      <x:c r="I151" s="31"/>
      <x:c r="J151" s="35"/>
      <x:c r="K151" s="33"/>
      <x:c r="L151" s="27"/>
      <x:c r="M151" s="21"/>
      <x:c r="N151" s="21" t="str">
        <x:v>About 25 results; discounted Cicapair and Ceramidin listings observed</x:v>
      </x:c>
      <x:c r="O151" s="21" t="str">
        <x:v>Marketplace listings</x:v>
      </x:c>
      <x:c r="P151" s="21"/>
      <x:c r="Q151" s="21" t="str">
        <x:v>Walmart displayed discounted Dr.Jart+ offers, including Ceramidin materially below official MSRP; seller authorization and inventory provenance were not established.</x:v>
      </x:c>
      <x:c r="R151" s="21" t="str">
        <x:v>Not estimated</x:v>
      </x:c>
      <x:c r="S151" s="21" t="str">
        <x:v>Third-party marketplace display only.</x:v>
      </x:c>
      <x:c r="T151" s="21" t="str">
        <x:v>Medium-High</x:v>
      </x:c>
      <x:c r="U151" s="25" t="str">
        <x:v>2026-07-31</x:v>
      </x:c>
      <x:c r="V151" s="21" t="str">
        <x:v>SRC-DJ-036</x:v>
      </x:c>
      <x:c r="W151" s="21" t="str">
        <x:v>Treat as gray-market, counterfeit and channel-conflict evidence until vendor documentation proves authorization.</x:v>
      </x:c>
    </x:row>
    <x:row r="152" ht="120" customHeight="1">
      <x:c r="A152" s="21" t="str">
        <x:v>CH-DJ-014</x:v>
      </x:c>
      <x:c r="B152" s="21" t="str">
        <x:v>KB010</x:v>
      </x:c>
      <x:c r="C152" s="21"/>
      <x:c r="D152" s="21" t="str">
        <x:v>Official Store Locator / Physical Retail</x:v>
      </x:c>
      <x:c r="E152" s="21" t="str">
        <x:v>https://www.drjart.com/stores</x:v>
      </x:c>
      <x:c r="F152" s="21" t="str">
        <x:v>Have &amp; Be USA / listed retailers</x:v>
      </x:c>
      <x:c r="G152" s="21" t="str">
        <x:v>Official discovery channel</x:v>
      </x:c>
      <x:c r="H152" s="31"/>
      <x:c r="I152" s="31"/>
      <x:c r="J152" s="35"/>
      <x:c r="K152" s="33"/>
      <x:c r="L152" s="27"/>
      <x:c r="M152" s="21"/>
      <x:c r="N152" s="21" t="str">
        <x:v>U.S. store search available</x:v>
      </x:c>
      <x:c r="O152" s="21" t="str">
        <x:v>Active</x:v>
      </x:c>
      <x:c r="P152" s="21"/>
      <x:c r="Q152" s="21" t="str">
        <x:v>Official store locator corroborates physical-retail support under Have &amp; Be USA.</x:v>
      </x:c>
      <x:c r="R152" s="21" t="str">
        <x:v>Not estimated</x:v>
      </x:c>
      <x:c r="S152" s="21" t="str">
        <x:v>Official store-locator availability; exact store count was not extracted.</x:v>
      </x:c>
      <x:c r="T152" s="21" t="str">
        <x:v>High</x:v>
      </x:c>
      <x:c r="U152" s="25" t="str">
        <x:v>2026-07-31</x:v>
      </x:c>
      <x:c r="V152" s="21" t="str">
        <x:v>SRC-DJ-013</x:v>
      </x:c>
      <x:c r="W152" s="21" t="str">
        <x:v>Request current authorized-account list and territory exclusions in writing.</x:v>
      </x:c>
    </x:row>
    <x:row r="153" ht="120" customHeight="1">
      <x:c r="A153" s="21" t="str">
        <x:v>CH-DJ-015</x:v>
      </x:c>
      <x:c r="B153" s="21" t="str">
        <x:v>KB010</x:v>
      </x:c>
      <x:c r="C153" s="21"/>
      <x:c r="D153" s="21" t="str">
        <x:v>Estée Lauder / Have &amp; Be U.S. Infrastructure</x:v>
      </x:c>
      <x:c r="E153" s="21" t="str">
        <x:v>https://www.elcompanies.com/en/our-brands/dr-jart-plus</x:v>
      </x:c>
      <x:c r="F153" s="21" t="str">
        <x:v>The Estée Lauder Companies / Have &amp; Be</x:v>
      </x:c>
      <x:c r="G153" s="21" t="str">
        <x:v>Brand owner and operating infrastructure</x:v>
      </x:c>
      <x:c r="H153" s="31"/>
      <x:c r="I153" s="31"/>
      <x:c r="J153" s="35"/>
      <x:c r="K153" s="33"/>
      <x:c r="L153" s="27"/>
      <x:c r="M153" s="21"/>
      <x:c r="N153" s="21" t="str">
        <x:v>Wholly owned since December 2019</x:v>
      </x:c>
      <x:c r="O153" s="21" t="str">
        <x:v>Active</x:v>
      </x:c>
      <x:c r="P153" s="21"/>
      <x:c r="Q153" s="21" t="str">
        <x:v>SEC and Estée Lauder materials confirm ownership, acquisition scale and direct brand infrastructure; Have &amp; Be USA appears on official U.S. pages.</x:v>
      </x:c>
      <x:c r="R153" s="21" t="str">
        <x:v>Not estimated</x:v>
      </x:c>
      <x:c r="S153" s="21" t="str">
        <x:v>Ownership/operating context, not a consumer sell-through channel.</x:v>
      </x:c>
      <x:c r="T153" s="21" t="str">
        <x:v>High</x:v>
      </x:c>
      <x:c r="U153" s="25" t="str">
        <x:v>2026-07-31</x:v>
      </x:c>
      <x:c r="V153" s="21" t="str">
        <x:v>SRC-DJ-006,SRC-DJ-007,SRC-DJ-008</x:v>
      </x:c>
      <x:c r="W153" s="21" t="str">
        <x:v>This infrastructure makes broad open distribution unlikely; require protected written rights.</x:v>
      </x:c>
    </x:row>
    <x:row r="154" ht="126" customHeight="1">
      <x:c r="A154" s="21" t="str">
        <x:v>CH-TOR-001</x:v>
      </x:c>
      <x:c r="B154" s="21" t="str">
        <x:v>KB011</x:v>
      </x:c>
      <x:c r="C154" s="21"/>
      <x:c r="D154" s="21" t="str">
        <x:v>Official U.S. DTC</x:v>
      </x:c>
      <x:c r="E154" s="21" t="str">
        <x:v>https://torriden.us</x:v>
      </x:c>
      <x:c r="F154" s="21" t="str">
        <x:v>Torriden Co., Ltd. / Torriden</x:v>
      </x:c>
      <x:c r="G154" s="21" t="str">
        <x:v>Official</x:v>
      </x:c>
      <x:c r="H154" s="31"/>
      <x:c r="I154" s="31"/>
      <x:c r="J154" s="35"/>
      <x:c r="K154" s="33"/>
      <x:c r="L154" s="27"/>
      <x:c r="M154" s="21"/>
      <x:c r="N154" s="21" t="str">
        <x:v>Broad DIVE IN, BALANCEFUL, SOLID IN and CELLMAZING assortment</x:v>
      </x:c>
      <x:c r="O154" s="21" t="str">
        <x:v>Active</x:v>
      </x:c>
      <x:c r="P154" s="21"/>
      <x:c r="Q154" s="21" t="str">
        <x:v>Official U.S. storefront, current product pages, rewards, promotions, social links and Korean company identity.</x:v>
      </x:c>
      <x:c r="R154" s="21" t="str">
        <x:v>Not estimated</x:v>
      </x:c>
      <x:c r="S154" s="21" t="str">
        <x:v>First-party channel; no audited U.S. sell-through or legal U.S. seller identity disclosed.</x:v>
      </x:c>
      <x:c r="T154" s="21" t="str">
        <x:v>High</x:v>
      </x:c>
      <x:c r="U154" s="25" t="str">
        <x:v>2026-08-01</x:v>
      </x:c>
      <x:c r="V154" s="21" t="str">
        <x:v>SRC-TOR-001,SRC-TOR-002,SRC-TOR-004</x:v>
      </x:c>
      <x:c r="W154" s="21" t="str">
        <x:v>Confirm the exact U.S. merchant of record, importer, warehouse and responsible person.</x:v>
      </x:c>
    </x:row>
    <x:row r="155" ht="126" customHeight="1">
      <x:c r="A155" s="21" t="str">
        <x:v>CH-TOR-002</x:v>
      </x:c>
      <x:c r="B155" s="21" t="str">
        <x:v>KB011</x:v>
      </x:c>
      <x:c r="C155" s="21" t="str">
        <x:v>TOR-P001</x:v>
      </x:c>
      <x:c r="D155" s="21" t="str">
        <x:v>Amazon U.S.</x:v>
      </x:c>
      <x:c r="E155" s="21" t="str">
        <x:v>https://www.amazon.com/dp/B07WZ2YTDP</x:v>
      </x:c>
      <x:c r="F155" s="21" t="str">
        <x:v>TORRIDEN</x:v>
      </x:c>
      <x:c r="G155" s="21" t="str">
        <x:v>Official brand seller observed</x:v>
      </x:c>
      <x:c r="H155" s="31" t="n">
        <x:v>24</x:v>
      </x:c>
      <x:c r="I155" s="31" t="n">
        <x:v>22.5</x:v>
      </x:c>
      <x:c r="J155" s="35" t="n">
        <x:v>0.0625</x:v>
      </x:c>
      <x:c r="K155" s="33" t="n">
        <x:v>4207</x:v>
      </x:c>
      <x:c r="L155" s="27" t="n">
        <x:v>4.5</x:v>
      </x:c>
      <x:c r="M155" s="21" t="str">
        <x:v>#1,841 Beauty; #56 Facial Serums</x:v>
      </x:c>
      <x:c r="N155" s="21" t="str">
        <x:v>9K+ bought in past month</x:v>
      </x:c>
      <x:c r="O155" s="21" t="str">
        <x:v>In stock</x:v>
      </x:c>
      <x:c r="P155" s="21"/>
      <x:c r="Q155" s="21" t="str">
        <x:v>DIVE IN Serum 50 mL; sold by TORRIDEN and shipped by Amazon; official-store context observed.</x:v>
      </x:c>
      <x:c r="R155" s="21" t="str">
        <x:v>At least $202,500/month at observed price</x:v>
      </x:c>
      <x:c r="S155" s="21" t="str">
        <x:v>9,000 rounded public purchase badge × $22.50; excludes tax, returns, coupons and units above the minimum.</x:v>
      </x:c>
      <x:c r="T155" s="21" t="str">
        <x:v>Medium-High</x:v>
      </x:c>
      <x:c r="U155" s="25" t="str">
        <x:v>2026-08-01</x:v>
      </x:c>
      <x:c r="V155" s="21" t="str">
        <x:v>SRC-TOR-016</x:v>
      </x:c>
      <x:c r="W155" s="21" t="str">
        <x:v>ASIN B07WZ2YTDP; dynamic public proxy, not audited revenue.</x:v>
      </x:c>
    </x:row>
    <x:row r="156" ht="126" customHeight="1">
      <x:c r="A156" s="21" t="str">
        <x:v>CH-TOR-003</x:v>
      </x:c>
      <x:c r="B156" s="21" t="str">
        <x:v>KB011</x:v>
      </x:c>
      <x:c r="C156" s="21" t="str">
        <x:v>TOR-P002</x:v>
      </x:c>
      <x:c r="D156" s="21" t="str">
        <x:v>Amazon U.S.</x:v>
      </x:c>
      <x:c r="E156" s="21" t="str">
        <x:v>https://www.amazon.com/dp/B0CMH3QM8V</x:v>
      </x:c>
      <x:c r="F156" s="21" t="str">
        <x:v>TORRIDEN</x:v>
      </x:c>
      <x:c r="G156" s="21" t="str">
        <x:v>Official brand seller observed</x:v>
      </x:c>
      <x:c r="H156" s="31" t="n">
        <x:v>27</x:v>
      </x:c>
      <x:c r="I156" s="31" t="n">
        <x:v>27</x:v>
      </x:c>
      <x:c r="J156" s="35" t="n">
        <x:v>0</x:v>
      </x:c>
      <x:c r="K156" s="33" t="n">
        <x:v>253</x:v>
      </x:c>
      <x:c r="L156" s="27" t="n">
        <x:v>4.5</x:v>
      </x:c>
      <x:c r="M156" s="21"/>
      <x:c r="N156" s="21" t="str">
        <x:v>1K+ bought in past month</x:v>
      </x:c>
      <x:c r="O156" s="21" t="str">
        <x:v>In stock</x:v>
      </x:c>
      <x:c r="P156" s="21"/>
      <x:c r="Q156" s="21" t="str">
        <x:v>Current DIVE IN Soothing Cream tube 100 mL; sold by TORRIDEN.</x:v>
      </x:c>
      <x:c r="R156" s="21" t="str">
        <x:v>At least $27,000/month at observed price</x:v>
      </x:c>
      <x:c r="S156" s="21" t="str">
        <x:v>1,000 rounded public purchase badge × $27.</x:v>
      </x:c>
      <x:c r="T156" s="21" t="str">
        <x:v>Medium-High</x:v>
      </x:c>
      <x:c r="U156" s="25" t="str">
        <x:v>2026-08-01</x:v>
      </x:c>
      <x:c r="V156" s="21" t="str">
        <x:v>SRC-TOR-017</x:v>
      </x:c>
      <x:c r="W156" s="21" t="str">
        <x:v>ASIN B0CMH3QM8V; use tube/version-specific files.</x:v>
      </x:c>
    </x:row>
    <x:row r="157" ht="126" customHeight="1">
      <x:c r="A157" s="21" t="str">
        <x:v>CH-TOR-004</x:v>
      </x:c>
      <x:c r="B157" s="21" t="str">
        <x:v>KB011</x:v>
      </x:c>
      <x:c r="C157" s="21" t="str">
        <x:v>TOR-P003</x:v>
      </x:c>
      <x:c r="D157" s="21" t="str">
        <x:v>Amazon U.S.</x:v>
      </x:c>
      <x:c r="E157" s="21" t="str">
        <x:v>https://www.amazon.com/dp/B08TBG2T2C</x:v>
      </x:c>
      <x:c r="F157" s="21" t="str">
        <x:v>TORRIDEN</x:v>
      </x:c>
      <x:c r="G157" s="21" t="str">
        <x:v>Official brand seller observed</x:v>
      </x:c>
      <x:c r="H157" s="31" t="n">
        <x:v>23</x:v>
      </x:c>
      <x:c r="I157" s="31" t="n">
        <x:v>23</x:v>
      </x:c>
      <x:c r="J157" s="35" t="n">
        <x:v>0</x:v>
      </x:c>
      <x:c r="K157" s="33" t="n">
        <x:v>531</x:v>
      </x:c>
      <x:c r="L157" s="27" t="n">
        <x:v>4.7</x:v>
      </x:c>
      <x:c r="M157" s="21" t="str">
        <x:v>#21,727 Beauty; #152 Facial Toners</x:v>
      </x:c>
      <x:c r="N157" s="21" t="str">
        <x:v>900+ bought in past month</x:v>
      </x:c>
      <x:c r="O157" s="21" t="str">
        <x:v>In stock</x:v>
      </x:c>
      <x:c r="P157" s="21"/>
      <x:c r="Q157" s="21" t="str">
        <x:v>DIVE IN Toner 300 mL; sold by TORRIDEN.</x:v>
      </x:c>
      <x:c r="R157" s="21" t="str">
        <x:v>At least $20,700/month at observed price</x:v>
      </x:c>
      <x:c r="S157" s="21" t="str">
        <x:v>900 rounded public purchase badge × $23.</x:v>
      </x:c>
      <x:c r="T157" s="21" t="str">
        <x:v>Medium-High</x:v>
      </x:c>
      <x:c r="U157" s="25" t="str">
        <x:v>2026-08-01</x:v>
      </x:c>
      <x:c r="V157" s="21" t="str">
        <x:v>SRC-TOR-018</x:v>
      </x:c>
      <x:c r="W157" s="21" t="str">
        <x:v>ASIN B08TBG2T2C; dynamic public proxy.</x:v>
      </x:c>
    </x:row>
    <x:row r="158" ht="126" customHeight="1">
      <x:c r="A158" s="21" t="str">
        <x:v>CH-TOR-005</x:v>
      </x:c>
      <x:c r="B158" s="21" t="str">
        <x:v>KB011</x:v>
      </x:c>
      <x:c r="C158" s="21" t="str">
        <x:v>TOR-P004</x:v>
      </x:c>
      <x:c r="D158" s="21" t="str">
        <x:v>Amazon U.S.</x:v>
      </x:c>
      <x:c r="E158" s="21" t="str">
        <x:v>https://www.amazon.com/dp/B08TBJY2DP</x:v>
      </x:c>
      <x:c r="F158" s="21" t="str">
        <x:v>TORRIDEN</x:v>
      </x:c>
      <x:c r="G158" s="21" t="str">
        <x:v>Official brand seller observed</x:v>
      </x:c>
      <x:c r="H158" s="31" t="n">
        <x:v>33</x:v>
      </x:c>
      <x:c r="I158" s="31" t="n">
        <x:v>33</x:v>
      </x:c>
      <x:c r="J158" s="35" t="n">
        <x:v>0</x:v>
      </x:c>
      <x:c r="K158" s="33" t="n">
        <x:v>486</x:v>
      </x:c>
      <x:c r="L158" s="27" t="n">
        <x:v>4.7</x:v>
      </x:c>
      <x:c r="M158" s="21"/>
      <x:c r="N158" s="21" t="str">
        <x:v>1K+ bought in past month</x:v>
      </x:c>
      <x:c r="O158" s="21" t="str">
        <x:v>In stock</x:v>
      </x:c>
      <x:c r="P158" s="21"/>
      <x:c r="Q158" s="21" t="str">
        <x:v>DIVE IN sheet-mask 10-pack; sold by TORRIDEN.</x:v>
      </x:c>
      <x:c r="R158" s="21" t="str">
        <x:v>At least $33,000/month at observed price</x:v>
      </x:c>
      <x:c r="S158" s="21" t="str">
        <x:v>1,000 rounded public purchase badge × $33.</x:v>
      </x:c>
      <x:c r="T158" s="21" t="str">
        <x:v>Medium-High</x:v>
      </x:c>
      <x:c r="U158" s="25" t="str">
        <x:v>2026-08-01</x:v>
      </x:c>
      <x:c r="V158" s="21" t="str">
        <x:v>SRC-TOR-019</x:v>
      </x:c>
      <x:c r="W158" s="21" t="str">
        <x:v>ASIN B08TBJY2DP; dynamic public proxy.</x:v>
      </x:c>
    </x:row>
    <x:row r="159" ht="126" customHeight="1">
      <x:c r="A159" s="21" t="str">
        <x:v>CH-TOR-006</x:v>
      </x:c>
      <x:c r="B159" s="21" t="str">
        <x:v>KB011</x:v>
      </x:c>
      <x:c r="C159" s="21" t="str">
        <x:v>TOR-P005</x:v>
      </x:c>
      <x:c r="D159" s="21" t="str">
        <x:v>Amazon U.S.</x:v>
      </x:c>
      <x:c r="E159" s="21" t="str">
        <x:v>https://www.amazon.com/dp/B0BT3Z7469</x:v>
      </x:c>
      <x:c r="F159" s="21" t="str">
        <x:v>TORRIDEN</x:v>
      </x:c>
      <x:c r="G159" s="21" t="str">
        <x:v>Official brand seller observed</x:v>
      </x:c>
      <x:c r="H159" s="31" t="n">
        <x:v>22</x:v>
      </x:c>
      <x:c r="I159" s="31" t="n">
        <x:v>17.99</x:v>
      </x:c>
      <x:c r="J159" s="35" t="n">
        <x:v>0.1823</x:v>
      </x:c>
      <x:c r="K159" s="33" t="n">
        <x:v>480</x:v>
      </x:c>
      <x:c r="L159" s="27" t="n">
        <x:v>4.6</x:v>
      </x:c>
      <x:c r="M159" s="21"/>
      <x:c r="N159" s="21" t="str">
        <x:v>700+ bought in past month</x:v>
      </x:c>
      <x:c r="O159" s="21" t="str">
        <x:v>In stock</x:v>
      </x:c>
      <x:c r="P159" s="21"/>
      <x:c r="Q159" s="21" t="str">
        <x:v>SOLID IN Lip Essence two-pack; sold by TORRIDEN.</x:v>
      </x:c>
      <x:c r="R159" s="21" t="str">
        <x:v>At least $12,593/month at observed price</x:v>
      </x:c>
      <x:c r="S159" s="21" t="str">
        <x:v>700 rounded public purchase badge × $17.99.</x:v>
      </x:c>
      <x:c r="T159" s="21" t="str">
        <x:v>Medium-High</x:v>
      </x:c>
      <x:c r="U159" s="25" t="str">
        <x:v>2026-08-01</x:v>
      </x:c>
      <x:c r="V159" s="21" t="str">
        <x:v>SRC-TOR-020</x:v>
      </x:c>
      <x:c r="W159" s="21" t="str">
        <x:v>ASIN B0BT3Z7469; compare to $11 official single-unit list.</x:v>
      </x:c>
    </x:row>
    <x:row r="160" ht="126" customHeight="1">
      <x:c r="A160" s="21" t="str">
        <x:v>CH-TOR-007</x:v>
      </x:c>
      <x:c r="B160" s="21" t="str">
        <x:v>KB011</x:v>
      </x:c>
      <x:c r="C160" s="21" t="str">
        <x:v>TOR-P002</x:v>
      </x:c>
      <x:c r="D160" s="21" t="str">
        <x:v>Amazon U.S. — alternate jar/version</x:v>
      </x:c>
      <x:c r="E160" s="21" t="str">
        <x:v>https://www.amazon.com/dp/B097PDX6JN</x:v>
      </x:c>
      <x:c r="F160" s="21" t="str">
        <x:v>BasicT</x:v>
      </x:c>
      <x:c r="G160" s="21" t="str">
        <x:v>Third-party seller; authorization not confirmed</x:v>
      </x:c>
      <x:c r="H160" s="31" t="n">
        <x:v>27</x:v>
      </x:c>
      <x:c r="I160" s="31" t="n">
        <x:v>24.24</x:v>
      </x:c>
      <x:c r="J160" s="35" t="n">
        <x:v>0.1022</x:v>
      </x:c>
      <x:c r="K160" s="33" t="n">
        <x:v>1644</x:v>
      </x:c>
      <x:c r="L160" s="27" t="n">
        <x:v>4.6</x:v>
      </x:c>
      <x:c r="M160" s="21"/>
      <x:c r="N160" s="21" t="str">
        <x:v>2K+ bought in past month</x:v>
      </x:c>
      <x:c r="O160" s="21" t="str">
        <x:v>Only 16 left when checked</x:v>
      </x:c>
      <x:c r="P160" s="21"/>
      <x:c r="Q160" s="21" t="str">
        <x:v>Older/jar DIVE IN Soothing Cream offer displayed a non-TORRIDEN seller and materially deeper review history.</x:v>
      </x:c>
      <x:c r="R160" s="21" t="str">
        <x:v>Excluded from lower-bound estimate</x:v>
      </x:c>
      <x:c r="S160" s="21" t="str">
        <x:v>Excluded to avoid overlapping cream size/version demand and because seller authorization was not confirmed.</x:v>
      </x:c>
      <x:c r="T160" s="21" t="str">
        <x:v>Medium-High</x:v>
      </x:c>
      <x:c r="U160" s="25" t="str">
        <x:v>2026-08-01</x:v>
      </x:c>
      <x:c r="V160" s="21" t="str">
        <x:v>SRC-TOR-022</x:v>
      </x:c>
      <x:c r="W160" s="21" t="str">
        <x:v>Use as provenance, version and channel-conflict evidence, not authorized-sales proof.</x:v>
      </x:c>
    </x:row>
    <x:row r="161" ht="126" customHeight="1">
      <x:c r="A161" s="21" t="str">
        <x:v>CH-TOR-008</x:v>
      </x:c>
      <x:c r="B161" s="21" t="str">
        <x:v>KB011</x:v>
      </x:c>
      <x:c r="C161" s="21"/>
      <x:c r="D161" s="21" t="str">
        <x:v>Amazon U.S. Brand Search</x:v>
      </x:c>
      <x:c r="E161" s="21" t="str">
        <x:v>https://www.amazon.com/s?k=Torriden</x:v>
      </x:c>
      <x:c r="F161" s="21" t="str">
        <x:v>TORRIDEN and third-party sellers</x:v>
      </x:c>
      <x:c r="G161" s="21" t="str">
        <x:v>Mixed official and marketplace offers</x:v>
      </x:c>
      <x:c r="H161" s="31"/>
      <x:c r="I161" s="31"/>
      <x:c r="J161" s="35"/>
      <x:c r="K161" s="33"/>
      <x:c r="L161" s="27"/>
      <x:c r="M161" s="21"/>
      <x:c r="N161" s="21" t="str">
        <x:v>126 results; five sampled official-seller heroes total at least 12,600 units/month</x:v>
      </x:c>
      <x:c r="O161" s="21" t="str">
        <x:v>Active</x:v>
      </x:c>
      <x:c r="P161" s="21"/>
      <x:c r="Q161" s="21" t="str">
        <x:v>Official-seller heroes, bundles and secondary products coexist with third-party and possibly overlapping versions.</x:v>
      </x:c>
      <x:c r="R161" s="21" t="str">
        <x:v>At least $295,793/month for five distinct official-seller heroes</x:v>
      </x:c>
      <x:c r="S161" s="21" t="str">
        <x:v>Non-overlapping rounded badges × observed prices; excludes other ASINs and duplicate/third-party cream version.</x:v>
      </x:c>
      <x:c r="T161" s="21" t="str">
        <x:v>Medium-High</x:v>
      </x:c>
      <x:c r="U161" s="25" t="str">
        <x:v>2026-08-01</x:v>
      </x:c>
      <x:c r="V161" s="21" t="str">
        <x:v>SRC-TOR-015,SRC-TOR-021,SRC-TOR-022,SRC-TOR-023</x:v>
      </x:c>
      <x:c r="W161" s="21" t="str">
        <x:v>Repeat-purchase rate and a current category No. 1 rank were not public.</x:v>
      </x:c>
    </x:row>
    <x:row r="162" ht="126" customHeight="1">
      <x:c r="A162" s="21" t="str">
        <x:v>CH-TOR-009</x:v>
      </x:c>
      <x:c r="B162" s="21" t="str">
        <x:v>KB011</x:v>
      </x:c>
      <x:c r="C162" s="21"/>
      <x:c r="D162" s="21" t="str">
        <x:v>TikTok Shop U.S.</x:v>
      </x:c>
      <x:c r="E162" s="21" t="str">
        <x:v>https://shop.tiktok.com/us/store/torriden-us/7495586043621444520</x:v>
      </x:c>
      <x:c r="F162" s="21" t="str">
        <x:v>Torriden US</x:v>
      </x:c>
      <x:c r="G162" s="21" t="str">
        <x:v>OFFICIAL SHOP</x:v>
      </x:c>
      <x:c r="H162" s="31"/>
      <x:c r="I162" s="31"/>
      <x:c r="J162" s="35"/>
      <x:c r="K162" s="33"/>
      <x:c r="L162" s="27" t="n">
        <x:v>4.5</x:v>
      </x:c>
      <x:c r="M162" s="21"/>
      <x:c r="N162" s="21" t="str">
        <x:v>154.2K sold; 90.1K+ followers; 1,541 videos</x:v>
      </x:c>
      <x:c r="O162" s="21" t="str">
        <x:v>Active</x:v>
      </x:c>
      <x:c r="P162" s="21"/>
      <x:c r="Q162" s="21" t="str">
        <x:v>Verified official Shop with large cumulative sold and follower displays across DIVE IN and CELLMAZING.</x:v>
      </x:c>
      <x:c r="R162" s="21" t="str">
        <x:v>Not estimated</x:v>
      </x:c>
      <x:c r="S162" s="21" t="str">
        <x:v>Cumulative storewide display; product and period-level return-adjusted revenue are not public.</x:v>
      </x:c>
      <x:c r="T162" s="21" t="str">
        <x:v>Medium-High</x:v>
      </x:c>
      <x:c r="U162" s="25" t="str">
        <x:v>2026-08-01</x:v>
      </x:c>
      <x:c r="V162" s="21" t="str">
        <x:v>SRC-TOR-007</x:v>
      </x:c>
      <x:c r="W162" s="21" t="str">
        <x:v>Counts are dynamic; official store substantially limits new social-commerce whitespace.</x:v>
      </x:c>
    </x:row>
    <x:row r="163" ht="126" customHeight="1">
      <x:c r="A163" s="21" t="str">
        <x:v>CH-TOR-010</x:v>
      </x:c>
      <x:c r="B163" s="21" t="str">
        <x:v>KB011</x:v>
      </x:c>
      <x:c r="C163" s="21"/>
      <x:c r="D163" s="21" t="str">
        <x:v>TikTok Shop U.S. — CELLMAZING</x:v>
      </x:c>
      <x:c r="E163" s="21" t="str">
        <x:v>https://shop.tiktok.com/us/store/torriden-us/7495586043621444520</x:v>
      </x:c>
      <x:c r="F163" s="21" t="str">
        <x:v>Torriden US</x:v>
      </x:c>
      <x:c r="G163" s="21" t="str">
        <x:v>Official product listings</x:v>
      </x:c>
      <x:c r="H163" s="31" t="n">
        <x:v>51</x:v>
      </x:c>
      <x:c r="I163" s="31" t="n">
        <x:v>48.45</x:v>
      </x:c>
      <x:c r="J163" s="35" t="n">
        <x:v>0.05</x:v>
      </x:c>
      <x:c r="K163" s="33"/>
      <x:c r="L163" s="27"/>
      <x:c r="M163" s="21"/>
      <x:c r="N163" s="21" t="str">
        <x:v>CELLMAZING Firming Duo 26.2K sold; Firming Cream 8.8K sold</x:v>
      </x:c>
      <x:c r="O163" s="21" t="str">
        <x:v>Active</x:v>
      </x:c>
      <x:c r="P163" s="21"/>
      <x:c r="Q163" s="21" t="str">
        <x:v>Visible product-level sold counts show viral demand expanding beyond DIVE IN into firming/collagen-led products.</x:v>
      </x:c>
      <x:c r="R163" s="21" t="str">
        <x:v>Not estimated</x:v>
      </x:c>
      <x:c r="S163" s="21" t="str">
        <x:v>Cumulative product displays; exact period, refunds and geographic mix are not public.</x:v>
      </x:c>
      <x:c r="T163" s="21" t="str">
        <x:v>Medium</x:v>
      </x:c>
      <x:c r="U163" s="25" t="str">
        <x:v>2026-08-01</x:v>
      </x:c>
      <x:c r="V163" s="21" t="str">
        <x:v>SRC-TOR-024</x:v>
      </x:c>
      <x:c r="W163" s="21" t="str">
        <x:v>Strong growth signal, but future sell-through and claim compliance require diligence.</x:v>
      </x:c>
    </x:row>
    <x:row r="164" ht="126" customHeight="1">
      <x:c r="A164" s="21" t="str">
        <x:v>CH-TOR-011</x:v>
      </x:c>
      <x:c r="B164" s="21" t="str">
        <x:v>KB011</x:v>
      </x:c>
      <x:c r="C164" s="21"/>
      <x:c r="D164" s="21" t="str">
        <x:v>Instagram</x:v>
      </x:c>
      <x:c r="E164" s="21" t="str">
        <x:v>https://www.instagram.com/torriden/</x:v>
      </x:c>
      <x:c r="F164" s="21" t="str">
        <x:v>@torriden</x:v>
      </x:c>
      <x:c r="G164" s="21" t="str">
        <x:v>Verified official global profile</x:v>
      </x:c>
      <x:c r="H164" s="31"/>
      <x:c r="I164" s="31"/>
      <x:c r="J164" s="35"/>
      <x:c r="K164" s="33" t="n">
        <x:v>172237</x:v>
      </x:c>
      <x:c r="L164" s="27"/>
      <x:c r="M164" s="21"/>
      <x:c r="N164" s="21" t="str">
        <x:v>172,237 followers; 16 following</x:v>
      </x:c>
      <x:c r="O164" s="21" t="str">
        <x:v>Active</x:v>
      </x:c>
      <x:c r="P164" s="21"/>
      <x:c r="Q164" s="21" t="str">
        <x:v>Profile identified Torriden Global and named Sephora and Amazon Beauty availability; current content includes U.S. retail and Amazon promotions.</x:v>
      </x:c>
      <x:c r="R164" s="21" t="str">
        <x:v>Not estimated</x:v>
      </x:c>
      <x:c r="S164" s="21" t="str">
        <x:v>Awareness channel only.</x:v>
      </x:c>
      <x:c r="T164" s="21" t="str">
        <x:v>High</x:v>
      </x:c>
      <x:c r="U164" s="25" t="str">
        <x:v>2026-08-01</x:v>
      </x:c>
      <x:c r="V164" s="21" t="str">
        <x:v>SRC-TOR-006</x:v>
      </x:c>
      <x:c r="W164" s="21" t="str">
        <x:v>Do not infer sales from followers.</x:v>
      </x:c>
    </x:row>
    <x:row r="165" ht="126" customHeight="1">
      <x:c r="A165" s="21" t="str">
        <x:v>CH-TOR-012</x:v>
      </x:c>
      <x:c r="B165" s="21" t="str">
        <x:v>KB011</x:v>
      </x:c>
      <x:c r="C165" s="21"/>
      <x:c r="D165" s="21" t="str">
        <x:v>Sephora U.S.</x:v>
      </x:c>
      <x:c r="E165" s="21" t="str">
        <x:v>https://www.sephora.com/brand/torriden</x:v>
      </x:c>
      <x:c r="F165" s="21" t="str">
        <x:v>Sephora</x:v>
      </x:c>
      <x:c r="G165" s="21" t="str">
        <x:v>Authorized national prestige retailer</x:v>
      </x:c>
      <x:c r="H165" s="31"/>
      <x:c r="I165" s="31"/>
      <x:c r="J165" s="35"/>
      <x:c r="K165" s="33"/>
      <x:c r="L165" s="27"/>
      <x:c r="M165" s="21"/>
      <x:c r="N165" s="21" t="str">
        <x:v>11 products/results; shipping, same-day and store filters</x:v>
      </x:c>
      <x:c r="O165" s="21" t="str">
        <x:v>Active</x:v>
      </x:c>
      <x:c r="P165" s="21"/>
      <x:c r="Q165" s="21" t="str">
        <x:v>Torriden launched at Sephora in August 2025 with DIVE IN heroes and an in-store/online assortment.</x:v>
      </x:c>
      <x:c r="R165" s="21" t="str">
        <x:v>Not estimated</x:v>
      </x:c>
      <x:c r="S165" s="21" t="str">
        <x:v>Retailer assortment and engagement; no sell-through disclosed.</x:v>
      </x:c>
      <x:c r="T165" s="21" t="str">
        <x:v>High</x:v>
      </x:c>
      <x:c r="U165" s="25" t="str">
        <x:v>2026-08-01</x:v>
      </x:c>
      <x:c r="V165" s="21" t="str">
        <x:v>SRC-TOR-008,SRC-TOR-025,SRC-TOR-026</x:v>
      </x:c>
      <x:c r="W165" s="21" t="str">
        <x:v>National prestige coverage sharply reduces open specialty whitespace.</x:v>
      </x:c>
    </x:row>
    <x:row r="166" ht="126" customHeight="1">
      <x:c r="A166" s="21" t="str">
        <x:v>CH-TOR-013</x:v>
      </x:c>
      <x:c r="B166" s="21" t="str">
        <x:v>KB011</x:v>
      </x:c>
      <x:c r="C166" s="21" t="str">
        <x:v>TOR-P001</x:v>
      </x:c>
      <x:c r="D166" s="21" t="str">
        <x:v>Sephora U.S.</x:v>
      </x:c>
      <x:c r="E166" s="21" t="str">
        <x:v>https://www.sephora.com/product/dive-in-serum-P517680</x:v>
      </x:c>
      <x:c r="F166" s="21" t="str">
        <x:v>Sephora</x:v>
      </x:c>
      <x:c r="G166" s="21" t="str">
        <x:v>Authorized retailer</x:v>
      </x:c>
      <x:c r="H166" s="31" t="n">
        <x:v>24</x:v>
      </x:c>
      <x:c r="I166" s="31" t="n">
        <x:v>24</x:v>
      </x:c>
      <x:c r="J166" s="35" t="n">
        <x:v>0</x:v>
      </x:c>
      <x:c r="K166" s="33" t="n">
        <x:v>264</x:v>
      </x:c>
      <x:c r="L166" s="27"/>
      <x:c r="M166" s="21"/>
      <x:c r="N166" s="21" t="str">
        <x:v>27.9K loves displayed</x:v>
      </x:c>
      <x:c r="O166" s="21" t="str">
        <x:v>Active</x:v>
      </x:c>
      <x:c r="P166" s="21"/>
      <x:c r="Q166" s="21" t="str">
        <x:v>DIVE IN Serum 50 mL at $24; highly rated for absorption, hydration and plumping.</x:v>
      </x:c>
      <x:c r="R166" s="21" t="str">
        <x:v>Not estimated</x:v>
      </x:c>
      <x:c r="S166" s="21" t="str">
        <x:v>Retailer reviews/loves; no unit sell-through disclosed.</x:v>
      </x:c>
      <x:c r="T166" s="21" t="str">
        <x:v>High</x:v>
      </x:c>
      <x:c r="U166" s="25" t="str">
        <x:v>2026-08-01</x:v>
      </x:c>
      <x:c r="V166" s="21" t="str">
        <x:v>SRC-TOR-025</x:v>
      </x:c>
      <x:c r="W166" s="21" t="str">
        <x:v>Reviews can include incentives; counts are dynamic.</x:v>
      </x:c>
    </x:row>
    <x:row r="167" ht="126" customHeight="1">
      <x:c r="A167" s="21" t="str">
        <x:v>CH-TOR-014</x:v>
      </x:c>
      <x:c r="B167" s="21" t="str">
        <x:v>KB011</x:v>
      </x:c>
      <x:c r="C167" s="21" t="str">
        <x:v>TOR-P002</x:v>
      </x:c>
      <x:c r="D167" s="21" t="str">
        <x:v>Sephora U.S.</x:v>
      </x:c>
      <x:c r="E167" s="21" t="str">
        <x:v>https://www.sephora.com/product/dive-in-soothing-cream-P517672</x:v>
      </x:c>
      <x:c r="F167" s="21" t="str">
        <x:v>Sephora</x:v>
      </x:c>
      <x:c r="G167" s="21" t="str">
        <x:v>Authorized retailer</x:v>
      </x:c>
      <x:c r="H167" s="31" t="n">
        <x:v>27</x:v>
      </x:c>
      <x:c r="I167" s="31" t="n">
        <x:v>27</x:v>
      </x:c>
      <x:c r="J167" s="35" t="n">
        <x:v>0</x:v>
      </x:c>
      <x:c r="K167" s="33" t="n">
        <x:v>188</x:v>
      </x:c>
      <x:c r="L167" s="27"/>
      <x:c r="M167" s="21"/>
      <x:c r="N167" s="21" t="str">
        <x:v>10.1K loves displayed</x:v>
      </x:c>
      <x:c r="O167" s="21" t="str">
        <x:v>Active</x:v>
      </x:c>
      <x:c r="P167" s="21"/>
      <x:c r="Q167" s="21" t="str">
        <x:v>DIVE IN Soothing Cream 100 mL at $27; highly rated for light feel, satisfaction and absorption.</x:v>
      </x:c>
      <x:c r="R167" s="21" t="str">
        <x:v>Not estimated</x:v>
      </x:c>
      <x:c r="S167" s="21" t="str">
        <x:v>Retailer reviews/loves; no unit sell-through disclosed.</x:v>
      </x:c>
      <x:c r="T167" s="21" t="str">
        <x:v>High</x:v>
      </x:c>
      <x:c r="U167" s="25" t="str">
        <x:v>2026-08-01</x:v>
      </x:c>
      <x:c r="V167" s="21" t="str">
        <x:v>SRC-TOR-026</x:v>
      </x:c>
      <x:c r="W167" s="21" t="str">
        <x:v>Counts and assortment are dynamic.</x:v>
      </x:c>
    </x:row>
    <x:row r="168" ht="126" customHeight="1">
      <x:c r="A168" s="21" t="str">
        <x:v>CH-TOR-015</x:v>
      </x:c>
      <x:c r="B168" s="21" t="str">
        <x:v>KB011</x:v>
      </x:c>
      <x:c r="C168" s="21" t="str">
        <x:v>TOR-P001</x:v>
      </x:c>
      <x:c r="D168" s="21" t="str">
        <x:v>Costco U.S.</x:v>
      </x:c>
      <x:c r="E168" s="21" t="str">
        <x:v>https://www.costco.com/p/-/torriden-dive-in-low-molecular-hyaluronic-acid-serum-2-pack/4000224232</x:v>
      </x:c>
      <x:c r="F168" s="21" t="str">
        <x:v>Costco</x:v>
      </x:c>
      <x:c r="G168" s="21" t="str">
        <x:v>National club retailer; authorization presumed but contract not reviewed</x:v>
      </x:c>
      <x:c r="H168" s="31" t="n">
        <x:v>48</x:v>
      </x:c>
      <x:c r="I168" s="31" t="n">
        <x:v>24.99</x:v>
      </x:c>
      <x:c r="J168" s="35" t="n">
        <x:v>0.4794</x:v>
      </x:c>
      <x:c r="K168" s="33"/>
      <x:c r="L168" s="27"/>
      <x:c r="M168" s="21" t="str">
        <x:v>Item 1779932</x:v>
      </x:c>
      <x:c r="N168" s="21" t="str">
        <x:v>Two 50 mL serums plus mini in recent offer</x:v>
      </x:c>
      <x:c r="O168" s="21" t="str">
        <x:v>Active product page / member pricing varies</x:v>
      </x:c>
      <x:c r="P168" s="21"/>
      <x:c r="Q168" s="21" t="str">
        <x:v>Official Costco page confirms the multi-pack; a recent deal tracker captured $24.99 for two full sizes plus a mini.</x:v>
      </x:c>
      <x:c r="R168" s="21" t="str">
        <x:v>Not estimated</x:v>
      </x:c>
      <x:c r="S168" s="21" t="str">
        <x:v>Retail presence and promotion evidence; not audited units.</x:v>
      </x:c>
      <x:c r="T168" s="21" t="str">
        <x:v>Medium-High</x:v>
      </x:c>
      <x:c r="U168" s="25" t="str">
        <x:v>2026-08-01</x:v>
      </x:c>
      <x:c r="V168" s="21" t="str">
        <x:v>SRC-TOR-027,SRC-TOR-028</x:v>
      </x:c>
      <x:c r="W168" s="21" t="str">
        <x:v>Deep club value creates major price-architecture and channel-conflict risk.</x:v>
      </x:c>
    </x:row>
    <x:row r="169" ht="126" customHeight="1">
      <x:c r="A169" s="21" t="str">
        <x:v>CH-TOR-016</x:v>
      </x:c>
      <x:c r="B169" s="21" t="str">
        <x:v>KB011</x:v>
      </x:c>
      <x:c r="C169" s="21" t="str">
        <x:v>TOR-P001</x:v>
      </x:c>
      <x:c r="D169" s="21" t="str">
        <x:v>Walmart Marketplace</x:v>
      </x:c>
      <x:c r="E169" s="21" t="str">
        <x:v>https://www.walmart.com/ip/821646126</x:v>
      </x:c>
      <x:c r="F169" s="21" t="str">
        <x:v>The Lighthouse Distributors / marketplace seller observed</x:v>
      </x:c>
      <x:c r="G169" s="21" t="str">
        <x:v>Third-party seller; authorization not confirmed</x:v>
      </x:c>
      <x:c r="H169" s="31"/>
      <x:c r="I169" s="31"/>
      <x:c r="J169" s="35"/>
      <x:c r="K169" s="33" t="n">
        <x:v>39</x:v>
      </x:c>
      <x:c r="L169" s="27" t="n">
        <x:v>4</x:v>
      </x:c>
      <x:c r="M169" s="21"/>
      <x:c r="N169" s="21" t="str">
        <x:v>Listing observed</x:v>
      </x:c>
      <x:c r="O169" s="21" t="str">
        <x:v>Marketplace listing</x:v>
      </x:c>
      <x:c r="P169" s="21"/>
      <x:c r="Q169" s="21" t="str">
        <x:v>Torriden serum page displayed a third-party seller identity and mixed review provenance.</x:v>
      </x:c>
      <x:c r="R169" s="21" t="str">
        <x:v>Not estimated</x:v>
      </x:c>
      <x:c r="S169" s="21" t="str">
        <x:v>Marketplace listing only.</x:v>
      </x:c>
      <x:c r="T169" s="21" t="str">
        <x:v>Medium</x:v>
      </x:c>
      <x:c r="U169" s="25" t="str">
        <x:v>2026-08-01</x:v>
      </x:c>
      <x:c r="V169" s="21" t="str">
        <x:v>SRC-TOR-029</x:v>
      </x:c>
      <x:c r="W169" s="21" t="str">
        <x:v>Do not treat as an authorized Walmart account without written Torriden confirmation.</x:v>
      </x:c>
    </x:row>
    <x:row r="170" ht="126" customHeight="1">
      <x:c r="A170" s="21" t="str">
        <x:v>CH-TOR-017</x:v>
      </x:c>
      <x:c r="B170" s="21" t="str">
        <x:v>KB011</x:v>
      </x:c>
      <x:c r="C170" s="21"/>
      <x:c r="D170" s="21" t="str">
        <x:v>Olive Young U.S.</x:v>
      </x:c>
      <x:c r="E170" s="21" t="str">
        <x:v>https://us.oliveyoung.com/brands</x:v>
      </x:c>
      <x:c r="F170" s="21" t="str">
        <x:v>Olive Young U.S.</x:v>
      </x:c>
      <x:c r="G170" s="21" t="str">
        <x:v>Brand listed; SKU authorization/assortment to confirm</x:v>
      </x:c>
      <x:c r="H170" s="31"/>
      <x:c r="I170" s="31"/>
      <x:c r="J170" s="35"/>
      <x:c r="K170" s="33"/>
      <x:c r="L170" s="27"/>
      <x:c r="M170" s="21"/>
      <x:c r="N170" s="21" t="str">
        <x:v>Torriden appears in U.S. brands index</x:v>
      </x:c>
      <x:c r="O170" s="21" t="str">
        <x:v>Active</x:v>
      </x:c>
      <x:c r="P170" s="21"/>
      <x:c r="Q170" s="21" t="str">
        <x:v>Olive Young U.S. brand directory lists Torriden; global Olive Young has longstanding Torriden visibility and awards.</x:v>
      </x:c>
      <x:c r="R170" s="21" t="str">
        <x:v>Not estimated</x:v>
      </x:c>
      <x:c r="S170" s="21" t="str">
        <x:v>Brand-list presence only; SKU-level U.S. assortment and inventory vary.</x:v>
      </x:c>
      <x:c r="T170" s="21" t="str">
        <x:v>Medium-High</x:v>
      </x:c>
      <x:c r="U170" s="25" t="str">
        <x:v>2026-08-01</x:v>
      </x:c>
      <x:c r="V170" s="21" t="str">
        <x:v>SRC-TOR-030,SRC-TOR-031</x:v>
      </x:c>
      <x:c r="W170" s="21" t="str">
        <x:v>Sephora–Olive Young partnership may further increase K-Beauty retail density.</x:v>
      </x:c>
    </x:row>
    <x:row r="171" ht="126" customHeight="1">
      <x:c r="A171" s="21" t="str">
        <x:v>CH-TOR-018</x:v>
      </x:c>
      <x:c r="B171" s="21" t="str">
        <x:v>KB011</x:v>
      </x:c>
      <x:c r="C171" s="21"/>
      <x:c r="D171" s="21" t="str">
        <x:v>StyleKorean</x:v>
      </x:c>
      <x:c r="E171" s="21" t="str">
        <x:v>https://www.stylekorean.com/product/torriden-dive-in-low-molecule-hyaluronic-acid-multi-pad-80ea-/1669614755</x:v>
      </x:c>
      <x:c r="F171" s="21" t="str">
        <x:v>StyleKorean</x:v>
      </x:c>
      <x:c r="G171" s="21" t="str">
        <x:v>Cross-border retailer; authorization and U.S. terms to confirm</x:v>
      </x:c>
      <x:c r="H171" s="31" t="n">
        <x:v>26</x:v>
      </x:c>
      <x:c r="I171" s="31" t="n">
        <x:v>23.4</x:v>
      </x:c>
      <x:c r="J171" s="35" t="n">
        <x:v>0.1</x:v>
      </x:c>
      <x:c r="K171" s="33"/>
      <x:c r="L171" s="27"/>
      <x:c r="M171" s="21"/>
      <x:c r="N171" s="21" t="str">
        <x:v>Listing observed</x:v>
      </x:c>
      <x:c r="O171" s="21" t="str">
        <x:v>Temporarily out of stock</x:v>
      </x:c>
      <x:c r="P171" s="21"/>
      <x:c r="Q171" s="21" t="str">
        <x:v>Current Torriden product pages support cross-border U.S. access and discount visibility.</x:v>
      </x:c>
      <x:c r="R171" s="21" t="str">
        <x:v>Not estimated</x:v>
      </x:c>
      <x:c r="S171" s="21" t="str">
        <x:v>Cross-border retail listing only.</x:v>
      </x:c>
      <x:c r="T171" s="21" t="str">
        <x:v>Medium</x:v>
      </x:c>
      <x:c r="U171" s="25" t="str">
        <x:v>2026-08-01</x:v>
      </x:c>
      <x:c r="V171" s="21" t="str">
        <x:v>SRC-TOR-032</x:v>
      </x:c>
      <x:c r="W171" s="21" t="str">
        <x:v>Shipping, duties, formula version and authorized-territory terms require confirmation.</x:v>
      </x:c>
    </x:row>
    <x:row r="172" ht="126" customHeight="1">
      <x:c r="A172" s="21" t="str">
        <x:v>CH-TOR-019</x:v>
      </x:c>
      <x:c r="B172" s="21" t="str">
        <x:v>KB011</x:v>
      </x:c>
      <x:c r="C172" s="21"/>
      <x:c r="D172" s="21" t="str">
        <x:v>Target U.S. current check</x:v>
      </x:c>
      <x:c r="E172" s="21" t="str">
        <x:v>https://www.target.com/c/premium-skin-care/torriden/-/N-55ajaZq643lewxu68</x:v>
      </x:c>
      <x:c r="F172" s="21" t="str">
        <x:v>Target</x:v>
      </x:c>
      <x:c r="G172" s="21" t="str">
        <x:v>No current Torriden product match verified</x:v>
      </x:c>
      <x:c r="H172" s="31"/>
      <x:c r="I172" s="31"/>
      <x:c r="J172" s="35"/>
      <x:c r="K172" s="33"/>
      <x:c r="L172" s="27"/>
      <x:c r="M172" s="21"/>
      <x:c r="N172" s="21" t="str">
        <x:v>Filtered page returned no matching products</x:v>
      </x:c>
      <x:c r="O172" s="21" t="str">
        <x:v>No verified current assortment</x:v>
      </x:c>
      <x:c r="P172" s="21"/>
      <x:c r="Q172" s="21" t="str">
        <x:v>Search-indexed Torriden category URLs existed, but the current filtered Target page stated no match and displayed unrelated products.</x:v>
      </x:c>
      <x:c r="R172" s="21" t="str">
        <x:v>None verified</x:v>
      </x:c>
      <x:c r="S172" s="21" t="str">
        <x:v>Current Target page check; not proof that future or local inventory will remain absent.</x:v>
      </x:c>
      <x:c r="T172" s="21" t="str">
        <x:v>Medium-High</x:v>
      </x:c>
      <x:c r="U172" s="25" t="str">
        <x:v>2026-08-01</x:v>
      </x:c>
      <x:c r="V172" s="21" t="str">
        <x:v>SRC-TOR-033</x:v>
      </x:c>
      <x:c r="W172" s="21" t="str">
        <x:v>Do not claim Target distribution from search-engine category pages alone.</x:v>
      </x:c>
    </x:row>
    <x:row r="173" ht="110" customHeight="1">
      <x:c r="A173" s="21" t="str">
        <x:v>CH-NBZ-001</x:v>
      </x:c>
      <x:c r="B173" s="21" t="str">
        <x:v>KB012</x:v>
      </x:c>
      <x:c r="C173" s="21"/>
      <x:c r="D173" s="21" t="str">
        <x:v>Official U.S. DTC</x:v>
      </x:c>
      <x:c r="E173" s="21" t="str">
        <x:v>https://us.numbuzin.com</x:v>
      </x:c>
      <x:c r="F173" s="21" t="str">
        <x:v>BENOW BEAUTY Inc. / Numbuzin</x:v>
      </x:c>
      <x:c r="G173" s="21" t="str">
        <x:v>Official</x:v>
      </x:c>
      <x:c r="H173" s="31"/>
      <x:c r="I173" s="31"/>
      <x:c r="J173" s="35"/>
      <x:c r="K173" s="33"/>
      <x:c r="L173" s="27"/>
      <x:c r="M173" s="21"/>
      <x:c r="N173" s="21" t="str">
        <x:v>Broad numbered skincare assortment and U.S. OTC sunscreen</x:v>
      </x:c>
      <x:c r="O173" s="21" t="str">
        <x:v>Active</x:v>
      </x:c>
      <x:c r="P173" s="21"/>
      <x:c r="Q173" s="21" t="str">
        <x:v>Official U.S. mall, U.S. fulfillment FAQ, wholesale contact, promotions and consumer support.</x:v>
      </x:c>
      <x:c r="R173" s="21" t="str">
        <x:v>Not estimated</x:v>
      </x:c>
      <x:c r="S173" s="21" t="str">
        <x:v>First-party storefront; no audited sell-through or wholesale terms disclosed.</x:v>
      </x:c>
      <x:c r="T173" s="21" t="str">
        <x:v>High</x:v>
      </x:c>
      <x:c r="U173" s="25" t="str">
        <x:v>2026-08-01</x:v>
      </x:c>
      <x:c r="V173" s="21" t="str">
        <x:v>SRC-NBZ-001,SRC-NBZ-004,SRC-NBZ-005</x:v>
      </x:c>
      <x:c r="W173" s="21" t="str">
        <x:v>Confirm exact U.S. merchant, importer, responsible person, warehouse and authorized account structure.</x:v>
      </x:c>
    </x:row>
    <x:row r="174" ht="110" customHeight="1">
      <x:c r="A174" s="21" t="str">
        <x:v>CH-NBZ-002</x:v>
      </x:c>
      <x:c r="B174" s="21" t="str">
        <x:v>KB012</x:v>
      </x:c>
      <x:c r="C174" s="21"/>
      <x:c r="D174" s="21" t="str">
        <x:v>Amazon U.S. Brand Store</x:v>
      </x:c>
      <x:c r="E174" s="21" t="str">
        <x:v>https://www.amazon.com/stores/page/BDB9CC0A-DA48-41E3-ACD8-B0255744997D</x:v>
      </x:c>
      <x:c r="F174" s="21" t="str">
        <x:v>numbuzin Official</x:v>
      </x:c>
      <x:c r="G174" s="21" t="str">
        <x:v>Official brand storefront observed</x:v>
      </x:c>
      <x:c r="H174" s="31"/>
      <x:c r="I174" s="31"/>
      <x:c r="J174" s="35"/>
      <x:c r="K174" s="33"/>
      <x:c r="L174" s="27"/>
      <x:c r="M174" s="21"/>
      <x:c r="N174" s="21" t="str">
        <x:v>Large official-seller assortment; five sampled heroes total at least 42K units/month</x:v>
      </x:c>
      <x:c r="O174" s="21" t="str">
        <x:v>Active</x:v>
      </x:c>
      <x:c r="P174" s="21"/>
      <x:c r="Q174" s="21" t="str">
        <x:v>Official Amazon storefront linked by the brand; sampled heroes sold by numbuzin Official and shipped by Amazon.</x:v>
      </x:c>
      <x:c r="R174" s="21" t="str">
        <x:v>At least 42,000 hero units/month; at least $754,510/month for four priced heroes</x:v>
      </x:c>
      <x:c r="S174" s="21" t="str">
        <x:v>Non-overlapping rounded purchase badges; revenue floor excludes No. 3 serum due absent featured price and excludes all other ASINs.</x:v>
      </x:c>
      <x:c r="T174" s="21" t="str">
        <x:v>Medium-High</x:v>
      </x:c>
      <x:c r="U174" s="25" t="str">
        <x:v>2026-08-01</x:v>
      </x:c>
      <x:c r="V174" s="21" t="str">
        <x:v>SRC-NBZ-007,SRC-NBZ-011,SRC-NBZ-019</x:v>
      </x:c>
      <x:c r="W174" s="21" t="str">
        <x:v>Dynamic public proxy, not audited revenue; source top-10 claim not supported by sampled ranks.</x:v>
      </x:c>
    </x:row>
    <x:row r="175" ht="110" customHeight="1">
      <x:c r="A175" s="21" t="str">
        <x:v>CH-NBZ-003</x:v>
      </x:c>
      <x:c r="B175" s="21" t="str">
        <x:v>KB012</x:v>
      </x:c>
      <x:c r="C175" s="21" t="str">
        <x:v>NBZ-P001</x:v>
      </x:c>
      <x:c r="D175" s="21" t="str">
        <x:v>Amazon U.S.</x:v>
      </x:c>
      <x:c r="E175" s="21" t="str">
        <x:v>https://www.amazon.com/dp/B0DLKGLBPG</x:v>
      </x:c>
      <x:c r="F175" s="21" t="str">
        <x:v>numbuzin Official</x:v>
      </x:c>
      <x:c r="G175" s="21" t="str">
        <x:v>Official brand seller observed</x:v>
      </x:c>
      <x:c r="H175" s="31" t="n">
        <x:v>29</x:v>
      </x:c>
      <x:c r="I175" s="31" t="n">
        <x:v>23.3</x:v>
      </x:c>
      <x:c r="J175" s="35" t="n">
        <x:v>0.1966</x:v>
      </x:c>
      <x:c r="K175" s="33"/>
      <x:c r="L175" s="27"/>
      <x:c r="M175" s="21" t="str">
        <x:v>#1,874 Beauty; #56 Facial Serums</x:v>
      </x:c>
      <x:c r="N175" s="21" t="str">
        <x:v>20K+ bought in past month</x:v>
      </x:c>
      <x:c r="O175" s="21" t="str">
        <x:v>In stock</x:v>
      </x:c>
      <x:c r="P175" s="21"/>
      <x:c r="Q175" s="21" t="str">
        <x:v>No. 9 NAD+ BIO Lifting-sil Essence; sold by numbuzin Official; Amazon's Choice display observed.</x:v>
      </x:c>
      <x:c r="R175" s="21" t="str">
        <x:v>At least $466,000/month</x:v>
      </x:c>
      <x:c r="S175" s="21" t="str">
        <x:v>20,000 rounded badge × $23.30 observed one-time price.</x:v>
      </x:c>
      <x:c r="T175" s="21" t="str">
        <x:v>Medium-High</x:v>
      </x:c>
      <x:c r="U175" s="25" t="str">
        <x:v>2026-08-01</x:v>
      </x:c>
      <x:c r="V175" s="21" t="str">
        <x:v>SRC-NBZ-012</x:v>
      </x:c>
      <x:c r="W175" s="21" t="str">
        <x:v>ASIN B0DLKGLBPG; dynamic badge and rank.</x:v>
      </x:c>
    </x:row>
    <x:row r="176" ht="110" customHeight="1">
      <x:c r="A176" s="21" t="str">
        <x:v>CH-NBZ-004</x:v>
      </x:c>
      <x:c r="B176" s="21" t="str">
        <x:v>KB012</x:v>
      </x:c>
      <x:c r="C176" s="21" t="str">
        <x:v>NBZ-P002</x:v>
      </x:c>
      <x:c r="D176" s="21" t="str">
        <x:v>Amazon U.S.</x:v>
      </x:c>
      <x:c r="E176" s="21" t="str">
        <x:v>https://www.amazon.com/dp/B0C61FD7P9</x:v>
      </x:c>
      <x:c r="F176" s="21" t="str">
        <x:v>numbuzin Official</x:v>
      </x:c>
      <x:c r="G176" s="21" t="str">
        <x:v>Official brand seller observed</x:v>
      </x:c>
      <x:c r="H176" s="31" t="n">
        <x:v>26</x:v>
      </x:c>
      <x:c r="I176" s="31" t="n">
        <x:v>12.74</x:v>
      </x:c>
      <x:c r="J176" s="35" t="n">
        <x:v>0.51</x:v>
      </x:c>
      <x:c r="K176" s="33"/>
      <x:c r="L176" s="27"/>
      <x:c r="M176" s="21" t="str">
        <x:v>#1,836 Beauty; #86 Facial Serums</x:v>
      </x:c>
      <x:c r="N176" s="21" t="str">
        <x:v>9K+ bought in past month</x:v>
      </x:c>
      <x:c r="O176" s="21" t="str">
        <x:v>In stock</x:v>
      </x:c>
      <x:c r="P176" s="21"/>
      <x:c r="Q176" s="21" t="str">
        <x:v>No. 5+ Serum; sold by numbuzin Official; Amazon's Choice display observed.</x:v>
      </x:c>
      <x:c r="R176" s="21" t="str">
        <x:v>At least $114,660/month</x:v>
      </x:c>
      <x:c r="S176" s="21" t="str">
        <x:v>9,000 rounded badge × $12.74 displayed current/subscription price.</x:v>
      </x:c>
      <x:c r="T176" s="21" t="str">
        <x:v>Medium-High</x:v>
      </x:c>
      <x:c r="U176" s="25" t="str">
        <x:v>2026-08-01</x:v>
      </x:c>
      <x:c r="V176" s="21" t="str">
        <x:v>SRC-NBZ-013</x:v>
      </x:c>
      <x:c r="W176" s="21" t="str">
        <x:v>ASIN B0C61FD7P9; price type and promotions change.</x:v>
      </x:c>
    </x:row>
    <x:row r="177" ht="110" customHeight="1">
      <x:c r="A177" s="21" t="str">
        <x:v>CH-NBZ-005</x:v>
      </x:c>
      <x:c r="B177" s="21" t="str">
        <x:v>KB012</x:v>
      </x:c>
      <x:c r="C177" s="21" t="str">
        <x:v>NBZ-P003</x:v>
      </x:c>
      <x:c r="D177" s="21" t="str">
        <x:v>Amazon U.S.</x:v>
      </x:c>
      <x:c r="E177" s="21" t="str">
        <x:v>https://www.amazon.com/dp/B0915CMY57</x:v>
      </x:c>
      <x:c r="F177" s="21" t="str">
        <x:v>numbuzin Official</x:v>
      </x:c>
      <x:c r="G177" s="21" t="str">
        <x:v>Official brand seller observed</x:v>
      </x:c>
      <x:c r="H177" s="31" t="n">
        <x:v>22</x:v>
      </x:c>
      <x:c r="I177" s="31" t="n">
        <x:v>12.7</x:v>
      </x:c>
      <x:c r="J177" s="35" t="n">
        <x:v>0.4227</x:v>
      </x:c>
      <x:c r="K177" s="33"/>
      <x:c r="L177" s="27"/>
      <x:c r="M177" s="21" t="str">
        <x:v>#3,608 Beauty; #33 Toners</x:v>
      </x:c>
      <x:c r="N177" s="21" t="str">
        <x:v>7K+ bought in past month</x:v>
      </x:c>
      <x:c r="O177" s="21" t="str">
        <x:v>In stock</x:v>
      </x:c>
      <x:c r="P177" s="21"/>
      <x:c r="Q177" s="21" t="str">
        <x:v>No. 3 Super Glowing Essence Toner; sold by numbuzin Official.</x:v>
      </x:c>
      <x:c r="R177" s="21" t="str">
        <x:v>At least $88,900/month</x:v>
      </x:c>
      <x:c r="S177" s="21" t="str">
        <x:v>7,000 rounded badge × $12.70 observed current price.</x:v>
      </x:c>
      <x:c r="T177" s="21" t="str">
        <x:v>Medium-High</x:v>
      </x:c>
      <x:c r="U177" s="25" t="str">
        <x:v>2026-08-01</x:v>
      </x:c>
      <x:c r="V177" s="21" t="str">
        <x:v>SRC-NBZ-014</x:v>
      </x:c>
      <x:c r="W177" s="21" t="str">
        <x:v>ASIN B0915CMY57; current rank does not support top-10 claim.</x:v>
      </x:c>
    </x:row>
    <x:row r="178" ht="110" customHeight="1">
      <x:c r="A178" s="21" t="str">
        <x:v>CH-NBZ-006</x:v>
      </x:c>
      <x:c r="B178" s="21" t="str">
        <x:v>KB012</x:v>
      </x:c>
      <x:c r="C178" s="21" t="str">
        <x:v>NBZ-P004</x:v>
      </x:c>
      <x:c r="D178" s="21" t="str">
        <x:v>Amazon U.S.</x:v>
      </x:c>
      <x:c r="E178" s="21" t="str">
        <x:v>https://www.amazon.com/dp/B0F4RF551P</x:v>
      </x:c>
      <x:c r="F178" s="21" t="str">
        <x:v>numbuzin Official</x:v>
      </x:c>
      <x:c r="G178" s="21" t="str">
        <x:v>Official brand seller observed</x:v>
      </x:c>
      <x:c r="H178" s="31" t="n">
        <x:v>22</x:v>
      </x:c>
      <x:c r="I178" s="31" t="n">
        <x:v>16.99</x:v>
      </x:c>
      <x:c r="J178" s="35" t="n">
        <x:v>0.2277</x:v>
      </x:c>
      <x:c r="K178" s="33"/>
      <x:c r="L178" s="27"/>
      <x:c r="M178" s="21" t="str">
        <x:v>#5,268 Beauty; #44 Toners</x:v>
      </x:c>
      <x:c r="N178" s="21" t="str">
        <x:v>5K+ bought in past month</x:v>
      </x:c>
      <x:c r="O178" s="21" t="str">
        <x:v>In stock</x:v>
      </x:c>
      <x:c r="P178" s="21"/>
      <x:c r="Q178" s="21" t="str">
        <x:v>No. 9 NAD+ PDRN Essence Toner; sold by numbuzin Official.</x:v>
      </x:c>
      <x:c r="R178" s="21" t="str">
        <x:v>At least $84,950/month</x:v>
      </x:c>
      <x:c r="S178" s="21" t="str">
        <x:v>5,000 rounded badge × $16.99 observed one-time price.</x:v>
      </x:c>
      <x:c r="T178" s="21" t="str">
        <x:v>Medium-High</x:v>
      </x:c>
      <x:c r="U178" s="25" t="str">
        <x:v>2026-08-01</x:v>
      </x:c>
      <x:c r="V178" s="21" t="str">
        <x:v>SRC-NBZ-015</x:v>
      </x:c>
      <x:c r="W178" s="21" t="str">
        <x:v>ASIN B0F4RF551P; dynamic badge and rank.</x:v>
      </x:c>
    </x:row>
    <x:row r="179" ht="110" customHeight="1">
      <x:c r="A179" s="21" t="str">
        <x:v>CH-NBZ-007</x:v>
      </x:c>
      <x:c r="B179" s="21" t="str">
        <x:v>KB012</x:v>
      </x:c>
      <x:c r="C179" s="21" t="str">
        <x:v>NBZ-P005</x:v>
      </x:c>
      <x:c r="D179" s="21" t="str">
        <x:v>Amazon U.S.</x:v>
      </x:c>
      <x:c r="E179" s="21" t="str">
        <x:v>https://www.amazon.com/dp/B0915K6WD3</x:v>
      </x:c>
      <x:c r="F179" s="21" t="str">
        <x:v>numbuzin Official</x:v>
      </x:c>
      <x:c r="G179" s="21" t="str">
        <x:v>Official brand seller observed</x:v>
      </x:c>
      <x:c r="H179" s="31" t="n">
        <x:v>28</x:v>
      </x:c>
      <x:c r="I179" s="31"/>
      <x:c r="J179" s="35"/>
      <x:c r="K179" s="33" t="n">
        <x:v>4274</x:v>
      </x:c>
      <x:c r="L179" s="27" t="n">
        <x:v>4.4</x:v>
      </x:c>
      <x:c r="M179" s="21" t="str">
        <x:v>#19,885 Beauty; #446 Facial Serums</x:v>
      </x:c>
      <x:c r="N179" s="21" t="str">
        <x:v>1K+ bought in past month</x:v>
      </x:c>
      <x:c r="O179" s="21" t="str">
        <x:v>Offer active; no featured price when checked</x:v>
      </x:c>
      <x:c r="P179" s="21"/>
      <x:c r="Q179" s="21" t="str">
        <x:v>No. 3 Skin Softening Serum; sold by numbuzin Official.</x:v>
      </x:c>
      <x:c r="R179" s="21" t="str">
        <x:v>At least 1,000 units/month; revenue excluded</x:v>
      </x:c>
      <x:c r="S179" s="21" t="str">
        <x:v>Badge retained in unit floor; no Amazon revenue imputed because a featured price was not displayed.</x:v>
      </x:c>
      <x:c r="T179" s="21" t="str">
        <x:v>Medium-High</x:v>
      </x:c>
      <x:c r="U179" s="25" t="str">
        <x:v>2026-08-01</x:v>
      </x:c>
      <x:c r="V179" s="21" t="str">
        <x:v>SRC-NBZ-016</x:v>
      </x:c>
      <x:c r="W179" s="21" t="str">
        <x:v>ASIN B0915K6WD3; current rank does not support top-10 claim.</x:v>
      </x:c>
    </x:row>
    <x:row r="180" ht="110" customHeight="1">
      <x:c r="A180" s="21" t="str">
        <x:v>CH-NBZ-008</x:v>
      </x:c>
      <x:c r="B180" s="21" t="str">
        <x:v>KB012</x:v>
      </x:c>
      <x:c r="C180" s="21"/>
      <x:c r="D180" s="21" t="str">
        <x:v>Amazon U.S. — No. 5 Pads</x:v>
      </x:c>
      <x:c r="E180" s="21" t="str">
        <x:v>https://www.amazon.com/dp/B0C61CJ66L</x:v>
      </x:c>
      <x:c r="F180" s="21" t="str">
        <x:v>numbuzin Official</x:v>
      </x:c>
      <x:c r="G180" s="21" t="str">
        <x:v>Official brand seller observed</x:v>
      </x:c>
      <x:c r="H180" s="31"/>
      <x:c r="I180" s="31" t="n">
        <x:v>16.32</x:v>
      </x:c>
      <x:c r="J180" s="35"/>
      <x:c r="K180" s="33"/>
      <x:c r="L180" s="27"/>
      <x:c r="M180" s="21" t="str">
        <x:v>#8,631 Beauty; #71 Toners</x:v>
      </x:c>
      <x:c r="N180" s="21" t="str">
        <x:v>2K+ bought in past month</x:v>
      </x:c>
      <x:c r="O180" s="21" t="str">
        <x:v>In stock</x:v>
      </x:c>
      <x:c r="P180" s="21"/>
      <x:c r="Q180" s="21" t="str">
        <x:v>Secondary brightening toner-pad demand supports portfolio breadth.</x:v>
      </x:c>
      <x:c r="R180" s="21" t="str">
        <x:v>Excluded from five-hero floor</x:v>
      </x:c>
      <x:c r="S180" s="21" t="str">
        <x:v>Excluded to keep the conservative estimate tied to the five selected hero SKUs.</x:v>
      </x:c>
      <x:c r="T180" s="21" t="str">
        <x:v>Medium-High</x:v>
      </x:c>
      <x:c r="U180" s="25" t="str">
        <x:v>2026-08-01</x:v>
      </x:c>
      <x:c r="V180" s="21" t="str">
        <x:v>SRC-NBZ-017</x:v>
      </x:c>
      <x:c r="W180" s="21" t="str">
        <x:v>ASIN B0C61CJ66L; dynamic display.</x:v>
      </x:c>
    </x:row>
    <x:row r="181" ht="110" customHeight="1">
      <x:c r="A181" s="21" t="str">
        <x:v>CH-NBZ-009</x:v>
      </x:c>
      <x:c r="B181" s="21" t="str">
        <x:v>KB012</x:v>
      </x:c>
      <x:c r="C181" s="21"/>
      <x:c r="D181" s="21" t="str">
        <x:v>TikTok Shop U.S.</x:v>
      </x:c>
      <x:c r="E181" s="21" t="str">
        <x:v>https://linktr.ee/numbuzin_tiktokshop</x:v>
      </x:c>
      <x:c r="F181" s="21" t="str">
        <x:v>Numbuzin / marketplace sellers</x:v>
      </x:c>
      <x:c r="G181" s="21" t="str">
        <x:v>Official shop link plus mixed marketplace visibility</x:v>
      </x:c>
      <x:c r="H181" s="31"/>
      <x:c r="I181" s="31"/>
      <x:c r="J181" s="35"/>
      <x:c r="K181" s="33"/>
      <x:c r="L181" s="27"/>
      <x:c r="M181" s="21"/>
      <x:c r="N181" s="21" t="str">
        <x:v>Official U.S. shop link advertised 18 products; product/search displays showed meaningful sold counts</x:v>
      </x:c>
      <x:c r="O181" s="21" t="str">
        <x:v>Active</x:v>
      </x:c>
      <x:c r="P181" s="21"/>
      <x:c r="Q181" s="21" t="str">
        <x:v>Official Linktree routes consumers to a U.S. TikTok Shop; marketplace search can also surface iHerb and other sellers.</x:v>
      </x:c>
      <x:c r="R181" s="21" t="str">
        <x:v>Not estimated</x:v>
      </x:c>
      <x:c r="S181" s="21" t="str">
        <x:v>Public cumulative sold displays are not period-level audited sell-through.</x:v>
      </x:c>
      <x:c r="T181" s="21" t="str">
        <x:v>Medium</x:v>
      </x:c>
      <x:c r="U181" s="25" t="str">
        <x:v>2026-08-01</x:v>
      </x:c>
      <x:c r="V181" s="21" t="str">
        <x:v>SRC-NBZ-007,SRC-NBZ-030</x:v>
      </x:c>
      <x:c r="W181" s="21" t="str">
        <x:v>Confirm official shop legal entity, seller identity, authorized affiliates and SKU rights.</x:v>
      </x:c>
    </x:row>
    <x:row r="182" ht="110" customHeight="1">
      <x:c r="A182" s="21" t="str">
        <x:v>CH-NBZ-010</x:v>
      </x:c>
      <x:c r="B182" s="21" t="str">
        <x:v>KB012</x:v>
      </x:c>
      <x:c r="C182" s="21"/>
      <x:c r="D182" s="21" t="str">
        <x:v>Instagram</x:v>
      </x:c>
      <x:c r="E182" s="21" t="str">
        <x:v>https://www.instagram.com/numbuzin_global/</x:v>
      </x:c>
      <x:c r="F182" s="21" t="str">
        <x:v>@numbuzin_global</x:v>
      </x:c>
      <x:c r="G182" s="21" t="str">
        <x:v>Official account linked by brand</x:v>
      </x:c>
      <x:c r="H182" s="31"/>
      <x:c r="I182" s="31"/>
      <x:c r="J182" s="35"/>
      <x:c r="K182" s="33" t="n">
        <x:v>205645</x:v>
      </x:c>
      <x:c r="L182" s="27"/>
      <x:c r="M182" s="21"/>
      <x:c r="N182" s="21" t="str">
        <x:v>About 205.6K followers; 250 posts at third-party snapshot</x:v>
      </x:c>
      <x:c r="O182" s="21" t="str">
        <x:v>Active</x:v>
      </x:c>
      <x:c r="P182" s="21"/>
      <x:c r="Q182" s="21" t="str">
        <x:v>Large global beauty audience; brand posted a 200K milestone in June 2026.</x:v>
      </x:c>
      <x:c r="R182" s="21" t="str">
        <x:v>Not estimated</x:v>
      </x:c>
      <x:c r="S182" s="21" t="str">
        <x:v>Third-party monitoring; not U.S.-only and not audited revenue.</x:v>
      </x:c>
      <x:c r="T182" s="21" t="str">
        <x:v>Medium</x:v>
      </x:c>
      <x:c r="U182" s="25" t="str">
        <x:v>2026-08-01</x:v>
      </x:c>
      <x:c r="V182" s="21" t="str">
        <x:v>SRC-NBZ-007,SRC-NBZ-008</x:v>
      </x:c>
      <x:c r="W182" s="21" t="str">
        <x:v>Follower and engagement counts are dynamic.</x:v>
      </x:c>
    </x:row>
    <x:row r="183" ht="110" customHeight="1">
      <x:c r="A183" s="21" t="str">
        <x:v>CH-NBZ-011</x:v>
      </x:c>
      <x:c r="B183" s="21" t="str">
        <x:v>KB012</x:v>
      </x:c>
      <x:c r="C183" s="21"/>
      <x:c r="D183" s="21" t="str">
        <x:v>Ulta Beauty</x:v>
      </x:c>
      <x:c r="E183" s="21" t="str">
        <x:v>https://www.ulta.com/brand/numbuzin</x:v>
      </x:c>
      <x:c r="F183" s="21" t="str">
        <x:v>Ulta Beauty</x:v>
      </x:c>
      <x:c r="G183" s="21" t="str">
        <x:v>Authorized national beauty retailer</x:v>
      </x:c>
      <x:c r="H183" s="31"/>
      <x:c r="I183" s="31"/>
      <x:c r="J183" s="35"/>
      <x:c r="K183" s="33"/>
      <x:c r="L183" s="27"/>
      <x:c r="M183" s="21"/>
      <x:c r="N183" s="21" t="str">
        <x:v>13-product brand assortment; several online-only items</x:v>
      </x:c>
      <x:c r="O183" s="21" t="str">
        <x:v>Active</x:v>
      </x:c>
      <x:c r="P183" s="21"/>
      <x:c r="Q183" s="21" t="str">
        <x:v>Current brand page included No. 9 Essence $29, No. 9 Toner $19, No. 5 Serum $20, No. 3 Serum $28, No. 3 Toner $22 and sunscreen $17.</x:v>
      </x:c>
      <x:c r="R183" s="21" t="str">
        <x:v>Not estimated</x:v>
      </x:c>
      <x:c r="S183" s="21" t="str">
        <x:v>Retail presence and prices verified; sell-through not public.</x:v>
      </x:c>
      <x:c r="T183" s="21" t="str">
        <x:v>High</x:v>
      </x:c>
      <x:c r="U183" s="25" t="str">
        <x:v>2026-08-01</x:v>
      </x:c>
      <x:c r="V183" s="21" t="str">
        <x:v>SRC-NBZ-026</x:v>
      </x:c>
      <x:c r="W183" s="21" t="str">
        <x:v>National retail validation materially limits open distribution whitespace.</x:v>
      </x:c>
    </x:row>
    <x:row r="184" ht="110" customHeight="1">
      <x:c r="A184" s="21" t="str">
        <x:v>CH-NBZ-012</x:v>
      </x:c>
      <x:c r="B184" s="21" t="str">
        <x:v>KB012</x:v>
      </x:c>
      <x:c r="C184" s="21"/>
      <x:c r="D184" s="21" t="str">
        <x:v>Target</x:v>
      </x:c>
      <x:c r="E184" s="21" t="str">
        <x:v>https://www.target.com/b/numbuzin/-/N-q643leiqo6e</x:v>
      </x:c>
      <x:c r="F184" s="21" t="str">
        <x:v>Target / listed sellers</x:v>
      </x:c>
      <x:c r="G184" s="21" t="str">
        <x:v>National mass retailer presence observed</x:v>
      </x:c>
      <x:c r="H184" s="31"/>
      <x:c r="I184" s="31"/>
      <x:c r="J184" s="35"/>
      <x:c r="K184" s="33"/>
      <x:c r="L184" s="27"/>
      <x:c r="M184" s="21"/>
      <x:c r="N184" s="21" t="str">
        <x:v>12 results; No. 3 mask displayed 7K+ bought/month at Target</x:v>
      </x:c>
      <x:c r="O184" s="21" t="str">
        <x:v>Active</x:v>
      </x:c>
      <x:c r="P184" s="21"/>
      <x:c r="Q184" s="21" t="str">
        <x:v>Assortment included No. 9 Essence, No. 5 Serum, sunscreen, No. 3 Toner/Serum/Mask and No. 5 Pads; prices and reviews varied.</x:v>
      </x:c>
      <x:c r="R184" s="21" t="str">
        <x:v>Not estimated</x:v>
      </x:c>
      <x:c r="S184" s="21" t="str">
        <x:v>Retailer product/display data; exact store coverage and seller authorization by SKU require confirmation.</x:v>
      </x:c>
      <x:c r="T184" s="21" t="str">
        <x:v>High</x:v>
      </x:c>
      <x:c r="U184" s="25" t="str">
        <x:v>2026-08-01</x:v>
      </x:c>
      <x:c r="V184" s="21" t="str">
        <x:v>SRC-NBZ-027</x:v>
      </x:c>
      <x:c r="W184" s="21" t="str">
        <x:v>Target badges are platform signals, not audited U.S. revenue.</x:v>
      </x:c>
    </x:row>
    <x:row r="185" ht="110" customHeight="1">
      <x:c r="A185" s="21" t="str">
        <x:v>CH-NBZ-013</x:v>
      </x:c>
      <x:c r="B185" s="21" t="str">
        <x:v>KB012</x:v>
      </x:c>
      <x:c r="C185" s="21" t="str">
        <x:v>NBZ-P001</x:v>
      </x:c>
      <x:c r="D185" s="21" t="str">
        <x:v>Costco</x:v>
      </x:c>
      <x:c r="E185" s="21" t="str">
        <x:v>https://www.costco.com/numbuzin-lifting-essence-no.9-nad%2B-bio%2C-1.69-fl-oz%2C-2-pack.product.1971339.html</x:v>
      </x:c>
      <x:c r="F185" s="21" t="str">
        <x:v>Costco Wholesale</x:v>
      </x:c>
      <x:c r="G185" s="21" t="str">
        <x:v>National club retailer</x:v>
      </x:c>
      <x:c r="H185" s="31"/>
      <x:c r="I185" s="31"/>
      <x:c r="J185" s="35"/>
      <x:c r="K185" s="33" t="n">
        <x:v>104</x:v>
      </x:c>
      <x:c r="L185" s="27" t="n">
        <x:v>4.6</x:v>
      </x:c>
      <x:c r="M185" s="21"/>
      <x:c r="N185" s="21" t="str">
        <x:v>No. 9 Essence two-pack, item 1971339</x:v>
      </x:c>
      <x:c r="O185" s="21" t="str">
        <x:v>Active / member availability varies</x:v>
      </x:c>
      <x:c r="P185" s="21"/>
      <x:c r="Q185" s="21" t="str">
        <x:v>Club two-pack validates scale but creates pack/price conflict risk.</x:v>
      </x:c>
      <x:c r="R185" s="21" t="str">
        <x:v>Not estimated</x:v>
      </x:c>
      <x:c r="S185" s="21" t="str">
        <x:v>Member price and inventory can vary by account/location.</x:v>
      </x:c>
      <x:c r="T185" s="21" t="str">
        <x:v>High</x:v>
      </x:c>
      <x:c r="U185" s="25" t="str">
        <x:v>2026-08-01</x:v>
      </x:c>
      <x:c r="V185" s="21" t="str">
        <x:v>SRC-NBZ-028</x:v>
      </x:c>
      <x:c r="W185" s="21" t="str">
        <x:v>Require club/off-price rules and exclusive pack mapping.</x:v>
      </x:c>
    </x:row>
    <x:row r="186" ht="110" customHeight="1">
      <x:c r="A186" s="21" t="str">
        <x:v>CH-NBZ-014</x:v>
      </x:c>
      <x:c r="B186" s="21" t="str">
        <x:v>KB012</x:v>
      </x:c>
      <x:c r="C186" s="21"/>
      <x:c r="D186" s="21" t="str">
        <x:v>Walmart Marketplace</x:v>
      </x:c>
      <x:c r="E186" s="21" t="str">
        <x:v>https://www.walmart.com/browse/beauty/skincare/numbuzin/1085666_1007039/YnJhbmQ6bnVtYnV6aW4ie</x:v>
      </x:c>
      <x:c r="F186" s="21" t="str">
        <x:v>Multiple marketplace sellers</x:v>
      </x:c>
      <x:c r="G186" s="21" t="str">
        <x:v>Authorization not confirmed</x:v>
      </x:c>
      <x:c r="H186" s="31"/>
      <x:c r="I186" s="31"/>
      <x:c r="J186" s="35"/>
      <x:c r="K186" s="33"/>
      <x:c r="L186" s="27"/>
      <x:c r="M186" s="21"/>
      <x:c r="N186" s="21" t="str">
        <x:v>17 products in filtered category</x:v>
      </x:c>
      <x:c r="O186" s="21" t="str">
        <x:v>Active</x:v>
      </x:c>
      <x:c r="P186" s="21"/>
      <x:c r="Q186" s="21" t="str">
        <x:v>Listings included No. 5 Serum, No. 3 Serum and No. 3 Toner with mixed ratings and sellers.</x:v>
      </x:c>
      <x:c r="R186" s="21" t="str">
        <x:v>Not estimated</x:v>
      </x:c>
      <x:c r="S186" s="21" t="str">
        <x:v>Marketplace presence is a provenance and price-risk signal, not proof of official Walmart distribution.</x:v>
      </x:c>
      <x:c r="T186" s="21" t="str">
        <x:v>Medium</x:v>
      </x:c>
      <x:c r="U186" s="25" t="str">
        <x:v>2026-08-01</x:v>
      </x:c>
      <x:c r="V186" s="21" t="str">
        <x:v>SRC-NBZ-029</x:v>
      </x:c>
      <x:c r="W186" s="21" t="str">
        <x:v>Require seller invoices, authorization and formula/package mapping.</x:v>
      </x:c>
    </x:row>
    <x:row r="187" ht="110" customHeight="1">
      <x:c r="A187" s="21" t="str">
        <x:v>CH-NBZ-015</x:v>
      </x:c>
      <x:c r="B187" s="21" t="str">
        <x:v>KB012</x:v>
      </x:c>
      <x:c r="C187" s="21"/>
      <x:c r="D187" s="21" t="str">
        <x:v>Olive Young Global</x:v>
      </x:c>
      <x:c r="E187" s="21" t="str">
        <x:v>https://global.oliveyoung.com/display/page/brand-page?brandNo=B00421</x:v>
      </x:c>
      <x:c r="F187" s="21" t="str">
        <x:v>Olive Young Global</x:v>
      </x:c>
      <x:c r="G187" s="21" t="str">
        <x:v>Official brand-linked cross-border retailer</x:v>
      </x:c>
      <x:c r="H187" s="31"/>
      <x:c r="I187" s="31"/>
      <x:c r="J187" s="35"/>
      <x:c r="K187" s="33"/>
      <x:c r="L187" s="27"/>
      <x:c r="M187" s="21"/>
      <x:c r="N187" s="21" t="str">
        <x:v>Broad cross-border K-Beauty visibility</x:v>
      </x:c>
      <x:c r="O187" s="21" t="str">
        <x:v>Active</x:v>
      </x:c>
      <x:c r="P187" s="21"/>
      <x:c r="Q187" s="21" t="str">
        <x:v>Official Linktree identifies Olive Young Global as a shopping channel.</x:v>
      </x:c>
      <x:c r="R187" s="21" t="str">
        <x:v>Not estimated</x:v>
      </x:c>
      <x:c r="S187" s="21" t="str">
        <x:v>Global channel evidence is not U.S. sell-through.</x:v>
      </x:c>
      <x:c r="T187" s="21" t="str">
        <x:v>Medium-High</x:v>
      </x:c>
      <x:c r="U187" s="25" t="str">
        <x:v>2026-08-01</x:v>
      </x:c>
      <x:c r="V187" s="21" t="str">
        <x:v>SRC-NBZ-007,SRC-NBZ-031</x:v>
      </x:c>
      <x:c r="W187" s="21" t="str">
        <x:v>Cross-border price/version and freight can conflict with U.S. resale.</x:v>
      </x:c>
    </x:row>
    <x:row r="188" ht="110" customHeight="1">
      <x:c r="A188" s="21" t="str">
        <x:v>CH-NBZ-016</x:v>
      </x:c>
      <x:c r="B188" s="21" t="str">
        <x:v>KB012</x:v>
      </x:c>
      <x:c r="C188" s="21"/>
      <x:c r="D188" s="21" t="str">
        <x:v>YesStyle</x:v>
      </x:c>
      <x:c r="E188" s="21" t="str">
        <x:v>https://www.yesstyle.com/en/numbuzin/list.html/bpt.299_bid.323055</x:v>
      </x:c>
      <x:c r="F188" s="21" t="str">
        <x:v>YesStyle</x:v>
      </x:c>
      <x:c r="G188" s="21" t="str">
        <x:v>Official brand-linked cross-border retailer</x:v>
      </x:c>
      <x:c r="H188" s="31"/>
      <x:c r="I188" s="31"/>
      <x:c r="J188" s="35"/>
      <x:c r="K188" s="33"/>
      <x:c r="L188" s="27"/>
      <x:c r="M188" s="21"/>
      <x:c r="N188" s="21" t="str">
        <x:v>Broad assortment and promotions</x:v>
      </x:c>
      <x:c r="O188" s="21" t="str">
        <x:v>Active</x:v>
      </x:c>
      <x:c r="P188" s="21"/>
      <x:c r="Q188" s="21" t="str">
        <x:v>Official Linktree identifies YesStyle; pricing and formula versions may differ by market.</x:v>
      </x:c>
      <x:c r="R188" s="21" t="str">
        <x:v>Not estimated</x:v>
      </x:c>
      <x:c r="S188" s="21" t="str">
        <x:v>Cross-border retail evidence only.</x:v>
      </x:c>
      <x:c r="T188" s="21" t="str">
        <x:v>Medium</x:v>
      </x:c>
      <x:c r="U188" s="25" t="str">
        <x:v>2026-08-01</x:v>
      </x:c>
      <x:c r="V188" s="21" t="str">
        <x:v>SRC-NBZ-007,SRC-NBZ-032</x:v>
      </x:c>
      <x:c r="W188" s="21" t="str">
        <x:v>Confirm authorization and exact U.S.-compliant SKU versions.</x:v>
      </x:c>
    </x:row>
    <x:row r="189" ht="110" customHeight="1">
      <x:c r="A189" s="21" t="str">
        <x:v>CH-NBZ-017</x:v>
      </x:c>
      <x:c r="B189" s="21" t="str">
        <x:v>KB012</x:v>
      </x:c>
      <x:c r="C189" s="21"/>
      <x:c r="D189" s="21" t="str">
        <x:v>StyleKorean</x:v>
      </x:c>
      <x:c r="E189" s="21" t="str">
        <x:v>https://www.stylekorean.com/brands/1066/numbuzin</x:v>
      </x:c>
      <x:c r="F189" s="21" t="str">
        <x:v>StyleKorean</x:v>
      </x:c>
      <x:c r="G189" s="21" t="str">
        <x:v>Official brand-linked cross-border retailer</x:v>
      </x:c>
      <x:c r="H189" s="31"/>
      <x:c r="I189" s="31"/>
      <x:c r="J189" s="35"/>
      <x:c r="K189" s="33"/>
      <x:c r="L189" s="27"/>
      <x:c r="M189" s="21"/>
      <x:c r="N189" s="21" t="str">
        <x:v>Broad assortment and promotions</x:v>
      </x:c>
      <x:c r="O189" s="21" t="str">
        <x:v>Active</x:v>
      </x:c>
      <x:c r="P189" s="21"/>
      <x:c r="Q189" s="21" t="str">
        <x:v>Official Linktree identifies StyleKorean as a shopping channel.</x:v>
      </x:c>
      <x:c r="R189" s="21" t="str">
        <x:v>Not estimated</x:v>
      </x:c>
      <x:c r="S189" s="21" t="str">
        <x:v>Cross-border retail evidence only.</x:v>
      </x:c>
      <x:c r="T189" s="21" t="str">
        <x:v>Medium</x:v>
      </x:c>
      <x:c r="U189" s="25" t="str">
        <x:v>2026-08-01</x:v>
      </x:c>
      <x:c r="V189" s="21" t="str">
        <x:v>SRC-NBZ-007,SRC-NBZ-033</x:v>
      </x:c>
      <x:c r="W189" s="21" t="str">
        <x:v>Promotion depth can compress U.S. pricing.</x:v>
      </x:c>
    </x:row>
    <x:row r="190" ht="110" customHeight="1">
      <x:c r="A190" s="21" t="str">
        <x:v>CH-NBZ-018</x:v>
      </x:c>
      <x:c r="B190" s="21" t="str">
        <x:v>KB012</x:v>
      </x:c>
      <x:c r="C190" s="21"/>
      <x:c r="D190" s="21" t="str">
        <x:v>Jolse</x:v>
      </x:c>
      <x:c r="E190" s="21" t="str">
        <x:v>https://jolse.com/category/numbuzin/2295/</x:v>
      </x:c>
      <x:c r="F190" s="21" t="str">
        <x:v>Jolse</x:v>
      </x:c>
      <x:c r="G190" s="21" t="str">
        <x:v>Official brand-linked cross-border retailer</x:v>
      </x:c>
      <x:c r="H190" s="31"/>
      <x:c r="I190" s="31"/>
      <x:c r="J190" s="35"/>
      <x:c r="K190" s="33"/>
      <x:c r="L190" s="27"/>
      <x:c r="M190" s="21"/>
      <x:c r="N190" s="21" t="str">
        <x:v>Broad assortment and promotions</x:v>
      </x:c>
      <x:c r="O190" s="21" t="str">
        <x:v>Active</x:v>
      </x:c>
      <x:c r="P190" s="21"/>
      <x:c r="Q190" s="21" t="str">
        <x:v>Official Linktree identifies Jolse as a shopping channel.</x:v>
      </x:c>
      <x:c r="R190" s="21" t="str">
        <x:v>Not estimated</x:v>
      </x:c>
      <x:c r="S190" s="21" t="str">
        <x:v>Cross-border retail evidence only.</x:v>
      </x:c>
      <x:c r="T190" s="21" t="str">
        <x:v>Medium</x:v>
      </x:c>
      <x:c r="U190" s="25" t="str">
        <x:v>2026-08-01</x:v>
      </x:c>
      <x:c r="V190" s="21" t="str">
        <x:v>SRC-NBZ-007,SRC-NBZ-034</x:v>
      </x:c>
      <x:c r="W190" s="21" t="str">
        <x:v>Authorization and formula/package mapping require confirmation.</x:v>
      </x:c>
    </x:row>
    <x:row r="191" ht="110" customHeight="1">
      <x:c r="A191" s="21" t="str">
        <x:v>CH-NBZ-019</x:v>
      </x:c>
      <x:c r="B191" s="21" t="str">
        <x:v>KB012</x:v>
      </x:c>
      <x:c r="C191" s="21"/>
      <x:c r="D191" s="21" t="str">
        <x:v>Official Channel Map</x:v>
      </x:c>
      <x:c r="E191" s="21" t="str">
        <x:v>https://linktr.ee/numbuzin</x:v>
      </x:c>
      <x:c r="F191" s="21" t="str">
        <x:v>Numbuzin</x:v>
      </x:c>
      <x:c r="G191" s="21" t="str">
        <x:v>Official Linktree</x:v>
      </x:c>
      <x:c r="H191" s="31"/>
      <x:c r="I191" s="31"/>
      <x:c r="J191" s="35"/>
      <x:c r="K191" s="33"/>
      <x:c r="L191" s="27"/>
      <x:c r="M191" s="21"/>
      <x:c r="N191" s="21" t="str">
        <x:v>Links official website, Amazon, Instagram, TikTok and major retailers</x:v>
      </x:c>
      <x:c r="O191" s="21" t="str">
        <x:v>Active</x:v>
      </x:c>
      <x:c r="P191" s="21"/>
      <x:c r="Q191" s="21" t="str">
        <x:v>First-party channel map corroborates dense direct, social, marketplace, national-retail and cross-border distribution.</x:v>
      </x:c>
      <x:c r="R191" s="21" t="str">
        <x:v>Not estimated</x:v>
      </x:c>
      <x:c r="S191" s="21" t="str">
        <x:v>Channel-presence verification only.</x:v>
      </x:c>
      <x:c r="T191" s="21" t="str">
        <x:v>High</x:v>
      </x:c>
      <x:c r="U191" s="25" t="str">
        <x:v>2026-08-01</x:v>
      </x:c>
      <x:c r="V191" s="21" t="str">
        <x:v>SRC-NBZ-007</x:v>
      </x:c>
      <x:c r="W191" s="21" t="str">
        <x:v>Dense channel map supports awareness but limits a new broad distributor.</x:v>
      </x:c>
    </x:row>
    <x:row r="192" ht="116" customHeight="1">
      <x:c r="A192" s="21" t="str">
        <x:v>CH-MIX-001</x:v>
      </x:c>
      <x:c r="B192" s="21" t="str">
        <x:v>KB013</x:v>
      </x:c>
      <x:c r="C192" s="21"/>
      <x:c r="D192" s="21" t="str">
        <x:v>Official U.S. DTC</x:v>
      </x:c>
      <x:c r="E192" s="21" t="str">
        <x:v>https://mixsoon.us</x:v>
      </x:c>
      <x:c r="F192" s="21" t="str">
        <x:v>PARKET INC. / Mixsoon</x:v>
      </x:c>
      <x:c r="G192" s="21" t="str">
        <x:v>Official</x:v>
      </x:c>
      <x:c r="H192" s="31"/>
      <x:c r="I192" s="31"/>
      <x:c r="J192" s="35"/>
      <x:c r="K192" s="33"/>
      <x:c r="L192" s="27"/>
      <x:c r="M192" s="21"/>
      <x:c r="N192" s="21" t="str">
        <x:v>Broad skincare, set and tinted assortment; U.S. shipping and USD storefront</x:v>
      </x:c>
      <x:c r="O192" s="21" t="str">
        <x:v>Active</x:v>
      </x:c>
      <x:c r="P192" s="21"/>
      <x:c r="Q192" s="21" t="str">
        <x:v>Official U.S. consumer storefront, policies, customer service, promotions and B2B contact.</x:v>
      </x:c>
      <x:c r="R192" s="21" t="str">
        <x:v>Not estimated</x:v>
      </x:c>
      <x:c r="S192" s="21" t="str">
        <x:v>First-party storefront; no audited sell-through or wholesale economics disclosed.</x:v>
      </x:c>
      <x:c r="T192" s="21" t="str">
        <x:v>High</x:v>
      </x:c>
      <x:c r="U192" s="25" t="str">
        <x:v>2026-08-01</x:v>
      </x:c>
      <x:c r="V192" s="21" t="str">
        <x:v>SRC-MIX-002,SRC-MIX-004,SRC-MIX-006,SRC-MIX-007</x:v>
      </x:c>
      <x:c r="W192" s="21" t="str">
        <x:v>Confirm U.S. merchant, importer, responsible person, warehouse and exact contracting entity.</x:v>
      </x:c>
    </x:row>
    <x:row r="193" ht="116" customHeight="1">
      <x:c r="A193" s="21" t="str">
        <x:v>CH-MIX-002</x:v>
      </x:c>
      <x:c r="B193" s="21" t="str">
        <x:v>KB013</x:v>
      </x:c>
      <x:c r="C193" s="21"/>
      <x:c r="D193" s="21" t="str">
        <x:v>Amazon U.S. Brand Store</x:v>
      </x:c>
      <x:c r="E193" s="21" t="str">
        <x:v>https://www.amazon.com/stores/mixsoon/page/</x:v>
      </x:c>
      <x:c r="F193" s="21" t="str">
        <x:v>mixsoon</x:v>
      </x:c>
      <x:c r="G193" s="21" t="str">
        <x:v>Official brand store/seller observed</x:v>
      </x:c>
      <x:c r="H193" s="31"/>
      <x:c r="I193" s="31"/>
      <x:c r="J193" s="35"/>
      <x:c r="K193" s="33"/>
      <x:c r="L193" s="27"/>
      <x:c r="M193" s="21"/>
      <x:c r="N193" s="21" t="str">
        <x:v>Large official-seller assortment; four sampled ASINs total at least 13K units/month</x:v>
      </x:c>
      <x:c r="O193" s="21" t="str">
        <x:v>Active</x:v>
      </x:c>
      <x:c r="P193" s="21"/>
      <x:c r="Q193" s="21" t="str">
        <x:v>Official FAQ and Linktree identify Amazon; sampled listings showed mixsoon as seller and Amazon fulfillment.</x:v>
      </x:c>
      <x:c r="R193" s="21" t="str">
        <x:v>At least 13,000 units/month; at least $284,290/month at observed prices</x:v>
      </x:c>
      <x:c r="S193" s="21" t="str">
        <x:v>Rounded purchase badges across four non-overlapping ASINs; excludes all other products.</x:v>
      </x:c>
      <x:c r="T193" s="21" t="str">
        <x:v>Medium-High</x:v>
      </x:c>
      <x:c r="U193" s="25" t="str">
        <x:v>2026-08-01</x:v>
      </x:c>
      <x:c r="V193" s="21" t="str">
        <x:v>SRC-MIX-007,SRC-MIX-009,SRC-MIX-016,SRC-MIX-021</x:v>
      </x:c>
      <x:c r="W193" s="21" t="str">
        <x:v>Dynamic public proxy, not audited revenue or total brand sales.</x:v>
      </x:c>
    </x:row>
    <x:row r="194" ht="116" customHeight="1">
      <x:c r="A194" s="21" t="str">
        <x:v>CH-MIX-003</x:v>
      </x:c>
      <x:c r="B194" s="21" t="str">
        <x:v>KB013</x:v>
      </x:c>
      <x:c r="C194" s="21" t="str">
        <x:v>MIX-P001</x:v>
      </x:c>
      <x:c r="D194" s="21" t="str">
        <x:v>Amazon U.S. — Bean Essence 50 mL</x:v>
      </x:c>
      <x:c r="E194" s="21" t="str">
        <x:v>https://www.amazon.com/dp/B08ZXVVY8M</x:v>
      </x:c>
      <x:c r="F194" s="21" t="str">
        <x:v>mixsoon</x:v>
      </x:c>
      <x:c r="G194" s="21" t="str">
        <x:v>Official brand seller observed</x:v>
      </x:c>
      <x:c r="H194" s="31" t="n">
        <x:v>35</x:v>
      </x:c>
      <x:c r="I194" s="31" t="n">
        <x:v>22</x:v>
      </x:c>
      <x:c r="J194" s="35" t="n">
        <x:v>0.3714</x:v>
      </x:c>
      <x:c r="K194" s="33" t="n">
        <x:v>9975</x:v>
      </x:c>
      <x:c r="L194" s="27" t="n">
        <x:v>4.6</x:v>
      </x:c>
      <x:c r="M194" s="21" t="str">
        <x:v>#4,047 Beauty; #115 Facial Serums</x:v>
      </x:c>
      <x:c r="N194" s="21" t="str">
        <x:v>6K+ bought in past month</x:v>
      </x:c>
      <x:c r="O194" s="21" t="str">
        <x:v>In stock / offer active</x:v>
      </x:c>
      <x:c r="P194" s="21"/>
      <x:c r="Q194" s="21" t="str">
        <x:v>Sold by mixsoon and shipped by Amazon; 50 mL hero listing.</x:v>
      </x:c>
      <x:c r="R194" s="21" t="str">
        <x:v>At least $132,000/month</x:v>
      </x:c>
      <x:c r="S194" s="21" t="str">
        <x:v>6,000 rounded badge × $22 observed one-time price.</x:v>
      </x:c>
      <x:c r="T194" s="21" t="str">
        <x:v>Medium-High</x:v>
      </x:c>
      <x:c r="U194" s="25" t="str">
        <x:v>2026-08-01</x:v>
      </x:c>
      <x:c r="V194" s="21" t="str">
        <x:v>SRC-MIX-017</x:v>
      </x:c>
      <x:c r="W194" s="21" t="str">
        <x:v>ASIN B08ZXVVY8M; price, rating and rank are dynamic.</x:v>
      </x:c>
    </x:row>
    <x:row r="195" ht="116" customHeight="1">
      <x:c r="A195" s="21" t="str">
        <x:v>CH-MIX-004</x:v>
      </x:c>
      <x:c r="B195" s="21" t="str">
        <x:v>KB013</x:v>
      </x:c>
      <x:c r="C195" s="21" t="str">
        <x:v>MIX-P001</x:v>
      </x:c>
      <x:c r="D195" s="21" t="str">
        <x:v>Amazon U.S. — Bean Essence 30 mL</x:v>
      </x:c>
      <x:c r="E195" s="21" t="str">
        <x:v>https://www.amazon.com/dp/B0BXKV9V2D</x:v>
      </x:c>
      <x:c r="F195" s="21" t="str">
        <x:v>mixsoon</x:v>
      </x:c>
      <x:c r="G195" s="21" t="str">
        <x:v>Official brand seller observed</x:v>
      </x:c>
      <x:c r="H195" s="31" t="n">
        <x:v>25</x:v>
      </x:c>
      <x:c r="I195" s="31" t="n">
        <x:v>14.79</x:v>
      </x:c>
      <x:c r="J195" s="35" t="n">
        <x:v>0.4084</x:v>
      </x:c>
      <x:c r="K195" s="33" t="n">
        <x:v>9975</x:v>
      </x:c>
      <x:c r="L195" s="27" t="n">
        <x:v>4.6</x:v>
      </x:c>
      <x:c r="M195" s="21" t="str">
        <x:v>#3,575 Beauty; #104 Facial Serums</x:v>
      </x:c>
      <x:c r="N195" s="21" t="str">
        <x:v>1K+ bought in past month</x:v>
      </x:c>
      <x:c r="O195" s="21" t="str">
        <x:v>In stock / offer active</x:v>
      </x:c>
      <x:c r="P195" s="21"/>
      <x:c r="Q195" s="21" t="str">
        <x:v>Amazon's Choice display observed; 30 mL travel/entry variant sold by mixsoon.</x:v>
      </x:c>
      <x:c r="R195" s="21" t="str">
        <x:v>At least $14,790/month</x:v>
      </x:c>
      <x:c r="S195" s="21" t="str">
        <x:v>1,000 rounded badge × $14.79 displayed subscription/current price.</x:v>
      </x:c>
      <x:c r="T195" s="21" t="str">
        <x:v>Medium-High</x:v>
      </x:c>
      <x:c r="U195" s="25" t="str">
        <x:v>2026-08-01</x:v>
      </x:c>
      <x:c r="V195" s="21" t="str">
        <x:v>SRC-MIX-018</x:v>
      </x:c>
      <x:c r="W195" s="21" t="str">
        <x:v>ASIN B0BXKV9V2D; price type and variant review family are dynamic.</x:v>
      </x:c>
    </x:row>
    <x:row r="196" ht="116" customHeight="1">
      <x:c r="A196" s="21" t="str">
        <x:v>CH-MIX-005</x:v>
      </x:c>
      <x:c r="B196" s="21" t="str">
        <x:v>KB013</x:v>
      </x:c>
      <x:c r="C196" s="21" t="str">
        <x:v>MIX-P002</x:v>
      </x:c>
      <x:c r="D196" s="21" t="str">
        <x:v>Amazon U.S. — Bean Cream</x:v>
      </x:c>
      <x:c r="E196" s="21" t="str">
        <x:v>https://www.amazon.com/dp/B09GP95FQP</x:v>
      </x:c>
      <x:c r="F196" s="21" t="str">
        <x:v>mixsoon</x:v>
      </x:c>
      <x:c r="G196" s="21" t="str">
        <x:v>Official brand seller observed</x:v>
      </x:c>
      <x:c r="H196" s="31" t="n">
        <x:v>35</x:v>
      </x:c>
      <x:c r="I196" s="31" t="n">
        <x:v>23.6</x:v>
      </x:c>
      <x:c r="J196" s="35" t="n">
        <x:v>0.3257</x:v>
      </x:c>
      <x:c r="K196" s="33" t="n">
        <x:v>3378</x:v>
      </x:c>
      <x:c r="L196" s="27" t="n">
        <x:v>4.7</x:v>
      </x:c>
      <x:c r="M196" s="21" t="str">
        <x:v>#4,061 Beauty; #127 Face Moisturizers</x:v>
      </x:c>
      <x:c r="N196" s="21" t="str">
        <x:v>5K+ bought in past month</x:v>
      </x:c>
      <x:c r="O196" s="21" t="str">
        <x:v>In stock</x:v>
      </x:c>
      <x:c r="P196" s="21"/>
      <x:c r="Q196" s="21" t="str">
        <x:v>Sold by mixsoon and shipped from Amazon Fulfillment.</x:v>
      </x:c>
      <x:c r="R196" s="21" t="str">
        <x:v>At least $118,000/month</x:v>
      </x:c>
      <x:c r="S196" s="21" t="str">
        <x:v>5,000 rounded badge × $23.60 observed price.</x:v>
      </x:c>
      <x:c r="T196" s="21" t="str">
        <x:v>Medium-High</x:v>
      </x:c>
      <x:c r="U196" s="25" t="str">
        <x:v>2026-08-01</x:v>
      </x:c>
      <x:c r="V196" s="21" t="str">
        <x:v>SRC-MIX-019</x:v>
      </x:c>
      <x:c r="W196" s="21" t="str">
        <x:v>ASIN B09GP95FQP; dynamic badge and rank.</x:v>
      </x:c>
    </x:row>
    <x:row r="197" ht="116" customHeight="1">
      <x:c r="A197" s="21" t="str">
        <x:v>CH-MIX-006</x:v>
      </x:c>
      <x:c r="B197" s="21" t="str">
        <x:v>KB013</x:v>
      </x:c>
      <x:c r="C197" s="21" t="str">
        <x:v>MIX-P003</x:v>
      </x:c>
      <x:c r="D197" s="21" t="str">
        <x:v>Amazon U.S. — Glacier Serum</x:v>
      </x:c>
      <x:c r="E197" s="21" t="str">
        <x:v>https://www.amazon.com/dp/B09GP7K353</x:v>
      </x:c>
      <x:c r="F197" s="21" t="str">
        <x:v>mixsoon</x:v>
      </x:c>
      <x:c r="G197" s="21" t="str">
        <x:v>Official brand seller observed</x:v>
      </x:c>
      <x:c r="H197" s="31" t="n">
        <x:v>29</x:v>
      </x:c>
      <x:c r="I197" s="31" t="n">
        <x:v>19.5</x:v>
      </x:c>
      <x:c r="J197" s="35" t="n">
        <x:v>0.3276</x:v>
      </x:c>
      <x:c r="K197" s="33"/>
      <x:c r="L197" s="27"/>
      <x:c r="M197" s="21" t="str">
        <x:v>#5,881 Beauty; #222 Facial Serums</x:v>
      </x:c>
      <x:c r="N197" s="21" t="str">
        <x:v>1K+ bought in past month</x:v>
      </x:c>
      <x:c r="O197" s="21" t="str">
        <x:v>In stock</x:v>
      </x:c>
      <x:c r="P197" s="21"/>
      <x:c r="Q197" s="21" t="str">
        <x:v>Amazon's Choice display observed; large 300 mL format sold by mixsoon.</x:v>
      </x:c>
      <x:c r="R197" s="21" t="str">
        <x:v>At least $19,500/month</x:v>
      </x:c>
      <x:c r="S197" s="21" t="str">
        <x:v>1,000 rounded badge × $19.50 observed one-time price.</x:v>
      </x:c>
      <x:c r="T197" s="21" t="str">
        <x:v>Medium-High</x:v>
      </x:c>
      <x:c r="U197" s="25" t="str">
        <x:v>2026-08-01</x:v>
      </x:c>
      <x:c r="V197" s="21" t="str">
        <x:v>SRC-MIX-020</x:v>
      </x:c>
      <x:c r="W197" s="21" t="str">
        <x:v>ASIN B09GP7K353; dynamic badge, price and rank.</x:v>
      </x:c>
    </x:row>
    <x:row r="198" ht="116" customHeight="1">
      <x:c r="A198" s="21" t="str">
        <x:v>CH-MIX-007</x:v>
      </x:c>
      <x:c r="B198" s="21" t="str">
        <x:v>KB013</x:v>
      </x:c>
      <x:c r="C198" s="21"/>
      <x:c r="D198" s="21" t="str">
        <x:v>TikTok Shop U.S.</x:v>
      </x:c>
      <x:c r="E198" s="21" t="str">
        <x:v>https://shop.tiktok.com/us/store/mixsoon/7496053969826122536</x:v>
      </x:c>
      <x:c r="F198" s="21" t="str">
        <x:v>mixsoon</x:v>
      </x:c>
      <x:c r="G198" s="21" t="str">
        <x:v>Official store linked by brand</x:v>
      </x:c>
      <x:c r="H198" s="31"/>
      <x:c r="I198" s="31"/>
      <x:c r="J198" s="35"/>
      <x:c r="K198" s="33"/>
      <x:c r="L198" s="27"/>
      <x:c r="M198" s="21"/>
      <x:c r="N198" s="21" t="str">
        <x:v>About 358.3K followers, 586.3K sold and 1,067 videos; leading set 72.9K sold</x:v>
      </x:c>
      <x:c r="O198" s="21" t="str">
        <x:v>Active</x:v>
      </x:c>
      <x:c r="P198" s="21"/>
      <x:c r="Q198" s="21" t="str">
        <x:v>High cumulative store and product sold displays across sets, sunscreen, masks, Bean Cream, tinted moisturizer and Bean Essence.</x:v>
      </x:c>
      <x:c r="R198" s="21" t="str">
        <x:v>Very High cumulative social-commerce scale</x:v>
      </x:c>
      <x:c r="S198" s="21" t="str">
        <x:v>Platform cumulative sold/follower displays; not period U.S. audited revenue.</x:v>
      </x:c>
      <x:c r="T198" s="21" t="str">
        <x:v>Medium-High</x:v>
      </x:c>
      <x:c r="U198" s="25" t="str">
        <x:v>2026-08-01</x:v>
      </x:c>
      <x:c r="V198" s="21" t="str">
        <x:v>SRC-MIX-009,SRC-MIX-022</x:v>
      </x:c>
      <x:c r="W198" s="21" t="str">
        <x:v>Recheck legal seller, affiliates, SKU versions and current counts before commercial decisions.</x:v>
      </x:c>
    </x:row>
    <x:row r="199" ht="116" customHeight="1">
      <x:c r="A199" s="21" t="str">
        <x:v>CH-MIX-008</x:v>
      </x:c>
      <x:c r="B199" s="21" t="str">
        <x:v>KB013</x:v>
      </x:c>
      <x:c r="C199" s="21"/>
      <x:c r="D199" s="21" t="str">
        <x:v>Instagram</x:v>
      </x:c>
      <x:c r="E199" s="21" t="str">
        <x:v>https://www.instagram.com/mixsoon_us/</x:v>
      </x:c>
      <x:c r="F199" s="21" t="str">
        <x:v>@mixsoon_us</x:v>
      </x:c>
      <x:c r="G199" s="21" t="str">
        <x:v>Official account linked by brand</x:v>
      </x:c>
      <x:c r="H199" s="31"/>
      <x:c r="I199" s="31"/>
      <x:c r="J199" s="35"/>
      <x:c r="K199" s="33" t="n">
        <x:v>136600</x:v>
      </x:c>
      <x:c r="L199" s="27"/>
      <x:c r="M199" s="21"/>
      <x:c r="N199" s="21" t="str">
        <x:v>About 136.6K followers at third-party snapshot</x:v>
      </x:c>
      <x:c r="O199" s="21" t="str">
        <x:v>Active</x:v>
      </x:c>
      <x:c r="P199" s="21"/>
      <x:c r="Q199" s="21" t="str">
        <x:v>Official U.S. social account supports product education, launches and TikTok/retail traffic.</x:v>
      </x:c>
      <x:c r="R199" s="21" t="str">
        <x:v>Not estimated</x:v>
      </x:c>
      <x:c r="S199" s="21" t="str">
        <x:v>Third-party/global monitoring; not audited U.S. reach or revenue.</x:v>
      </x:c>
      <x:c r="T199" s="21" t="str">
        <x:v>Medium</x:v>
      </x:c>
      <x:c r="U199" s="25" t="str">
        <x:v>2026-08-01</x:v>
      </x:c>
      <x:c r="V199" s="21" t="str">
        <x:v>SRC-MIX-009,SRC-MIX-023,SRC-MIX-024</x:v>
      </x:c>
      <x:c r="W199" s="21" t="str">
        <x:v>Follower count is dynamic.</x:v>
      </x:c>
    </x:row>
    <x:row r="200" ht="116" customHeight="1">
      <x:c r="A200" s="21" t="str">
        <x:v>CH-MIX-009</x:v>
      </x:c>
      <x:c r="B200" s="21" t="str">
        <x:v>KB013</x:v>
      </x:c>
      <x:c r="C200" s="21"/>
      <x:c r="D200" s="21" t="str">
        <x:v>Ulta Beauty</x:v>
      </x:c>
      <x:c r="E200" s="21" t="str">
        <x:v>https://www.ulta.com/brand/mixsoon?category=skin-care%2Ck-beauty</x:v>
      </x:c>
      <x:c r="F200" s="21" t="str">
        <x:v>Ulta Beauty</x:v>
      </x:c>
      <x:c r="G200" s="21" t="str">
        <x:v>Official U.S. retailer listed by brand</x:v>
      </x:c>
      <x:c r="H200" s="31"/>
      <x:c r="I200" s="31"/>
      <x:c r="J200" s="35"/>
      <x:c r="K200" s="33"/>
      <x:c r="L200" s="27"/>
      <x:c r="M200" s="21"/>
      <x:c r="N200" s="21" t="str">
        <x:v>33 results; Bean Cream $24 4.6/80; Bean Essence $21–$24 4.4/189</x:v>
      </x:c>
      <x:c r="O200" s="21" t="str">
        <x:v>Active</x:v>
      </x:c>
      <x:c r="P200" s="21"/>
      <x:c r="Q200" s="21" t="str">
        <x:v>Broad assortment across Bean, PDRN, cleansers, serums, masks and sunscreen; 30 of 33 results were under $25 in reviewed display.</x:v>
      </x:c>
      <x:c r="R200" s="21" t="str">
        <x:v>Not estimated</x:v>
      </x:c>
      <x:c r="S200" s="21" t="str">
        <x:v>Retail presence, prices and reviews verified; sell-through not public.</x:v>
      </x:c>
      <x:c r="T200" s="21" t="str">
        <x:v>High</x:v>
      </x:c>
      <x:c r="U200" s="25" t="str">
        <x:v>2026-08-01</x:v>
      </x:c>
      <x:c r="V200" s="21" t="str">
        <x:v>SRC-MIX-008,SRC-MIX-025</x:v>
      </x:c>
      <x:c r="W200" s="21" t="str">
        <x:v>Dense assortment materially reduces specialty beauty whitespace.</x:v>
      </x:c>
    </x:row>
    <x:row r="201" ht="116" customHeight="1">
      <x:c r="A201" s="21" t="str">
        <x:v>CH-MIX-010</x:v>
      </x:c>
      <x:c r="B201" s="21" t="str">
        <x:v>KB013</x:v>
      </x:c>
      <x:c r="C201" s="21" t="str">
        <x:v>MIX-P001</x:v>
      </x:c>
      <x:c r="D201" s="21" t="str">
        <x:v>Walmart</x:v>
      </x:c>
      <x:c r="E201" s="21" t="str">
        <x:v>https://www.walmart.com/ip/Mixsoon-Bean-Essence-1-69-fl-oz-50-ml/</x:v>
      </x:c>
      <x:c r="F201" s="21" t="str">
        <x:v>Walmart / marketplace sellers</x:v>
      </x:c>
      <x:c r="G201" s="21" t="str">
        <x:v>Official U.S. retailer listed by brand; seller-level status varies</x:v>
      </x:c>
      <x:c r="H201" s="31" t="n">
        <x:v>35</x:v>
      </x:c>
      <x:c r="I201" s="31" t="n">
        <x:v>37</x:v>
      </x:c>
      <x:c r="J201" s="35"/>
      <x:c r="K201" s="33" t="n">
        <x:v>32</x:v>
      </x:c>
      <x:c r="L201" s="27" t="n">
        <x:v>4.3</x:v>
      </x:c>
      <x:c r="M201" s="21"/>
      <x:c r="N201" s="21" t="str">
        <x:v>Bean Essence offer sold and shipped by Walmart observed; other listings use mixed sellers</x:v>
      </x:c>
      <x:c r="O201" s="21" t="str">
        <x:v>Active / seller-variable</x:v>
      </x:c>
      <x:c r="P201" s="21"/>
      <x:c r="Q201" s="21" t="str">
        <x:v>Walmart direct Bean Essence and broader brand assortment were observed; individual seller provenance must be checked.</x:v>
      </x:c>
      <x:c r="R201" s="21" t="str">
        <x:v>Not estimated</x:v>
      </x:c>
      <x:c r="S201" s="21" t="str">
        <x:v>Retail listing fact only; no public sell-through.</x:v>
      </x:c>
      <x:c r="T201" s="21" t="str">
        <x:v>Medium-High</x:v>
      </x:c>
      <x:c r="U201" s="25" t="str">
        <x:v>2026-08-01</x:v>
      </x:c>
      <x:c r="V201" s="21" t="str">
        <x:v>SRC-MIX-008,SRC-MIX-026</x:v>
      </x:c>
      <x:c r="W201" s="21" t="str">
        <x:v>Separate Walmart-direct inventory from third-party marketplace offers.</x:v>
      </x:c>
    </x:row>
    <x:row r="202" ht="116" customHeight="1">
      <x:c r="A202" s="56" t="str">
        <x:v>CH-MIX-011</x:v>
      </x:c>
      <x:c r="B202" s="56" t="str">
        <x:v>KB013</x:v>
      </x:c>
      <x:c r="C202" s="56" t="str">
        <x:v>MIX-P001</x:v>
      </x:c>
      <x:c r="D202" s="56" t="str">
        <x:v>Costco</x:v>
      </x:c>
      <x:c r="E202" s="56" t="str">
        <x:v>https://www.costco.com/p/-/mixsoon-bean-essence-202-fl-oz-2-pack/4000430422</x:v>
      </x:c>
      <x:c r="F202" s="56" t="str">
        <x:v>Costco</x:v>
      </x:c>
      <x:c r="G202" s="56" t="str">
        <x:v>Official U.S. retailer listed by brand</x:v>
      </x:c>
      <x:c r="H202" s="56"/>
      <x:c r="I202" s="56" t="n">
        <x:v>16.99</x:v>
      </x:c>
      <x:c r="J202" s="56"/>
      <x:c r="K202" s="56"/>
      <x:c r="L202" s="56"/>
      <x:c r="M202" s="56"/>
      <x:c r="N202" s="56" t="str">
        <x:v>2 × 2.02 fl oz pack; same-day price displayed $16.99</x:v>
      </x:c>
      <x:c r="O202" s="56" t="str">
        <x:v>Unavailable / out of stock when checked</x:v>
      </x:c>
      <x:c r="P202" s="56"/>
      <x:c r="Q202" s="56" t="str">
        <x:v>Club two-pack verifies channel presence and severe unit-price compression.</x:v>
      </x:c>
      <x:c r="R202" s="56" t="str">
        <x:v>Not estimated</x:v>
      </x:c>
      <x:c r="S202" s="56" t="str">
        <x:v>Current item page/same-day display; inventory and member pricing vary.</x:v>
      </x:c>
      <x:c r="T202" s="56" t="str">
        <x:v>High</x:v>
      </x:c>
      <x:c r="U202" s="56" t="str">
        <x:v>2026-08-01</x:v>
      </x:c>
      <x:c r="V202" s="56" t="str">
        <x:v>SRC-MIX-008,SRC-MIX-027</x:v>
      </x:c>
      <x:c r="W202" s="56" t="str">
        <x:v>Reported 2026 local clearance below $5 is anecdotal and store-specific.</x:v>
      </x:c>
    </x:row>
    <x:row r="203" ht="116" customHeight="1">
      <x:c r="A203" s="56" t="str">
        <x:v>CH-MIX-012</x:v>
      </x:c>
      <x:c r="B203" s="56" t="str">
        <x:v>KB013</x:v>
      </x:c>
      <x:c r="C203" s="56"/>
      <x:c r="D203" s="56" t="str">
        <x:v>TJX / Off-Price</x:v>
      </x:c>
      <x:c r="E203" s="56" t="str">
        <x:v>https://www.tjx.com</x:v>
      </x:c>
      <x:c r="F203" s="56" t="str">
        <x:v>TJX Companies</x:v>
      </x:c>
      <x:c r="G203" s="56" t="str">
        <x:v>Official U.S. retailer listed by brand</x:v>
      </x:c>
      <x:c r="H203" s="56"/>
      <x:c r="I203" s="56"/>
      <x:c r="J203" s="56"/>
      <x:c r="K203" s="56"/>
      <x:c r="L203" s="56"/>
      <x:c r="M203" s="56"/>
      <x:c r="N203" s="56" t="str">
        <x:v>Brand confirms TJX as U.S. official retailer; current public SKU inventory not consistently searchable</x:v>
      </x:c>
      <x:c r="O203" s="56" t="str">
        <x:v>Variable</x:v>
      </x:c>
      <x:c r="P203" s="56"/>
      <x:c r="Q203" s="56" t="str">
        <x:v>Official retailer map confirms off-price exposure.</x:v>
      </x:c>
      <x:c r="R203" s="56" t="str">
        <x:v>Not estimated</x:v>
      </x:c>
      <x:c r="S203" s="56" t="str">
        <x:v>Authorization verified by brand; current inventory/sell-through not public.</x:v>
      </x:c>
      <x:c r="T203" s="56" t="str">
        <x:v>Medium-High</x:v>
      </x:c>
      <x:c r="U203" s="56" t="str">
        <x:v>2026-08-01</x:v>
      </x:c>
      <x:c r="V203" s="56" t="str">
        <x:v>SRC-MIX-008,SRC-MIX-028</x:v>
      </x:c>
      <x:c r="W203" s="56" t="str">
        <x:v>Off-price placement increases price architecture and channel-conflict risk.</x:v>
      </x:c>
    </x:row>
    <x:row r="204" ht="116" customHeight="1">
      <x:c r="A204" s="56" t="str">
        <x:v>CH-MIX-013</x:v>
      </x:c>
      <x:c r="B204" s="56" t="str">
        <x:v>KB013</x:v>
      </x:c>
      <x:c r="C204" s="56"/>
      <x:c r="D204" s="56" t="str">
        <x:v>YesStyle</x:v>
      </x:c>
      <x:c r="E204" s="56" t="str">
        <x:v>https://www.yesstyle.com/en/mixsoon/list.html/bpt.299_bid.324470</x:v>
      </x:c>
      <x:c r="F204" s="56" t="str">
        <x:v>YesStyle</x:v>
      </x:c>
      <x:c r="G204" s="56" t="str">
        <x:v>Official worldwide retailer listed by brand</x:v>
      </x:c>
      <x:c r="H204" s="56"/>
      <x:c r="I204" s="56"/>
      <x:c r="J204" s="56"/>
      <x:c r="K204" s="56"/>
      <x:c r="L204" s="56"/>
      <x:c r="M204" s="56"/>
      <x:c r="N204" s="56" t="str">
        <x:v>Broad cross-border assortment and promotions</x:v>
      </x:c>
      <x:c r="O204" s="56" t="str">
        <x:v>Active</x:v>
      </x:c>
      <x:c r="P204" s="56"/>
      <x:c r="Q204" s="56" t="str">
        <x:v>Official brand retailer map identifies YesStyle.</x:v>
      </x:c>
      <x:c r="R204" s="56" t="str">
        <x:v>Not estimated</x:v>
      </x:c>
      <x:c r="S204" s="56" t="str">
        <x:v>Cross-border availability; not U.S. sell-through.</x:v>
      </x:c>
      <x:c r="T204" s="56" t="str">
        <x:v>Medium-High</x:v>
      </x:c>
      <x:c r="U204" s="56" t="str">
        <x:v>2026-08-01</x:v>
      </x:c>
      <x:c r="V204" s="56" t="str">
        <x:v>SRC-MIX-008,SRC-MIX-029</x:v>
      </x:c>
      <x:c r="W204" s="56" t="str">
        <x:v>Price, version and shipping create U.S. leakage risk.</x:v>
      </x:c>
    </x:row>
    <x:row r="205" ht="116" customHeight="1">
      <x:c r="A205" s="56" t="str">
        <x:v>CH-MIX-014</x:v>
      </x:c>
      <x:c r="B205" s="56" t="str">
        <x:v>KB013</x:v>
      </x:c>
      <x:c r="C205" s="56"/>
      <x:c r="D205" s="56" t="str">
        <x:v>Stylevana</x:v>
      </x:c>
      <x:c r="E205" s="56" t="str">
        <x:v>https://www.stylevana.com/en_US/brands/mixsoon.html</x:v>
      </x:c>
      <x:c r="F205" s="56" t="str">
        <x:v>Stylevana</x:v>
      </x:c>
      <x:c r="G205" s="56" t="str">
        <x:v>Official worldwide retailer listed by brand</x:v>
      </x:c>
      <x:c r="H205" s="56"/>
      <x:c r="I205" s="56"/>
      <x:c r="J205" s="56"/>
      <x:c r="K205" s="56"/>
      <x:c r="L205" s="56"/>
      <x:c r="M205" s="56"/>
      <x:c r="N205" s="56" t="str">
        <x:v>Broad cross-border assortment and promotions</x:v>
      </x:c>
      <x:c r="O205" s="56" t="str">
        <x:v>Active</x:v>
      </x:c>
      <x:c r="P205" s="56"/>
      <x:c r="Q205" s="56" t="str">
        <x:v>Official brand retailer map identifies Stylevana.</x:v>
      </x:c>
      <x:c r="R205" s="56" t="str">
        <x:v>Not estimated</x:v>
      </x:c>
      <x:c r="S205" s="56" t="str">
        <x:v>Cross-border availability; not U.S. sell-through.</x:v>
      </x:c>
      <x:c r="T205" s="56" t="str">
        <x:v>Medium-High</x:v>
      </x:c>
      <x:c r="U205" s="56" t="str">
        <x:v>2026-08-01</x:v>
      </x:c>
      <x:c r="V205" s="56" t="str">
        <x:v>SRC-MIX-008,SRC-MIX-030</x:v>
      </x:c>
      <x:c r="W205" s="56" t="str">
        <x:v>Price, version and shipping create U.S. leakage risk.</x:v>
      </x:c>
    </x:row>
    <x:row r="206" ht="116" customHeight="1">
      <x:c r="A206" s="56" t="str">
        <x:v>CH-MIX-015</x:v>
      </x:c>
      <x:c r="B206" s="56" t="str">
        <x:v>KB013</x:v>
      </x:c>
      <x:c r="C206" s="56"/>
      <x:c r="D206" s="56" t="str">
        <x:v>StyleKorean</x:v>
      </x:c>
      <x:c r="E206" s="56" t="str">
        <x:v>https://www.stylekorean.com/brands/1107/mixsoon</x:v>
      </x:c>
      <x:c r="F206" s="56" t="str">
        <x:v>StyleKorean</x:v>
      </x:c>
      <x:c r="G206" s="56" t="str">
        <x:v>Official worldwide retailer listed by brand</x:v>
      </x:c>
      <x:c r="H206" s="56"/>
      <x:c r="I206" s="56"/>
      <x:c r="J206" s="56"/>
      <x:c r="K206" s="56"/>
      <x:c r="L206" s="56"/>
      <x:c r="M206" s="56"/>
      <x:c r="N206" s="56" t="str">
        <x:v>Broad cross-border assortment and promotions</x:v>
      </x:c>
      <x:c r="O206" s="56" t="str">
        <x:v>Active</x:v>
      </x:c>
      <x:c r="P206" s="56"/>
      <x:c r="Q206" s="56" t="str">
        <x:v>Official brand retailer map identifies StyleKorean.</x:v>
      </x:c>
      <x:c r="R206" s="56" t="str">
        <x:v>Not estimated</x:v>
      </x:c>
      <x:c r="S206" s="56" t="str">
        <x:v>Cross-border availability; not U.S. sell-through.</x:v>
      </x:c>
      <x:c r="T206" s="56" t="str">
        <x:v>Medium-High</x:v>
      </x:c>
      <x:c r="U206" s="56" t="str">
        <x:v>2026-08-01</x:v>
      </x:c>
      <x:c r="V206" s="56" t="str">
        <x:v>SRC-MIX-008,SRC-MIX-031</x:v>
      </x:c>
      <x:c r="W206" s="56" t="str">
        <x:v>Confirm regional formula/packaging and authorized U.S. resale.</x:v>
      </x:c>
    </x:row>
    <x:row r="207" ht="116" customHeight="1">
      <x:c r="A207" s="56" t="str">
        <x:v>CH-MIX-016</x:v>
      </x:c>
      <x:c r="B207" s="56" t="str">
        <x:v>KB013</x:v>
      </x:c>
      <x:c r="C207" s="56"/>
      <x:c r="D207" s="56" t="str">
        <x:v>Jolse</x:v>
      </x:c>
      <x:c r="E207" s="56" t="str">
        <x:v>https://jolse.com/category/mixsoon/1830/</x:v>
      </x:c>
      <x:c r="F207" s="56" t="str">
        <x:v>Jolse</x:v>
      </x:c>
      <x:c r="G207" s="56" t="str">
        <x:v>Official worldwide retailer listed by brand</x:v>
      </x:c>
      <x:c r="H207" s="56"/>
      <x:c r="I207" s="56"/>
      <x:c r="J207" s="56"/>
      <x:c r="K207" s="56"/>
      <x:c r="L207" s="56"/>
      <x:c r="M207" s="56"/>
      <x:c r="N207" s="56" t="str">
        <x:v>Cross-border assortment and promotions</x:v>
      </x:c>
      <x:c r="O207" s="56" t="str">
        <x:v>Active</x:v>
      </x:c>
      <x:c r="P207" s="56"/>
      <x:c r="Q207" s="56" t="str">
        <x:v>Official brand retailer map identifies Jolse.</x:v>
      </x:c>
      <x:c r="R207" s="56" t="str">
        <x:v>Not estimated</x:v>
      </x:c>
      <x:c r="S207" s="56" t="str">
        <x:v>Cross-border availability; not U.S. sell-through.</x:v>
      </x:c>
      <x:c r="T207" s="56" t="str">
        <x:v>Medium</x:v>
      </x:c>
      <x:c r="U207" s="56" t="str">
        <x:v>2026-08-01</x:v>
      </x:c>
      <x:c r="V207" s="56" t="str">
        <x:v>SRC-MIX-008,SRC-MIX-032</x:v>
      </x:c>
      <x:c r="W207" s="56" t="str">
        <x:v>Confirm regional formula/packaging and authorized U.S. resale.</x:v>
      </x:c>
    </x:row>
    <x:row r="208" ht="116" customHeight="1">
      <x:c r="A208" s="56" t="str">
        <x:v>CH-MIX-017</x:v>
      </x:c>
      <x:c r="B208" s="56" t="str">
        <x:v>KB013</x:v>
      </x:c>
      <x:c r="C208" s="56"/>
      <x:c r="D208" s="56" t="str">
        <x:v>Coreelle</x:v>
      </x:c>
      <x:c r="E208" s="56" t="str">
        <x:v>https://coreelle.com/collections/mixsoon</x:v>
      </x:c>
      <x:c r="F208" s="56" t="str">
        <x:v>Coreelle</x:v>
      </x:c>
      <x:c r="G208" s="56" t="str">
        <x:v>Official worldwide retailer listed by brand</x:v>
      </x:c>
      <x:c r="H208" s="56"/>
      <x:c r="I208" s="56"/>
      <x:c r="J208" s="56"/>
      <x:c r="K208" s="56"/>
      <x:c r="L208" s="56"/>
      <x:c r="M208" s="56"/>
      <x:c r="N208" s="56" t="str">
        <x:v>Cross-border assortment and promotions</x:v>
      </x:c>
      <x:c r="O208" s="56" t="str">
        <x:v>Active</x:v>
      </x:c>
      <x:c r="P208" s="56"/>
      <x:c r="Q208" s="56" t="str">
        <x:v>Official brand retailer map identifies Coreelle.</x:v>
      </x:c>
      <x:c r="R208" s="56" t="str">
        <x:v>Not estimated</x:v>
      </x:c>
      <x:c r="S208" s="56" t="str">
        <x:v>Cross-border availability; not U.S. sell-through.</x:v>
      </x:c>
      <x:c r="T208" s="56" t="str">
        <x:v>Medium</x:v>
      </x:c>
      <x:c r="U208" s="56" t="str">
        <x:v>2026-08-01</x:v>
      </x:c>
      <x:c r="V208" s="56" t="str">
        <x:v>SRC-MIX-008,SRC-MIX-033</x:v>
      </x:c>
      <x:c r="W208" s="56" t="str">
        <x:v>Confirm regional formula/packaging and authorized U.S. resale.</x:v>
      </x:c>
    </x:row>
    <x:row r="209" ht="116" customHeight="1">
      <x:c r="A209" s="56" t="str">
        <x:v>CH-MIX-018</x:v>
      </x:c>
      <x:c r="B209" s="56" t="str">
        <x:v>KB013</x:v>
      </x:c>
      <x:c r="C209" s="56"/>
      <x:c r="D209" s="56" t="str">
        <x:v>Official Link Hub / Social Commerce</x:v>
      </x:c>
      <x:c r="E209" s="56" t="str">
        <x:v>https://linktr.ee/mixsoon_us</x:v>
      </x:c>
      <x:c r="F209" s="56" t="str">
        <x:v>Mixsoon</x:v>
      </x:c>
      <x:c r="G209" s="56" t="str">
        <x:v>Official link hub</x:v>
      </x:c>
      <x:c r="H209" s="56"/>
      <x:c r="I209" s="56"/>
      <x:c r="J209" s="56"/>
      <x:c r="K209" s="56"/>
      <x:c r="L209" s="56"/>
      <x:c r="M209" s="56"/>
      <x:c r="N209" s="56" t="str">
        <x:v>Routes to U.S. DTC, Amazon, TikTok Shop, Instagram, Ulta and B2B</x:v>
      </x:c>
      <x:c r="O209" s="56" t="str">
        <x:v>Active</x:v>
      </x:c>
      <x:c r="P209" s="56"/>
      <x:c r="Q209" s="56" t="str">
        <x:v>Corroborates official account and channel relationships.</x:v>
      </x:c>
      <x:c r="R209" s="56" t="str">
        <x:v>Not estimated</x:v>
      </x:c>
      <x:c r="S209" s="56" t="str">
        <x:v>First-party routing evidence.</x:v>
      </x:c>
      <x:c r="T209" s="56" t="str">
        <x:v>High</x:v>
      </x:c>
      <x:c r="U209" s="56" t="str">
        <x:v>2026-08-01</x:v>
      </x:c>
      <x:c r="V209" s="56" t="str">
        <x:v>SRC-MIX-009</x:v>
      </x:c>
      <x:c r="W209" s="56" t="str">
        <x:v>Links can change; retain seller-level diligence.</x:v>
      </x:c>
    </x:row>
    <x:row r="210" ht="116" customHeight="1">
      <x:c r="A210" s="56" t="str">
        <x:v>CH-MIX-019</x:v>
      </x:c>
      <x:c r="B210" s="56" t="str">
        <x:v>KB013</x:v>
      </x:c>
      <x:c r="C210" s="56"/>
      <x:c r="D210" s="56" t="str">
        <x:v>Korean HQ / B2B</x:v>
      </x:c>
      <x:c r="E210" s="56" t="str">
        <x:v>https://mixsoon.co.kr/shopinfo/company.html</x:v>
      </x:c>
      <x:c r="F210" s="56" t="str">
        <x:v>PARKET INC.</x:v>
      </x:c>
      <x:c r="G210" s="56" t="str">
        <x:v>Official corporate/B2B route</x:v>
      </x:c>
      <x:c r="H210" s="56"/>
      <x:c r="I210" s="56"/>
      <x:c r="J210" s="56"/>
      <x:c r="K210" s="56"/>
      <x:c r="L210" s="56"/>
      <x:c r="M210" s="56"/>
      <x:c r="N210" s="56" t="str">
        <x:v>Wholesale inquiries: b2binquiry@pkcosm.com</x:v>
      </x:c>
      <x:c r="O210" s="56" t="str">
        <x:v>Contact route active</x:v>
      </x:c>
      <x:c r="P210" s="56"/>
      <x:c r="Q210" s="56" t="str">
        <x:v>Official Korean company page and U.S. footer identify PARKET INC. and a B2B inquiry address.</x:v>
      </x:c>
      <x:c r="R210" s="56" t="str">
        <x:v>Not estimated</x:v>
      </x:c>
      <x:c r="S210" s="56" t="str">
        <x:v>No wholesale terms, channel availability or U.S. rights disclosed.</x:v>
      </x:c>
      <x:c r="T210" s="56" t="str">
        <x:v>High</x:v>
      </x:c>
      <x:c r="U210" s="56" t="str">
        <x:v>2026-08-01</x:v>
      </x:c>
      <x:c r="V210" s="56" t="str">
        <x:v>SRC-MIX-003,SRC-MIX-006</x:v>
      </x:c>
      <x:c r="W210" s="56" t="str">
        <x:v>Do not assume open U.S. distribution rights from a public B2B email.</x:v>
      </x:c>
    </x:row>
    <x:row r="211" ht="118" customHeight="1">
      <x:c r="A211" s="56" t="str">
        <x:v>CH-DAL-001</x:v>
      </x:c>
      <x:c r="B211" s="56" t="str">
        <x:v>KB014</x:v>
      </x:c>
      <x:c r="C211" s="56"/>
      <x:c r="D211" s="56" t="str">
        <x:v>Official DTC</x:v>
      </x:c>
      <x:c r="E211" s="56" t="str">
        <x:v>https://dalba.com</x:v>
      </x:c>
      <x:c r="F211" s="56" t="str">
        <x:v>d'Alba Global Co., Ltd.</x:v>
      </x:c>
      <x:c r="G211" s="56" t="str">
        <x:v>Official</x:v>
      </x:c>
      <x:c r="H211" s="56"/>
      <x:c r="I211" s="56"/>
      <x:c r="J211" s="56"/>
      <x:c r="K211" s="56"/>
      <x:c r="L211" s="56"/>
      <x:c r="M211" s="56"/>
      <x:c r="N211" s="56" t="str">
        <x:v>Full U.S.-accessible catalog across mists, SPF, serums, creams, masks, hair/body and bundles</x:v>
      </x:c>
      <x:c r="O211" s="56" t="str">
        <x:v>Active</x:v>
      </x:c>
      <x:c r="P211" s="56"/>
      <x:c r="Q211" s="56" t="str">
        <x:v>Official consumer storefront with USD prices, promotions, policies and U.S.-market product content.</x:v>
      </x:c>
      <x:c r="R211" s="56" t="str">
        <x:v>Not estimated</x:v>
      </x:c>
      <x:c r="S211" s="56" t="str">
        <x:v>First-party channel; no audited U.S. sell-through or wholesale economics disclosed.</x:v>
      </x:c>
      <x:c r="T211" s="56" t="str">
        <x:v>High</x:v>
      </x:c>
      <x:c r="U211" s="56" t="str">
        <x:v>2026-08-01</x:v>
      </x:c>
      <x:c r="V211" s="56" t="str">
        <x:v>SRC-DAL-002,SRC-DAL-003,SRC-DAL-005</x:v>
      </x:c>
      <x:c r="W211" s="56" t="str">
        <x:v>Confirm merchant of record, inventory owner, DALBA USA CORP. role, U.S. warehouse and responsible person.</x:v>
      </x:c>
    </x:row>
    <x:row r="212" ht="118" customHeight="1">
      <x:c r="A212" s="56" t="str">
        <x:v>CH-DAL-002</x:v>
      </x:c>
      <x:c r="B212" s="56" t="str">
        <x:v>KB014</x:v>
      </x:c>
      <x:c r="C212" s="56"/>
      <x:c r="D212" s="56" t="str">
        <x:v>Amazon U.S. Brand Store</x:v>
      </x:c>
      <x:c r="E212" s="56" t="str">
        <x:v>https://www.amazon.com/stores/dalbapiedmont/page/</x:v>
      </x:c>
      <x:c r="F212" s="56" t="str">
        <x:v>d'Alba official</x:v>
      </x:c>
      <x:c r="G212" s="56" t="str">
        <x:v>Official seller observed</x:v>
      </x:c>
      <x:c r="H212" s="56"/>
      <x:c r="I212" s="56"/>
      <x:c r="J212" s="56"/>
      <x:c r="K212" s="56"/>
      <x:c r="L212" s="56"/>
      <x:c r="M212" s="56"/>
      <x:c r="N212" s="56" t="str">
        <x:v>Broad official-seller assortment; five sampled ASINs total at least 68.5K units/month</x:v>
      </x:c>
      <x:c r="O212" s="56" t="str">
        <x:v>Active</x:v>
      </x:c>
      <x:c r="P212" s="56"/>
      <x:c r="Q212" s="56" t="str">
        <x:v>Sampled pages displayed d'Alba official as seller where shown and Amazon fulfillment/shipping.</x:v>
      </x:c>
      <x:c r="R212" s="56" t="str">
        <x:v>At least 68,500 units/month; at least $1,528,815/month</x:v>
      </x:c>
      <x:c r="S212" s="56" t="str">
        <x:v>Rounded badges across five distinct ASINs; excludes all other products and adjustments.</x:v>
      </x:c>
      <x:c r="T212" s="56" t="str">
        <x:v>High</x:v>
      </x:c>
      <x:c r="U212" s="56" t="str">
        <x:v>2026-08-01</x:v>
      </x:c>
      <x:c r="V212" s="56" t="str">
        <x:v>SRC-DAL-016,SRC-DAL-022</x:v>
      </x:c>
      <x:c r="W212" s="56" t="str">
        <x:v>Dynamic public proxy, not audited revenue or total U.S. sales.</x:v>
      </x:c>
    </x:row>
    <x:row r="213" ht="118" customHeight="1">
      <x:c r="A213" s="56" t="str">
        <x:v>CH-DAL-003</x:v>
      </x:c>
      <x:c r="B213" s="56" t="str">
        <x:v>KB014</x:v>
      </x:c>
      <x:c r="C213" s="56" t="str">
        <x:v>DAL-P001</x:v>
      </x:c>
      <x:c r="D213" s="56" t="str">
        <x:v>Amazon — First Spray Serum 100 mL</x:v>
      </x:c>
      <x:c r="E213" s="56" t="str">
        <x:v>https://www.amazon.com/dp/B0BFQ9RD5B</x:v>
      </x:c>
      <x:c r="F213" s="56" t="str">
        <x:v>d'Alba official</x:v>
      </x:c>
      <x:c r="G213" s="56" t="str">
        <x:v>Official seller observed</x:v>
      </x:c>
      <x:c r="H213" s="56" t="n">
        <x:v>26</x:v>
      </x:c>
      <x:c r="I213" s="56" t="n">
        <x:v>20.99</x:v>
      </x:c>
      <x:c r="J213" s="56" t="n">
        <x:v>0.1927</x:v>
      </x:c>
      <x:c r="K213" s="56" t="n">
        <x:v>33414</x:v>
      </x:c>
      <x:c r="L213" s="56" t="n">
        <x:v>4.5</x:v>
      </x:c>
      <x:c r="M213" s="56"/>
      <x:c r="N213" s="56" t="str">
        <x:v>40K+ bought in past month</x:v>
      </x:c>
      <x:c r="O213" s="56" t="str">
        <x:v>In stock / active</x:v>
      </x:c>
      <x:c r="P213" s="56"/>
      <x:c r="Q213" s="56" t="str">
        <x:v>ASIN B0BFQ9RD5B; sold by d'Alba official and ships from Amazon where displayed.</x:v>
      </x:c>
      <x:c r="R213" s="56" t="str">
        <x:v>At least $839,600/month</x:v>
      </x:c>
      <x:c r="S213" s="56" t="str">
        <x:v>40,000 rounded badge × $20.99 one-time price.</x:v>
      </x:c>
      <x:c r="T213" s="56" t="str">
        <x:v>High</x:v>
      </x:c>
      <x:c r="U213" s="56" t="str">
        <x:v>2026-08-01</x:v>
      </x:c>
      <x:c r="V213" s="56" t="str">
        <x:v>SRC-DAL-017</x:v>
      </x:c>
      <x:c r="W213" s="56" t="str">
        <x:v>Variant/review family, badge and price are dynamic.</x:v>
      </x:c>
    </x:row>
    <x:row r="214" ht="118" customHeight="1">
      <x:c r="A214" s="56" t="str">
        <x:v>CH-DAL-004</x:v>
      </x:c>
      <x:c r="B214" s="56" t="str">
        <x:v>KB014</x:v>
      </x:c>
      <x:c r="C214" s="56" t="str">
        <x:v>DAL-P002</x:v>
      </x:c>
      <x:c r="D214" s="56" t="str">
        <x:v>Amazon — Multi Balm</x:v>
      </x:c>
      <x:c r="E214" s="56" t="str">
        <x:v>https://www.amazon.com/dp/B09SZ5JX2Y</x:v>
      </x:c>
      <x:c r="F214" s="56" t="str">
        <x:v>d'Alba official</x:v>
      </x:c>
      <x:c r="G214" s="56" t="str">
        <x:v>Official seller observed</x:v>
      </x:c>
      <x:c r="H214" s="56" t="n">
        <x:v>24</x:v>
      </x:c>
      <x:c r="I214" s="56" t="n">
        <x:v>20.99</x:v>
      </x:c>
      <x:c r="J214" s="56" t="n">
        <x:v>0.1254</x:v>
      </x:c>
      <x:c r="K214" s="56" t="n">
        <x:v>7856</x:v>
      </x:c>
      <x:c r="L214" s="56" t="n">
        <x:v>4.5</x:v>
      </x:c>
      <x:c r="M214" s="56"/>
      <x:c r="N214" s="56" t="str">
        <x:v>20K+ bought in past month</x:v>
      </x:c>
      <x:c r="O214" s="56" t="str">
        <x:v>In stock / active</x:v>
      </x:c>
      <x:c r="P214" s="56"/>
      <x:c r="Q214" s="56" t="str">
        <x:v>ASIN B09SZ5JX2Y; official seller display observed.</x:v>
      </x:c>
      <x:c r="R214" s="56" t="str">
        <x:v>At least $419,800/month</x:v>
      </x:c>
      <x:c r="S214" s="56" t="str">
        <x:v>20,000 rounded badge × $20.99 one-time price.</x:v>
      </x:c>
      <x:c r="T214" s="56" t="str">
        <x:v>High</x:v>
      </x:c>
      <x:c r="U214" s="56" t="str">
        <x:v>2026-08-01</x:v>
      </x:c>
      <x:c r="V214" s="56" t="str">
        <x:v>SRC-DAL-018</x:v>
      </x:c>
      <x:c r="W214" s="56" t="str">
        <x:v>Dynamic badge, price and review family.</x:v>
      </x:c>
    </x:row>
    <x:row r="215" ht="118" customHeight="1">
      <x:c r="A215" s="56" t="str">
        <x:v>CH-DAL-005</x:v>
      </x:c>
      <x:c r="B215" s="56" t="str">
        <x:v>KB014</x:v>
      </x:c>
      <x:c r="C215" s="56" t="str">
        <x:v>DAL-P003</x:v>
      </x:c>
      <x:c r="D215" s="56" t="str">
        <x:v>Amazon — Volufiline Grinding Cream</x:v>
      </x:c>
      <x:c r="E215" s="56" t="str">
        <x:v>https://www.amazon.com/dp/B0CC2HZ8WL</x:v>
      </x:c>
      <x:c r="F215" s="56" t="str">
        <x:v>d'Alba official</x:v>
      </x:c>
      <x:c r="G215" s="56" t="str">
        <x:v>Official seller observed</x:v>
      </x:c>
      <x:c r="H215" s="56" t="n">
        <x:v>54</x:v>
      </x:c>
      <x:c r="I215" s="56" t="n">
        <x:v>33.99</x:v>
      </x:c>
      <x:c r="J215" s="56" t="n">
        <x:v>0.3706</x:v>
      </x:c>
      <x:c r="K215" s="56" t="n">
        <x:v>766</x:v>
      </x:c>
      <x:c r="L215" s="56" t="n">
        <x:v>4.4</x:v>
      </x:c>
      <x:c r="M215" s="56"/>
      <x:c r="N215" s="56" t="str">
        <x:v>7K+ bought in past month</x:v>
      </x:c>
      <x:c r="O215" s="56" t="str">
        <x:v>In stock / active</x:v>
      </x:c>
      <x:c r="P215" s="56"/>
      <x:c r="Q215" s="56" t="str">
        <x:v>ASIN B0CC2HZ8WL; official seller display observed.</x:v>
      </x:c>
      <x:c r="R215" s="56" t="str">
        <x:v>At least $237,930/month</x:v>
      </x:c>
      <x:c r="S215" s="56" t="str">
        <x:v>7,000 rounded badge × $33.99 one-time price.</x:v>
      </x:c>
      <x:c r="T215" s="56" t="str">
        <x:v>High</x:v>
      </x:c>
      <x:c r="U215" s="56" t="str">
        <x:v>2026-08-01</x:v>
      </x:c>
      <x:c r="V215" s="56" t="str">
        <x:v>SRC-DAL-019</x:v>
      </x:c>
      <x:c r="W215" s="56" t="str">
        <x:v>Dynamic badge, price and reviews.</x:v>
      </x:c>
    </x:row>
    <x:row r="216" ht="118" customHeight="1">
      <x:c r="A216" s="56" t="str">
        <x:v>CH-DAL-006</x:v>
      </x:c>
      <x:c r="B216" s="56" t="str">
        <x:v>KB014</x:v>
      </x:c>
      <x:c r="C216" s="56" t="str">
        <x:v>DAL-P004</x:v>
      </x:c>
      <x:c r="D216" s="56" t="str">
        <x:v>Amazon — Vital Spray Serum</x:v>
      </x:c>
      <x:c r="E216" s="56" t="str">
        <x:v>https://www.amazon.com/dp/B08KQFTDH9</x:v>
      </x:c>
      <x:c r="F216" s="56" t="str">
        <x:v>d'Alba official</x:v>
      </x:c>
      <x:c r="G216" s="56" t="str">
        <x:v>Official seller observed</x:v>
      </x:c>
      <x:c r="H216" s="56" t="n">
        <x:v>24</x:v>
      </x:c>
      <x:c r="I216" s="56" t="n">
        <x:v>19.99</x:v>
      </x:c>
      <x:c r="J216" s="56" t="n">
        <x:v>0.1671</x:v>
      </x:c>
      <x:c r="K216" s="56" t="n">
        <x:v>2427</x:v>
      </x:c>
      <x:c r="L216" s="56" t="n">
        <x:v>4.5</x:v>
      </x:c>
      <x:c r="M216" s="56"/>
      <x:c r="N216" s="56" t="str">
        <x:v>1K+ bought in past month</x:v>
      </x:c>
      <x:c r="O216" s="56" t="str">
        <x:v>In stock / active</x:v>
      </x:c>
      <x:c r="P216" s="56"/>
      <x:c r="Q216" s="56" t="str">
        <x:v>ASIN B08KQFTDH9; official seller display observed.</x:v>
      </x:c>
      <x:c r="R216" s="56" t="str">
        <x:v>At least $19,990/month</x:v>
      </x:c>
      <x:c r="S216" s="56" t="str">
        <x:v>1,000 rounded badge × $19.99 one-time price.</x:v>
      </x:c>
      <x:c r="T216" s="56" t="str">
        <x:v>High</x:v>
      </x:c>
      <x:c r="U216" s="56" t="str">
        <x:v>2026-08-01</x:v>
      </x:c>
      <x:c r="V216" s="56" t="str">
        <x:v>SRC-DAL-020</x:v>
      </x:c>
      <x:c r="W216" s="56" t="str">
        <x:v>Dynamic badge, price and review family.</x:v>
      </x:c>
    </x:row>
    <x:row r="217" ht="118" customHeight="1">
      <x:c r="A217" s="56" t="str">
        <x:v>CH-DAL-007</x:v>
      </x:c>
      <x:c r="B217" s="56" t="str">
        <x:v>KB014</x:v>
      </x:c>
      <x:c r="C217" s="56"/>
      <x:c r="D217" s="56" t="str">
        <x:v>Amazon — Double Layer Revitalizing Serum</x:v>
      </x:c>
      <x:c r="E217" s="56" t="str">
        <x:v>https://www.amazon.com/dp/B08LVK2RNR</x:v>
      </x:c>
      <x:c r="F217" s="56" t="str">
        <x:v>d'Alba official</x:v>
      </x:c>
      <x:c r="G217" s="56" t="str">
        <x:v>Official seller observed</x:v>
      </x:c>
      <x:c r="H217" s="56" t="n">
        <x:v>35</x:v>
      </x:c>
      <x:c r="I217" s="56" t="n">
        <x:v>22.99</x:v>
      </x:c>
      <x:c r="J217" s="56" t="n">
        <x:v>0.3431</x:v>
      </x:c>
      <x:c r="K217" s="56" t="n">
        <x:v>1915</x:v>
      </x:c>
      <x:c r="L217" s="56" t="n">
        <x:v>4.5</x:v>
      </x:c>
      <x:c r="M217" s="56"/>
      <x:c r="N217" s="56" t="str">
        <x:v>500+ bought in past month</x:v>
      </x:c>
      <x:c r="O217" s="56" t="str">
        <x:v>In stock / active</x:v>
      </x:c>
      <x:c r="P217" s="56"/>
      <x:c r="Q217" s="56" t="str">
        <x:v>ASIN B08LVK2RNR; official seller display observed.</x:v>
      </x:c>
      <x:c r="R217" s="56" t="str">
        <x:v>At least $11,495/month</x:v>
      </x:c>
      <x:c r="S217" s="56" t="str">
        <x:v>500 rounded badge × $22.99 one-time price.</x:v>
      </x:c>
      <x:c r="T217" s="56" t="str">
        <x:v>High</x:v>
      </x:c>
      <x:c r="U217" s="56" t="str">
        <x:v>2026-08-01</x:v>
      </x:c>
      <x:c r="V217" s="56" t="str">
        <x:v>SRC-DAL-021</x:v>
      </x:c>
      <x:c r="W217" s="56" t="str">
        <x:v>Dynamic badge, price and reviews.</x:v>
      </x:c>
    </x:row>
    <x:row r="218" ht="118" customHeight="1">
      <x:c r="A218" s="56" t="str">
        <x:v>CH-DAL-008</x:v>
      </x:c>
      <x:c r="B218" s="56" t="str">
        <x:v>KB014</x:v>
      </x:c>
      <x:c r="C218" s="56"/>
      <x:c r="D218" s="56" t="str">
        <x:v>TikTok Shop U.S.</x:v>
      </x:c>
      <x:c r="E218" s="56" t="str">
        <x:v>https://shop.tiktok.com/us/store/dalba-piedmont/7494221571082258140</x:v>
      </x:c>
      <x:c r="F218" s="56" t="str">
        <x:v>d'Alba Piedmont</x:v>
      </x:c>
      <x:c r="G218" s="56" t="str">
        <x:v>Official shop</x:v>
      </x:c>
      <x:c r="H218" s="56"/>
      <x:c r="I218" s="56"/>
      <x:c r="J218" s="56"/>
      <x:c r="K218" s="56" t="n">
        <x:v>129800</x:v>
      </x:c>
      <x:c r="L218" s="56"/>
      <x:c r="M218" s="56"/>
      <x:c r="N218" s="56" t="str">
        <x:v>129.8K+ followers; 93.8K sold; 712 videos; First Spray 19.5K sold; Tone-Up SPF 7.4K</x:v>
      </x:c>
      <x:c r="O218" s="56" t="str">
        <x:v>Active</x:v>
      </x:c>
      <x:c r="P218" s="56"/>
      <x:c r="Q218" s="56" t="str">
        <x:v>Large official social-commerce catalog with promotional sets and substantial cumulative sold displays.</x:v>
      </x:c>
      <x:c r="R218" s="56" t="str">
        <x:v>Very High cumulative social-commerce scale</x:v>
      </x:c>
      <x:c r="S218" s="56" t="str">
        <x:v>Platform cumulative sold/follower displays; not period audited revenue.</x:v>
      </x:c>
      <x:c r="T218" s="56" t="str">
        <x:v>Medium-High</x:v>
      </x:c>
      <x:c r="U218" s="56" t="str">
        <x:v>2026-08-01</x:v>
      </x:c>
      <x:c r="V218" s="56" t="str">
        <x:v>SRC-DAL-023</x:v>
      </x:c>
      <x:c r="W218" s="56" t="str">
        <x:v>Recheck current seller, affiliates, formula versions, bundles and prices.</x:v>
      </x:c>
    </x:row>
    <x:row r="219" ht="118" customHeight="1">
      <x:c r="A219" s="56" t="str">
        <x:v>CH-DAL-009</x:v>
      </x:c>
      <x:c r="B219" s="56" t="str">
        <x:v>KB014</x:v>
      </x:c>
      <x:c r="C219" s="56"/>
      <x:c r="D219" s="56" t="str">
        <x:v>Instagram</x:v>
      </x:c>
      <x:c r="E219" s="56" t="str">
        <x:v>https://www.instagram.com/dalba_global/</x:v>
      </x:c>
      <x:c r="F219" s="56" t="str">
        <x:v>@dalba_global</x:v>
      </x:c>
      <x:c r="G219" s="56" t="str">
        <x:v>Official account linked by brand</x:v>
      </x:c>
      <x:c r="H219" s="56"/>
      <x:c r="I219" s="56"/>
      <x:c r="J219" s="56"/>
      <x:c r="K219" s="56"/>
      <x:c r="L219" s="56"/>
      <x:c r="M219" s="56"/>
      <x:c r="N219" s="56" t="str">
        <x:v>Global brand, product, campaign, celebrity and retailer content</x:v>
      </x:c>
      <x:c r="O219" s="56" t="str">
        <x:v>Active</x:v>
      </x:c>
      <x:c r="P219" s="56"/>
      <x:c r="Q219" s="56" t="str">
        <x:v>Official site routes to @dalba_global; supports U.S. campaign discovery and social proof.</x:v>
      </x:c>
      <x:c r="R219" s="56" t="str">
        <x:v>Not estimated</x:v>
      </x:c>
      <x:c r="S219" s="56" t="str">
        <x:v>Follower/reach and U.S.-only share were not independently audited.</x:v>
      </x:c>
      <x:c r="T219" s="56" t="str">
        <x:v>Medium-High</x:v>
      </x:c>
      <x:c r="U219" s="56" t="str">
        <x:v>2026-08-01</x:v>
      </x:c>
      <x:c r="V219" s="56" t="str">
        <x:v>SRC-DAL-024</x:v>
      </x:c>
      <x:c r="W219" s="56" t="str">
        <x:v>Treat engagement as dynamic and global unless geo data are supplied.</x:v>
      </x:c>
    </x:row>
    <x:row r="220" ht="118" customHeight="1">
      <x:c r="A220" s="56" t="str">
        <x:v>CH-DAL-010</x:v>
      </x:c>
      <x:c r="B220" s="56" t="str">
        <x:v>KB014</x:v>
      </x:c>
      <x:c r="C220" s="56"/>
      <x:c r="D220" s="56" t="str">
        <x:v>Ulta Beauty</x:v>
      </x:c>
      <x:c r="E220" s="56" t="str">
        <x:v>https://www.ulta.com/brand/dalba-piedmont</x:v>
      </x:c>
      <x:c r="F220" s="56" t="str">
        <x:v>Ulta Beauty</x:v>
      </x:c>
      <x:c r="G220" s="56" t="str">
        <x:v>Authorized strategic retailer</x:v>
      </x:c>
      <x:c r="H220" s="56"/>
      <x:c r="I220" s="56"/>
      <x:c r="J220" s="56"/>
      <x:c r="K220" s="56"/>
      <x:c r="L220" s="56"/>
      <x:c r="M220" s="56"/>
      <x:c r="N220" s="56" t="str">
        <x:v>24 products; many marked Only at Ulta; First Spray $26 4.6/293</x:v>
      </x:c>
      <x:c r="O220" s="56" t="str">
        <x:v>Active</x:v>
      </x:c>
      <x:c r="P220" s="56"/>
      <x:c r="Q220" s="56" t="str">
        <x:v>Corporate history and current Ulta pages confirm U.S. entry and broad assortment.</x:v>
      </x:c>
      <x:c r="R220" s="56" t="str">
        <x:v>Not estimated</x:v>
      </x:c>
      <x:c r="S220" s="56" t="str">
        <x:v>Retail presence and review signals verified; sell-through not public.</x:v>
      </x:c>
      <x:c r="T220" s="56" t="str">
        <x:v>High</x:v>
      </x:c>
      <x:c r="U220" s="56" t="str">
        <x:v>2026-08-01</x:v>
      </x:c>
      <x:c r="V220" s="56" t="str">
        <x:v>SRC-DAL-004,SRC-DAL-025,SRC-DAL-051</x:v>
      </x:c>
      <x:c r="W220" s="56" t="str">
        <x:v>Corporate IR says Ulta expansion to 1,500 stores; confirm exact active door count and assortment by account.</x:v>
      </x:c>
    </x:row>
    <x:row r="221" ht="118" customHeight="1">
      <x:c r="A221" s="56" t="str">
        <x:v>CH-DAL-011</x:v>
      </x:c>
      <x:c r="B221" s="56" t="str">
        <x:v>KB014</x:v>
      </x:c>
      <x:c r="C221" s="56" t="str">
        <x:v>DAL-P001</x:v>
      </x:c>
      <x:c r="D221" s="56" t="str">
        <x:v>Costco</x:v>
      </x:c>
      <x:c r="E221" s="56" t="str">
        <x:v>https://www.costco.com/skin-care.html</x:v>
      </x:c>
      <x:c r="F221" s="56" t="str">
        <x:v>Costco</x:v>
      </x:c>
      <x:c r="G221" s="56" t="str">
        <x:v>Authorized strategic retailer</x:v>
      </x:c>
      <x:c r="H221" s="56"/>
      <x:c r="I221" s="56" t="n">
        <x:v>20.99</x:v>
      </x:c>
      <x:c r="J221" s="56"/>
      <x:c r="K221" s="56" t="n">
        <x:v>865</x:v>
      </x:c>
      <x:c r="L221" s="56" t="n">
        <x:v>4.7</x:v>
      </x:c>
      <x:c r="M221" s="56"/>
      <x:c r="N221" s="56" t="str">
        <x:v>6.08 fl oz First Spray Serum; $20.99 after discount in reviewed page</x:v>
      </x:c>
      <x:c r="O221" s="56" t="str">
        <x:v>Active / inventory varies</x:v>
      </x:c>
      <x:c r="P221" s="56"/>
      <x:c r="Q221" s="56" t="str">
        <x:v>Club-size item verifies major U.S. offline/online reach and strong value compression.</x:v>
      </x:c>
      <x:c r="R221" s="56" t="str">
        <x:v>Not estimated</x:v>
      </x:c>
      <x:c r="S221" s="56" t="str">
        <x:v>Corporate IR reported 150 U.S. Costco stores; member/location inventory varies.</x:v>
      </x:c>
      <x:c r="T221" s="56" t="str">
        <x:v>High</x:v>
      </x:c>
      <x:c r="U221" s="56" t="str">
        <x:v>2026-08-01</x:v>
      </x:c>
      <x:c r="V221" s="56" t="str">
        <x:v>SRC-DAL-004,SRC-DAL-026,SRC-DAL-051</x:v>
      </x:c>
      <x:c r="W221" s="56" t="str">
        <x:v>Club pack materially constrains standard distributor price architecture.</x:v>
      </x:c>
    </x:row>
    <x:row r="222" ht="118" customHeight="1">
      <x:c r="A222" s="56" t="str">
        <x:v>CH-DAL-012</x:v>
      </x:c>
      <x:c r="B222" s="56" t="str">
        <x:v>KB014</x:v>
      </x:c>
      <x:c r="C222" s="56" t="str">
        <x:v>DAL-P001</x:v>
      </x:c>
      <x:c r="D222" s="56" t="str">
        <x:v>iHerb</x:v>
      </x:c>
      <x:c r="E222" s="56" t="str">
        <x:v>https://www.iherb.com/pr/d-alba-first-spray-serum-3-38-fl-oz-100-ml/116015</x:v>
      </x:c>
      <x:c r="F222" s="56" t="str">
        <x:v>iHerb</x:v>
      </x:c>
      <x:c r="G222" s="56" t="str">
        <x:v>Established specialty e-commerce retailer</x:v>
      </x:c>
      <x:c r="H222" s="56" t="n">
        <x:v>24</x:v>
      </x:c>
      <x:c r="I222" s="56" t="n">
        <x:v>24</x:v>
      </x:c>
      <x:c r="J222" s="56" t="n">
        <x:v>0</x:v>
      </x:c>
      <x:c r="K222" s="56" t="n">
        <x:v>3265</x:v>
      </x:c>
      <x:c r="L222" s="56" t="n">
        <x:v>4.7</x:v>
      </x:c>
      <x:c r="M222" s="56" t="str">
        <x:v>#1 K-Beauty Hydrating Serums; #20 Face Serums</x:v>
      </x:c>
      <x:c r="N222" s="56" t="str">
        <x:v>2K+ sold in 30 days</x:v>
      </x:c>
      <x:c r="O222" s="56" t="str">
        <x:v>Active</x:v>
      </x:c>
      <x:c r="P222" s="56"/>
      <x:c r="Q222" s="56" t="str">
        <x:v>High review scale, current velocity and category-rank validation beyond Amazon.</x:v>
      </x:c>
      <x:c r="R222" s="56" t="str">
        <x:v>Not estimated</x:v>
      </x:c>
      <x:c r="S222" s="56" t="str">
        <x:v>Retailer product/rank data; not audited brand revenue.</x:v>
      </x:c>
      <x:c r="T222" s="56" t="str">
        <x:v>High</x:v>
      </x:c>
      <x:c r="U222" s="56" t="str">
        <x:v>2026-08-01</x:v>
      </x:c>
      <x:c r="V222" s="56" t="str">
        <x:v>SRC-DAL-027</x:v>
      </x:c>
      <x:c r="W222" s="56" t="str">
        <x:v>Confirm authorization and supply route directly with brand.</x:v>
      </x:c>
    </x:row>
    <x:row r="223" ht="118" customHeight="1">
      <x:c r="A223" s="56" t="str">
        <x:v>CH-DAL-013</x:v>
      </x:c>
      <x:c r="B223" s="56" t="str">
        <x:v>KB014</x:v>
      </x:c>
      <x:c r="C223" s="56" t="str">
        <x:v>DAL-P001</x:v>
      </x:c>
      <x:c r="D223" s="56" t="str">
        <x:v>Walmart Marketplace</x:v>
      </x:c>
      <x:c r="E223" s="56" t="str">
        <x:v>https://www.walmart.com/ip/18232074570</x:v>
      </x:c>
      <x:c r="F223" s="56" t="str">
        <x:v>T.E.R Glow / other third parties</x:v>
      </x:c>
      <x:c r="G223" s="56" t="str">
        <x:v>Third-party marketplace; not verified as official</x:v>
      </x:c>
      <x:c r="H223" s="56" t="n">
        <x:v>23.44</x:v>
      </x:c>
      <x:c r="I223" s="56" t="n">
        <x:v>20.99</x:v>
      </x:c>
      <x:c r="J223" s="56" t="n">
        <x:v>0.1045</x:v>
      </x:c>
      <x:c r="K223" s="56" t="n">
        <x:v>41</x:v>
      </x:c>
      <x:c r="L223" s="56" t="n">
        <x:v>4.3</x:v>
      </x:c>
      <x:c r="M223" s="56"/>
      <x:c r="N223" s="56" t="str">
        <x:v>Seller and size vary by offer</x:v>
      </x:c>
      <x:c r="O223" s="56" t="str">
        <x:v>Active / seller-variable</x:v>
      </x:c>
      <x:c r="P223" s="56"/>
      <x:c r="Q223" s="56" t="str">
        <x:v>Current listing was sold and shipped by a third party, not Walmart or d'Alba.</x:v>
      </x:c>
      <x:c r="R223" s="56" t="str">
        <x:v>Not estimated</x:v>
      </x:c>
      <x:c r="S223" s="56" t="str">
        <x:v>Presence supports awareness but creates provenance/version risk.</x:v>
      </x:c>
      <x:c r="T223" s="56" t="str">
        <x:v>Medium</x:v>
      </x:c>
      <x:c r="U223" s="56" t="str">
        <x:v>2026-08-01</x:v>
      </x:c>
      <x:c r="V223" s="56" t="str">
        <x:v>SRC-DAL-028,SRC-DAL-052</x:v>
      </x:c>
      <x:c r="W223" s="56" t="str">
        <x:v>Do not treat Walmart marketplace presence as an authorized national account without written proof.</x:v>
      </x:c>
    </x:row>
    <x:row r="224" ht="118" customHeight="1">
      <x:c r="A224" s="56" t="str">
        <x:v>CH-DAL-014</x:v>
      </x:c>
      <x:c r="B224" s="56" t="str">
        <x:v>KB014</x:v>
      </x:c>
      <x:c r="C224" s="56" t="str">
        <x:v>DAL-P001</x:v>
      </x:c>
      <x:c r="D224" s="56" t="str">
        <x:v>YesStyle</x:v>
      </x:c>
      <x:c r="E224" s="56" t="str">
        <x:v>https://www.yesstyle.com/en/info.html/pid.1135248571</x:v>
      </x:c>
      <x:c r="F224" s="56" t="str">
        <x:v>YesStyle</x:v>
      </x:c>
      <x:c r="G224" s="56" t="str">
        <x:v>Cross-border retailer claiming authorization</x:v>
      </x:c>
      <x:c r="H224" s="56" t="n">
        <x:v>26.3</x:v>
      </x:c>
      <x:c r="I224" s="56" t="n">
        <x:v>24.99</x:v>
      </x:c>
      <x:c r="J224" s="56" t="n">
        <x:v>0.0498</x:v>
      </x:c>
      <x:c r="K224" s="56" t="n">
        <x:v>1029</x:v>
      </x:c>
      <x:c r="L224" s="56"/>
      <x:c r="M224" s="56" t="str">
        <x:v>#52 Face Serums; #277 Beauty</x:v>
      </x:c>
      <x:c r="N224" s="56" t="str">
        <x:v>100 mL in stock</x:v>
      </x:c>
      <x:c r="O224" s="56" t="str">
        <x:v>Active</x:v>
      </x:c>
      <x:c r="P224" s="56"/>
      <x:c r="Q224" s="56" t="str">
        <x:v>Page identifies YesStyle as an authorized retailer and displays full INCI including fragrance allergens.</x:v>
      </x:c>
      <x:c r="R224" s="56" t="str">
        <x:v>Not estimated</x:v>
      </x:c>
      <x:c r="S224" s="56" t="str">
        <x:v>Cross-border availability; not U.S. sell-through.</x:v>
      </x:c>
      <x:c r="T224" s="56" t="str">
        <x:v>Medium-High</x:v>
      </x:c>
      <x:c r="U224" s="56" t="str">
        <x:v>2026-08-01</x:v>
      </x:c>
      <x:c r="V224" s="56" t="str">
        <x:v>SRC-DAL-029</x:v>
      </x:c>
      <x:c r="W224" s="56" t="str">
        <x:v>Map country formula, package, UPC and U.S. resale rights.</x:v>
      </x:c>
    </x:row>
    <x:row r="225" ht="118" customHeight="1">
      <x:c r="A225" s="56" t="str">
        <x:v>CH-DAL-015</x:v>
      </x:c>
      <x:c r="B225" s="56" t="str">
        <x:v>KB014</x:v>
      </x:c>
      <x:c r="C225" s="56"/>
      <x:c r="D225" s="56" t="str">
        <x:v>Olive Young Global</x:v>
      </x:c>
      <x:c r="E225" s="56" t="str">
        <x:v>https://global.oliveyoung.com/display/search?query=d%27Alba</x:v>
      </x:c>
      <x:c r="F225" s="56" t="str">
        <x:v>Olive Young Global</x:v>
      </x:c>
      <x:c r="G225" s="56" t="str">
        <x:v>Cross-border K-Beauty retailer</x:v>
      </x:c>
      <x:c r="H225" s="56"/>
      <x:c r="I225" s="56"/>
      <x:c r="J225" s="56"/>
      <x:c r="K225" s="56"/>
      <x:c r="L225" s="56"/>
      <x:c r="M225" s="56"/>
      <x:c r="N225" s="56" t="str">
        <x:v>Multiple d'Alba skincare results available to international shoppers</x:v>
      </x:c>
      <x:c r="O225" s="56" t="str">
        <x:v>Active / search dynamic</x:v>
      </x:c>
      <x:c r="P225" s="56"/>
      <x:c r="Q225" s="56" t="str">
        <x:v>High-visibility K-Beauty discovery channel serving U.S. consumers cross-border.</x:v>
      </x:c>
      <x:c r="R225" s="56" t="str">
        <x:v>Not estimated</x:v>
      </x:c>
      <x:c r="S225" s="56" t="str">
        <x:v>Cross-border presence; no public U.S.-only sell-through.</x:v>
      </x:c>
      <x:c r="T225" s="56" t="str">
        <x:v>Medium</x:v>
      </x:c>
      <x:c r="U225" s="56" t="str">
        <x:v>2026-08-01</x:v>
      </x:c>
      <x:c r="V225" s="56" t="str">
        <x:v>SRC-DAL-030</x:v>
      </x:c>
      <x:c r="W225" s="56" t="str">
        <x:v>Map formula/version and price leakage.</x:v>
      </x:c>
    </x:row>
    <x:row r="226" ht="118" customHeight="1">
      <x:c r="A226" s="56" t="str">
        <x:v>CH-DAL-016</x:v>
      </x:c>
      <x:c r="B226" s="56" t="str">
        <x:v>KB014</x:v>
      </x:c>
      <x:c r="C226" s="56" t="str">
        <x:v>DAL-P001</x:v>
      </x:c>
      <x:c r="D226" s="56" t="str">
        <x:v>Jolse</x:v>
      </x:c>
      <x:c r="E226" s="56" t="str">
        <x:v>https://jolse.com/product/dalba-white-truffle-first-spray-serum-100ml/</x:v>
      </x:c>
      <x:c r="F226" s="56" t="str">
        <x:v>Jolse</x:v>
      </x:c>
      <x:c r="G226" s="56" t="str">
        <x:v>Cross-border K-Beauty retailer</x:v>
      </x:c>
      <x:c r="H226" s="56"/>
      <x:c r="I226" s="56" t="n">
        <x:v>28.5</x:v>
      </x:c>
      <x:c r="J226" s="56"/>
      <x:c r="K226" s="56"/>
      <x:c r="L226" s="56"/>
      <x:c r="M226" s="56"/>
      <x:c r="N226" s="56" t="str">
        <x:v>100 mL listing plus active consumer review content</x:v>
      </x:c>
      <x:c r="O226" s="56" t="str">
        <x:v>Active</x:v>
      </x:c>
      <x:c r="P226" s="56"/>
      <x:c r="Q226" s="56" t="str">
        <x:v>Cross-border availability and review content support awareness.</x:v>
      </x:c>
      <x:c r="R226" s="56" t="str">
        <x:v>Not estimated</x:v>
      </x:c>
      <x:c r="S226" s="56" t="str">
        <x:v>No U.S.-only sell-through.</x:v>
      </x:c>
      <x:c r="T226" s="56" t="str">
        <x:v>Medium</x:v>
      </x:c>
      <x:c r="U226" s="56" t="str">
        <x:v>2026-08-01</x:v>
      </x:c>
      <x:c r="V226" s="56" t="str">
        <x:v>SRC-DAL-031,SRC-DAL-039,SRC-DAL-040</x:v>
      </x:c>
      <x:c r="W226" s="56" t="str">
        <x:v>Map formula, pricing and authorized U.S. resale rights.</x:v>
      </x:c>
    </x:row>
    <x:row r="227" ht="118" customHeight="1">
      <x:c r="A227" s="56" t="str">
        <x:v>CH-DAL-017</x:v>
      </x:c>
      <x:c r="B227" s="56" t="str">
        <x:v>KB014</x:v>
      </x:c>
      <x:c r="C227" s="56"/>
      <x:c r="D227" s="56" t="str">
        <x:v>Target</x:v>
      </x:c>
      <x:c r="E227" s="56" t="str">
        <x:v>https://www.target.com/s?searchTerm=d%27alba</x:v>
      </x:c>
      <x:c r="F227" s="56" t="str">
        <x:v>Target</x:v>
      </x:c>
      <x:c r="G227" s="56" t="str">
        <x:v>No current first-party relationship verified</x:v>
      </x:c>
      <x:c r="H227" s="56"/>
      <x:c r="I227" s="56"/>
      <x:c r="J227" s="56"/>
      <x:c r="K227" s="56"/>
      <x:c r="L227" s="56"/>
      <x:c r="M227" s="56"/>
      <x:c r="N227" s="56" t="str">
        <x:v>Corporate 2025 material mentioned Target entry as in progress, but current first-party assortment was not confirmed</x:v>
      </x:c>
      <x:c r="O227" s="56" t="str">
        <x:v>Unverified / do not count as active</x:v>
      </x:c>
      <x:c r="P227" s="56"/>
      <x:c r="Q227" s="56" t="str">
        <x:v>Included as a future/verification channel only.</x:v>
      </x:c>
      <x:c r="R227" s="56" t="str">
        <x:v>Not estimated</x:v>
      </x:c>
      <x:c r="S227" s="56" t="str">
        <x:v>Absence is not definitive; requires brand/account confirmation.</x:v>
      </x:c>
      <x:c r="T227" s="56" t="str">
        <x:v>Low-Medium</x:v>
      </x:c>
      <x:c r="U227" s="56" t="str">
        <x:v>2026-08-01</x:v>
      </x:c>
      <x:c r="V227" s="56" t="str">
        <x:v>SRC-DAL-009</x:v>
      </x:c>
      <x:c r="W227" s="56" t="str">
        <x:v>Do not claim Target authorization without current first-party evidence.</x:v>
      </x:c>
    </x:row>
    <x:row r="228" ht="118" customHeight="1">
      <x:c r="A228" s="56" t="str">
        <x:v>CH-DAL-018</x:v>
      </x:c>
      <x:c r="B228" s="56" t="str">
        <x:v>KB014</x:v>
      </x:c>
      <x:c r="C228" s="56"/>
      <x:c r="D228" s="56" t="str">
        <x:v>Sephora U.S.</x:v>
      </x:c>
      <x:c r="E228" s="56" t="str">
        <x:v>https://www.sephora.com/search?keyword=d%27alba</x:v>
      </x:c>
      <x:c r="F228" s="56" t="str">
        <x:v>Sephora U.S.</x:v>
      </x:c>
      <x:c r="G228" s="56" t="str">
        <x:v>No current listing verified</x:v>
      </x:c>
      <x:c r="H228" s="56"/>
      <x:c r="I228" s="56"/>
      <x:c r="J228" s="56"/>
      <x:c r="K228" s="56"/>
      <x:c r="L228" s="56"/>
      <x:c r="M228" s="56"/>
      <x:c r="N228" s="56" t="str">
        <x:v>No active U.S. Sephora brand/product page was identified in reviewed searches</x:v>
      </x:c>
      <x:c r="O228" s="56" t="str">
        <x:v>Not verified / do not count as active</x:v>
      </x:c>
      <x:c r="P228" s="56"/>
      <x:c r="Q228" s="56" t="str">
        <x:v>Included to document current channel whitespace cautiously.</x:v>
      </x:c>
      <x:c r="R228" s="56" t="str">
        <x:v>Not estimated</x:v>
      </x:c>
      <x:c r="S228" s="56" t="str">
        <x:v>Search non-result is not proof of permanent absence.</x:v>
      </x:c>
      <x:c r="T228" s="56" t="str">
        <x:v>Low-Medium</x:v>
      </x:c>
      <x:c r="U228" s="56" t="str">
        <x:v>2026-08-01</x:v>
      </x:c>
      <x:c r="V228" s="56" t="str">
        <x:v>SRC-DAL-002</x:v>
      </x:c>
      <x:c r="W228" s="56" t="str">
        <x:v>Recheck before any channel strategy decision.</x:v>
      </x:c>
    </x:row>
    <x:row r="229" ht="118" customHeight="1">
      <x:c r="A229" s="56" t="str">
        <x:v>CH-DAL-019</x:v>
      </x:c>
      <x:c r="B229" s="56" t="str">
        <x:v>KB014</x:v>
      </x:c>
      <x:c r="C229" s="56"/>
      <x:c r="D229" s="56" t="str">
        <x:v>Corporate / Americas B2B</x:v>
      </x:c>
      <x:c r="E229" s="56" t="str">
        <x:v>https://dalbaglobal.com/whoweare/brands.php</x:v>
      </x:c>
      <x:c r="F229" s="56" t="str">
        <x:v>d'Alba Global Co., Ltd.</x:v>
      </x:c>
      <x:c r="G229" s="56" t="str">
        <x:v>Official corporate contact</x:v>
      </x:c>
      <x:c r="H229" s="56"/>
      <x:c r="I229" s="56"/>
      <x:c r="J229" s="56"/>
      <x:c r="K229" s="56"/>
      <x:c r="L229" s="56"/>
      <x:c r="M229" s="56"/>
      <x:c r="N229" s="56" t="str">
        <x:v>Americas business inquiry: biz_america@dalba.com</x:v>
      </x:c>
      <x:c r="O229" s="56" t="str">
        <x:v>Contact route active</x:v>
      </x:c>
      <x:c r="P229" s="56"/>
      <x:c r="Q229" s="56" t="str">
        <x:v>Official corporate page provides a regional business inquiry route.</x:v>
      </x:c>
      <x:c r="R229" s="56" t="str">
        <x:v>Not estimated</x:v>
      </x:c>
      <x:c r="S229" s="56" t="str">
        <x:v>No public MOQ, wholesale prices, exclusivity or open rights.</x:v>
      </x:c>
      <x:c r="T229" s="56" t="str">
        <x:v>High</x:v>
      </x:c>
      <x:c r="U229" s="56" t="str">
        <x:v>2026-08-01</x:v>
      </x:c>
      <x:c r="V229" s="56" t="str">
        <x:v>SRC-DAL-004,SRC-DAL-006</x:v>
      </x:c>
      <x:c r="W229" s="56" t="str">
        <x:v>Do not assume open U.S. distribution rights from a public email.</x:v>
      </x:c>
    </x:row>
    <x:row r="230" ht="120" customHeight="1">
      <x:c r="A230" s="56" t="str">
        <x:v>CH-SBM-001</x:v>
      </x:c>
      <x:c r="B230" s="56" t="str">
        <x:v>KB015</x:v>
      </x:c>
      <x:c r="C230" s="56"/>
      <x:c r="D230" s="56" t="str">
        <x:v>Official HQ Store</x:v>
      </x:c>
      <x:c r="E230" s="56" t="str">
        <x:v>https://somebymi.com</x:v>
      </x:c>
      <x:c r="F230" s="56" t="str">
        <x:v>PERENNEBELL Co., Ltd.</x:v>
      </x:c>
      <x:c r="G230" s="56" t="str">
        <x:v>Official Korean/HQ storefront</x:v>
      </x:c>
      <x:c r="H230" s="56"/>
      <x:c r="I230" s="56"/>
      <x:c r="J230" s="56"/>
      <x:c r="K230" s="56"/>
      <x:c r="L230" s="56"/>
      <x:c r="M230" s="56"/>
      <x:c r="N230" s="56" t="str">
        <x:v>Broad Korean catalog and official company/contact content; no standalone U.S. DTC checkout was verified</x:v>
      </x:c>
      <x:c r="O230" s="56" t="str">
        <x:v>Active</x:v>
      </x:c>
      <x:c r="P230" s="56"/>
      <x:c r="Q230" s="56" t="str">
        <x:v>The controlling URL is an official brand domain and resolves to the HQ store.</x:v>
      </x:c>
      <x:c r="R230" s="56" t="str">
        <x:v>Not estimated</x:v>
      </x:c>
      <x:c r="S230" s="56" t="str">
        <x:v>First-party identity source; not U.S. retail sell-through.</x:v>
      </x:c>
      <x:c r="T230" s="56" t="str">
        <x:v>High</x:v>
      </x:c>
      <x:c r="U230" s="56" t="str">
        <x:v>2026-08-01</x:v>
      </x:c>
      <x:c r="V230" s="56" t="str">
        <x:v>SRC-SBM-002,SRC-SBM-003,SRC-SBM-007</x:v>
      </x:c>
      <x:c r="W230" s="56" t="str">
        <x:v>Confirm U.S. merchant, importer and wholesale entity separately.</x:v>
      </x:c>
    </x:row>
    <x:row r="231" ht="120" customHeight="1">
      <x:c r="A231" s="56" t="str">
        <x:v>CH-SBM-002</x:v>
      </x:c>
      <x:c r="B231" s="56" t="str">
        <x:v>KB015</x:v>
      </x:c>
      <x:c r="C231" s="56"/>
      <x:c r="D231" s="56" t="str">
        <x:v>Official U.S. Link Hub</x:v>
      </x:c>
      <x:c r="E231" s="56" t="str">
        <x:v>https://linktr.ee/somebymi.official_us</x:v>
      </x:c>
      <x:c r="F231" s="56" t="str">
        <x:v>@somebymi.official_us</x:v>
      </x:c>
      <x:c r="G231" s="56" t="str">
        <x:v>Official U.S. social/link hub</x:v>
      </x:c>
      <x:c r="H231" s="56"/>
      <x:c r="I231" s="56"/>
      <x:c r="J231" s="56"/>
      <x:c r="K231" s="56"/>
      <x:c r="L231" s="56"/>
      <x:c r="M231" s="56"/>
      <x:c r="N231" s="56" t="str">
        <x:v>Links official U.S. Amazon, Ulta, TikTok Shop, Instagram, YouTube and creator/affiliate programs</x:v>
      </x:c>
      <x:c r="O231" s="56" t="str">
        <x:v>Active</x:v>
      </x:c>
      <x:c r="P231" s="56"/>
      <x:c r="Q231" s="56" t="str">
        <x:v>Direct U.S. hub verifies current official partner routes.</x:v>
      </x:c>
      <x:c r="R231" s="56" t="str">
        <x:v>Not estimated</x:v>
      </x:c>
      <x:c r="S231" s="56" t="str">
        <x:v>Official routing; no audited sales.</x:v>
      </x:c>
      <x:c r="T231" s="56" t="str">
        <x:v>High</x:v>
      </x:c>
      <x:c r="U231" s="56" t="str">
        <x:v>2026-08-01</x:v>
      </x:c>
      <x:c r="V231" s="56" t="str">
        <x:v>SRC-SBM-006</x:v>
      </x:c>
      <x:c r="W231" s="56" t="str">
        <x:v>Affiliate recruitment increases promotion/channel-control complexity.</x:v>
      </x:c>
    </x:row>
    <x:row r="232" ht="120" customHeight="1">
      <x:c r="A232" s="56" t="str">
        <x:v>CH-SBM-003</x:v>
      </x:c>
      <x:c r="B232" s="56" t="str">
        <x:v>KB015</x:v>
      </x:c>
      <x:c r="C232" s="56"/>
      <x:c r="D232" s="56" t="str">
        <x:v>Amazon U.S. Brand Store</x:v>
      </x:c>
      <x:c r="E232" s="56" t="str">
        <x:v>https://www.amazon.com/stores/SOMEBYMI/page/D69C89D1-E451-454B-BC24-D98FCFE6768B</x:v>
      </x:c>
      <x:c r="F232" s="56" t="str">
        <x:v>SOME BY MI_Official</x:v>
      </x:c>
      <x:c r="G232" s="56" t="str">
        <x:v>Official seller observed</x:v>
      </x:c>
      <x:c r="H232" s="56"/>
      <x:c r="I232" s="56"/>
      <x:c r="J232" s="56"/>
      <x:c r="K232" s="56"/>
      <x:c r="L232" s="56"/>
      <x:c r="M232" s="56"/>
      <x:c r="N232" s="56" t="str">
        <x:v>Broad official assortment; five sampled ASINs total at least 20K units/month</x:v>
      </x:c>
      <x:c r="O232" s="56" t="str">
        <x:v>Active</x:v>
      </x:c>
      <x:c r="P232" s="56"/>
      <x:c r="Q232" s="56" t="str">
        <x:v>All five sampled pages displayed SOME BY MI_Official as seller and Amazon as shipper.</x:v>
      </x:c>
      <x:c r="R232" s="56" t="str">
        <x:v>At least 20,000 units/month; at least $359,300/month</x:v>
      </x:c>
      <x:c r="S232" s="56" t="str">
        <x:v>Rounded badges across five distinct ASINs; excludes other products and adjustments.</x:v>
      </x:c>
      <x:c r="T232" s="56" t="str">
        <x:v>High</x:v>
      </x:c>
      <x:c r="U232" s="56" t="str">
        <x:v>2026-08-01</x:v>
      </x:c>
      <x:c r="V232" s="56" t="str">
        <x:v>SRC-SBM-010,SRC-SBM-016</x:v>
      </x:c>
      <x:c r="W232" s="56" t="str">
        <x:v>Dynamic public proxy, not audited revenue or total U.S. sales.</x:v>
      </x:c>
    </x:row>
    <x:row r="233" ht="120" customHeight="1">
      <x:c r="A233" s="56" t="str">
        <x:v>CH-SBM-004</x:v>
      </x:c>
      <x:c r="B233" s="56" t="str">
        <x:v>KB015</x:v>
      </x:c>
      <x:c r="C233" s="56" t="str">
        <x:v>SBM-P001</x:v>
      </x:c>
      <x:c r="D233" s="56" t="str">
        <x:v>Amazon — Body Cleanser</x:v>
      </x:c>
      <x:c r="E233" s="56" t="str">
        <x:v>https://www.amazon.com/dp/B087LYWWW4</x:v>
      </x:c>
      <x:c r="F233" s="56" t="str">
        <x:v>SOME BY MI_Official</x:v>
      </x:c>
      <x:c r="G233" s="56" t="str">
        <x:v>Official seller / Amazon fulfilled</x:v>
      </x:c>
      <x:c r="H233" s="56"/>
      <x:c r="I233" s="56" t="n">
        <x:v>19.9</x:v>
      </x:c>
      <x:c r="J233" s="56"/>
      <x:c r="K233" s="56" t="n">
        <x:v>2738</x:v>
      </x:c>
      <x:c r="L233" s="56" t="n">
        <x:v>4.5</x:v>
      </x:c>
      <x:c r="M233" s="56"/>
      <x:c r="N233" s="56" t="str">
        <x:v>10K+ bought in past month</x:v>
      </x:c>
      <x:c r="O233" s="56" t="str">
        <x:v>Active</x:v>
      </x:c>
      <x:c r="P233" s="56"/>
      <x:c r="Q233" s="56" t="str">
        <x:v>ASIN B087LYWWW4; seller and shipper observed directly.</x:v>
      </x:c>
      <x:c r="R233" s="56" t="str">
        <x:v>At least $199,000/month</x:v>
      </x:c>
      <x:c r="S233" s="56" t="str">
        <x:v>10,000 rounded badge × $19.90.</x:v>
      </x:c>
      <x:c r="T233" s="56" t="str">
        <x:v>High</x:v>
      </x:c>
      <x:c r="U233" s="56" t="str">
        <x:v>2026-08-01</x:v>
      </x:c>
      <x:c r="V233" s="56" t="str">
        <x:v>SRC-SBM-011</x:v>
      </x:c>
      <x:c r="W233" s="56" t="str">
        <x:v>Dynamic price, badge and review family.</x:v>
      </x:c>
    </x:row>
    <x:row r="234" ht="120" customHeight="1">
      <x:c r="A234" s="56" t="str">
        <x:v>CH-SBM-005</x:v>
      </x:c>
      <x:c r="B234" s="56" t="str">
        <x:v>KB015</x:v>
      </x:c>
      <x:c r="C234" s="56" t="str">
        <x:v>SBM-P002</x:v>
      </x:c>
      <x:c r="D234" s="56" t="str">
        <x:v>Amazon — Miracle Toner</x:v>
      </x:c>
      <x:c r="E234" s="56" t="str">
        <x:v>https://www.amazon.com/dp/B07BYJF7L7</x:v>
      </x:c>
      <x:c r="F234" s="56" t="str">
        <x:v>SOME BY MI_Official</x:v>
      </x:c>
      <x:c r="G234" s="56" t="str">
        <x:v>Official seller / Amazon fulfilled</x:v>
      </x:c>
      <x:c r="H234" s="56"/>
      <x:c r="I234" s="56" t="n">
        <x:v>16.8</x:v>
      </x:c>
      <x:c r="J234" s="56"/>
      <x:c r="K234" s="56" t="n">
        <x:v>9444</x:v>
      </x:c>
      <x:c r="L234" s="56" t="n">
        <x:v>4.6</x:v>
      </x:c>
      <x:c r="M234" s="56"/>
      <x:c r="N234" s="56" t="str">
        <x:v>5K+ bought in past month</x:v>
      </x:c>
      <x:c r="O234" s="56" t="str">
        <x:v>Active</x:v>
      </x:c>
      <x:c r="P234" s="56"/>
      <x:c r="Q234" s="56" t="str">
        <x:v>ASIN B07BYJF7L7; seller and shipper observed directly.</x:v>
      </x:c>
      <x:c r="R234" s="56" t="str">
        <x:v>At least $84,000/month</x:v>
      </x:c>
      <x:c r="S234" s="56" t="str">
        <x:v>5,000 rounded badge × $16.80.</x:v>
      </x:c>
      <x:c r="T234" s="56" t="str">
        <x:v>High</x:v>
      </x:c>
      <x:c r="U234" s="56" t="str">
        <x:v>2026-08-01</x:v>
      </x:c>
      <x:c r="V234" s="56" t="str">
        <x:v>SRC-SBM-012</x:v>
      </x:c>
      <x:c r="W234" s="56" t="str">
        <x:v>Dynamic price, badge and reviews.</x:v>
      </x:c>
    </x:row>
    <x:row r="235" ht="120" customHeight="1">
      <x:c r="A235" s="56" t="str">
        <x:v>CH-SBM-006</x:v>
      </x:c>
      <x:c r="B235" s="56" t="str">
        <x:v>KB015</x:v>
      </x:c>
      <x:c r="C235" s="56" t="str">
        <x:v>SBM-P003</x:v>
      </x:c>
      <x:c r="D235" s="56" t="str">
        <x:v>Amazon — Acne Clear Foam</x:v>
      </x:c>
      <x:c r="E235" s="56" t="str">
        <x:v>https://www.amazon.com/dp/B07Q34Y99J</x:v>
      </x:c>
      <x:c r="F235" s="56" t="str">
        <x:v>SOME BY MI_Official</x:v>
      </x:c>
      <x:c r="G235" s="56" t="str">
        <x:v>Official seller / Amazon fulfilled</x:v>
      </x:c>
      <x:c r="H235" s="56"/>
      <x:c r="I235" s="56" t="n">
        <x:v>13.3</x:v>
      </x:c>
      <x:c r="J235" s="56"/>
      <x:c r="K235" s="56" t="n">
        <x:v>1983</x:v>
      </x:c>
      <x:c r="L235" s="56" t="n">
        <x:v>4.6</x:v>
      </x:c>
      <x:c r="M235" s="56"/>
      <x:c r="N235" s="56" t="str">
        <x:v>3K+ bought in past month</x:v>
      </x:c>
      <x:c r="O235" s="56" t="str">
        <x:v>Active</x:v>
      </x:c>
      <x:c r="P235" s="56"/>
      <x:c r="Q235" s="56" t="str">
        <x:v>ASIN B07Q34Y99J; seller and shipper observed directly.</x:v>
      </x:c>
      <x:c r="R235" s="56" t="str">
        <x:v>At least $39,900/month</x:v>
      </x:c>
      <x:c r="S235" s="56" t="str">
        <x:v>3,000 rounded badge × $13.30.</x:v>
      </x:c>
      <x:c r="T235" s="56" t="str">
        <x:v>High</x:v>
      </x:c>
      <x:c r="U235" s="56" t="str">
        <x:v>2026-08-01</x:v>
      </x:c>
      <x:c r="V235" s="56" t="str">
        <x:v>SRC-SBM-013</x:v>
      </x:c>
      <x:c r="W235" s="56" t="str">
        <x:v>Exact U.S. OTC formula/size/NDC mapping required.</x:v>
      </x:c>
    </x:row>
    <x:row r="236" ht="120" customHeight="1">
      <x:c r="A236" s="56" t="str">
        <x:v>CH-SBM-007</x:v>
      </x:c>
      <x:c r="B236" s="56" t="str">
        <x:v>KB015</x:v>
      </x:c>
      <x:c r="C236" s="56" t="str">
        <x:v>SBM-P004</x:v>
      </x:c>
      <x:c r="D236" s="56" t="str">
        <x:v>Amazon — Miracle Cream</x:v>
      </x:c>
      <x:c r="E236" s="56" t="str">
        <x:v>https://www.amazon.com/dp/B07KNP5CG3</x:v>
      </x:c>
      <x:c r="F236" s="56" t="str">
        <x:v>SOME BY MI_Official</x:v>
      </x:c>
      <x:c r="G236" s="56" t="str">
        <x:v>Official seller / Amazon fulfilled</x:v>
      </x:c>
      <x:c r="H236" s="56"/>
      <x:c r="I236" s="56" t="n">
        <x:v>15.8</x:v>
      </x:c>
      <x:c r="J236" s="56"/>
      <x:c r="K236" s="56" t="n">
        <x:v>2915</x:v>
      </x:c>
      <x:c r="L236" s="56" t="n">
        <x:v>4.5</x:v>
      </x:c>
      <x:c r="M236" s="56"/>
      <x:c r="N236" s="56" t="str">
        <x:v>1K+ bought in past month</x:v>
      </x:c>
      <x:c r="O236" s="56" t="str">
        <x:v>Active</x:v>
      </x:c>
      <x:c r="P236" s="56"/>
      <x:c r="Q236" s="56" t="str">
        <x:v>ASIN B07KNP5CG3; seller and shipper observed directly.</x:v>
      </x:c>
      <x:c r="R236" s="56" t="str">
        <x:v>At least $15,800/month</x:v>
      </x:c>
      <x:c r="S236" s="56" t="str">
        <x:v>1,000 rounded badge × $15.80.</x:v>
      </x:c>
      <x:c r="T236" s="56" t="str">
        <x:v>High</x:v>
      </x:c>
      <x:c r="U236" s="56" t="str">
        <x:v>2026-08-01</x:v>
      </x:c>
      <x:c r="V236" s="56" t="str">
        <x:v>SRC-SBM-014</x:v>
      </x:c>
      <x:c r="W236" s="56" t="str">
        <x:v>Dynamic price, badge and reviews.</x:v>
      </x:c>
    </x:row>
    <x:row r="237" ht="120" customHeight="1">
      <x:c r="A237" s="56" t="str">
        <x:v>CH-SBM-008</x:v>
      </x:c>
      <x:c r="B237" s="56" t="str">
        <x:v>KB015</x:v>
      </x:c>
      <x:c r="C237" s="56" t="str">
        <x:v>SBM-P005</x:v>
      </x:c>
      <x:c r="D237" s="56" t="str">
        <x:v>Amazon — Retinol Serum</x:v>
      </x:c>
      <x:c r="E237" s="56" t="str">
        <x:v>https://www.amazon.com/dp/B0BXGW8DRP</x:v>
      </x:c>
      <x:c r="F237" s="56" t="str">
        <x:v>SOME BY MI_Official</x:v>
      </x:c>
      <x:c r="G237" s="56" t="str">
        <x:v>Official seller / Amazon fulfilled</x:v>
      </x:c>
      <x:c r="H237" s="56"/>
      <x:c r="I237" s="56" t="n">
        <x:v>20.6</x:v>
      </x:c>
      <x:c r="J237" s="56"/>
      <x:c r="K237" s="56" t="n">
        <x:v>3058</x:v>
      </x:c>
      <x:c r="L237" s="56" t="n">
        <x:v>4.3</x:v>
      </x:c>
      <x:c r="M237" s="56"/>
      <x:c r="N237" s="56" t="str">
        <x:v>1K+ bought in past month</x:v>
      </x:c>
      <x:c r="O237" s="56" t="str">
        <x:v>Active</x:v>
      </x:c>
      <x:c r="P237" s="56"/>
      <x:c r="Q237" s="56" t="str">
        <x:v>ASIN B0BXGW8DRP; seller and shipper observed directly.</x:v>
      </x:c>
      <x:c r="R237" s="56" t="str">
        <x:v>At least $20,600/month</x:v>
      </x:c>
      <x:c r="S237" s="56" t="str">
        <x:v>1,000 rounded badge × $20.60.</x:v>
      </x:c>
      <x:c r="T237" s="56" t="str">
        <x:v>High</x:v>
      </x:c>
      <x:c r="U237" s="56" t="str">
        <x:v>2026-08-01</x:v>
      </x:c>
      <x:c r="V237" s="56" t="str">
        <x:v>SRC-SBM-015</x:v>
      </x:c>
      <x:c r="W237" s="56" t="str">
        <x:v>Dynamic price, badge and reviews.</x:v>
      </x:c>
    </x:row>
    <x:row r="238" ht="120" customHeight="1">
      <x:c r="A238" s="56" t="str">
        <x:v>CH-SBM-009</x:v>
      </x:c>
      <x:c r="B238" s="56" t="str">
        <x:v>KB015</x:v>
      </x:c>
      <x:c r="C238" s="56"/>
      <x:c r="D238" s="56" t="str">
        <x:v>TikTok Shop U.S.</x:v>
      </x:c>
      <x:c r="E238" s="56" t="str">
        <x:v>https://shop.tiktok.com/us/store/some-by-mi-us/7495931291720976403</x:v>
      </x:c>
      <x:c r="F238" s="56" t="str">
        <x:v>SOME BY MI US</x:v>
      </x:c>
      <x:c r="G238" s="56" t="str">
        <x:v>Official shop</x:v>
      </x:c>
      <x:c r="H238" s="56"/>
      <x:c r="I238" s="56"/>
      <x:c r="J238" s="56"/>
      <x:c r="K238" s="56" t="n">
        <x:v>320400</x:v>
      </x:c>
      <x:c r="L238" s="56"/>
      <x:c r="M238" s="56"/>
      <x:c r="N238" s="56" t="str">
        <x:v>320.4K+ followers; 268.9K sold; 2,049 videos; Body Cleanser 83.8K sold; Body Care Set 43.7K; Full Body Set 23.2K</x:v>
      </x:c>
      <x:c r="O238" s="56" t="str">
        <x:v>Active</x:v>
      </x:c>
      <x:c r="P238" s="56"/>
      <x:c r="Q238" s="56" t="str">
        <x:v>Current shop shows category leadership in body acne/body care and substantial affiliate video activity.</x:v>
      </x:c>
      <x:c r="R238" s="56" t="str">
        <x:v>Very High cumulative social-commerce scale</x:v>
      </x:c>
      <x:c r="S238" s="56" t="str">
        <x:v>Platform cumulative displays; not period revenue.</x:v>
      </x:c>
      <x:c r="T238" s="56" t="str">
        <x:v>Medium-High</x:v>
      </x:c>
      <x:c r="U238" s="56" t="str">
        <x:v>2026-08-01</x:v>
      </x:c>
      <x:c r="V238" s="56" t="str">
        <x:v>SRC-SBM-017</x:v>
      </x:c>
      <x:c r="W238" s="56" t="str">
        <x:v>Recheck seller, affiliates, bundles, claims and formula/NDC versions.</x:v>
      </x:c>
    </x:row>
    <x:row r="239" ht="120" customHeight="1">
      <x:c r="A239" s="56" t="str">
        <x:v>CH-SBM-010</x:v>
      </x:c>
      <x:c r="B239" s="56" t="str">
        <x:v>KB015</x:v>
      </x:c>
      <x:c r="C239" s="56"/>
      <x:c r="D239" s="56" t="str">
        <x:v>Instagram U.S.</x:v>
      </x:c>
      <x:c r="E239" s="56" t="str">
        <x:v>https://www.instagram.com/somebymi.official_us/</x:v>
      </x:c>
      <x:c r="F239" s="56" t="str">
        <x:v>@somebymi.official_us</x:v>
      </x:c>
      <x:c r="G239" s="56" t="str">
        <x:v>Official account linked by U.S. hub</x:v>
      </x:c>
      <x:c r="H239" s="56"/>
      <x:c r="I239" s="56"/>
      <x:c r="J239" s="56"/>
      <x:c r="K239" s="56" t="n">
        <x:v>30779</x:v>
      </x:c>
      <x:c r="L239" s="56"/>
      <x:c r="M239" s="56"/>
      <x:c r="N239" s="56" t="str">
        <x:v>About 30.8K followers in May 2026 third-party snapshot; 624 posts</x:v>
      </x:c>
      <x:c r="O239" s="56" t="str">
        <x:v>Active</x:v>
      </x:c>
      <x:c r="P239" s="56"/>
      <x:c r="Q239" s="56" t="str">
        <x:v>Official U.S. account supports campaigns, creator recruitment and retailer discovery.</x:v>
      </x:c>
      <x:c r="R239" s="56" t="str">
        <x:v>Not estimated</x:v>
      </x:c>
      <x:c r="S239" s="56" t="str">
        <x:v>Follower snapshot is third-party and dynamic.</x:v>
      </x:c>
      <x:c r="T239" s="56" t="str">
        <x:v>Medium</x:v>
      </x:c>
      <x:c r="U239" s="56" t="str">
        <x:v>2026-08-01</x:v>
      </x:c>
      <x:c r="V239" s="56" t="str">
        <x:v>SRC-SBM-018</x:v>
      </x:c>
      <x:c r="W239" s="56" t="str">
        <x:v>Use platform-native current metrics for final media planning.</x:v>
      </x:c>
    </x:row>
    <x:row r="240" ht="120" customHeight="1">
      <x:c r="A240" s="56" t="str">
        <x:v>CH-SBM-011</x:v>
      </x:c>
      <x:c r="B240" s="56" t="str">
        <x:v>KB015</x:v>
      </x:c>
      <x:c r="C240" s="56"/>
      <x:c r="D240" s="56" t="str">
        <x:v>Ulta Beauty</x:v>
      </x:c>
      <x:c r="E240" s="56" t="str">
        <x:v>https://www.ulta.com/brand/some-by-mi</x:v>
      </x:c>
      <x:c r="F240" s="56" t="str">
        <x:v>Ulta Beauty</x:v>
      </x:c>
      <x:c r="G240" s="56" t="str">
        <x:v>Official U.S. partner linked by brand</x:v>
      </x:c>
      <x:c r="H240" s="56"/>
      <x:c r="I240" s="56"/>
      <x:c r="J240" s="56"/>
      <x:c r="K240" s="56"/>
      <x:c r="L240" s="56"/>
      <x:c r="M240" s="56"/>
      <x:c r="N240" s="56" t="str">
        <x:v>27 products; Toner $24; Body Cleanser $21; Foam $19; Cream $27; Retinol Serum $32</x:v>
      </x:c>
      <x:c r="O240" s="56" t="str">
        <x:v>Active</x:v>
      </x:c>
      <x:c r="P240" s="56"/>
      <x:c r="Q240" s="56" t="str">
        <x:v>Broad national specialty assortment with some Only at Ulta and online-only items.</x:v>
      </x:c>
      <x:c r="R240" s="56" t="str">
        <x:v>Not estimated</x:v>
      </x:c>
      <x:c r="S240" s="56" t="str">
        <x:v>Presence and reviews verified; sell-through not public.</x:v>
      </x:c>
      <x:c r="T240" s="56" t="str">
        <x:v>High</x:v>
      </x:c>
      <x:c r="U240" s="56" t="str">
        <x:v>2026-08-01</x:v>
      </x:c>
      <x:c r="V240" s="56" t="str">
        <x:v>SRC-SBM-006,SRC-SBM-019,SRC-SBM-020,SRC-SBM-021,SRC-SBM-022</x:v>
      </x:c>
      <x:c r="W240" s="56" t="str">
        <x:v>Deep Amazon discounts create price-channel tension.</x:v>
      </x:c>
    </x:row>
    <x:row r="241" ht="120" customHeight="1">
      <x:c r="A241" s="56" t="str">
        <x:v>CH-SBM-012</x:v>
      </x:c>
      <x:c r="B241" s="56" t="str">
        <x:v>KB015</x:v>
      </x:c>
      <x:c r="C241" s="56" t="str">
        <x:v>SBM-P002</x:v>
      </x:c>
      <x:c r="D241" s="56" t="str">
        <x:v>Target Plus</x:v>
      </x:c>
      <x:c r="E241" s="56" t="str">
        <x:v>https://www.target.com/p/-/A-1007634016</x:v>
      </x:c>
      <x:c r="F241" s="56" t="str">
        <x:v>SleekShop</x:v>
      </x:c>
      <x:c r="G241" s="56" t="str">
        <x:v>Target Plus third-party partner</x:v>
      </x:c>
      <x:c r="H241" s="56" t="n">
        <x:v>28</x:v>
      </x:c>
      <x:c r="I241" s="56" t="n">
        <x:v>23.99</x:v>
      </x:c>
      <x:c r="J241" s="56" t="n">
        <x:v>0.1432</x:v>
      </x:c>
      <x:c r="K241" s="56"/>
      <x:c r="L241" s="56"/>
      <x:c r="M241" s="56"/>
      <x:c r="N241" s="56" t="str">
        <x:v>Target brand page showed about 24 products; toner sold by SleekShop</x:v>
      </x:c>
      <x:c r="O241" s="56" t="str">
        <x:v>Active / third-party</x:v>
      </x:c>
      <x:c r="P241" s="56"/>
      <x:c r="Q241" s="56" t="str">
        <x:v>Target visibility is meaningful but the reviewed hero was not first-party Target inventory.</x:v>
      </x:c>
      <x:c r="R241" s="56" t="str">
        <x:v>Not estimated</x:v>
      </x:c>
      <x:c r="S241" s="56" t="str">
        <x:v>Marketplace/partner assortment; authorization and seller sourcing not independently verified.</x:v>
      </x:c>
      <x:c r="T241" s="56" t="str">
        <x:v>Medium</x:v>
      </x:c>
      <x:c r="U241" s="56" t="str">
        <x:v>2026-08-01</x:v>
      </x:c>
      <x:c r="V241" s="56" t="str">
        <x:v>SRC-SBM-023,SRC-SBM-024</x:v>
      </x:c>
      <x:c r="W241" s="56" t="str">
        <x:v>Do not treat as a direct Target account without written confirmation.</x:v>
      </x:c>
    </x:row>
    <x:row r="242" ht="120" customHeight="1">
      <x:c r="A242" s="56" t="str">
        <x:v>CH-SBM-013</x:v>
      </x:c>
      <x:c r="B242" s="56" t="str">
        <x:v>KB015</x:v>
      </x:c>
      <x:c r="C242" s="56"/>
      <x:c r="D242" s="56" t="str">
        <x:v>Costco</x:v>
      </x:c>
      <x:c r="E242" s="56" t="str">
        <x:v>https://somebymi.co.kr/store.html</x:v>
      </x:c>
      <x:c r="F242" s="56" t="str">
        <x:v>Costco</x:v>
      </x:c>
      <x:c r="G242" s="56" t="str">
        <x:v>Authorized U.S. seller named by brand</x:v>
      </x:c>
      <x:c r="H242" s="56"/>
      <x:c r="I242" s="56"/>
      <x:c r="J242" s="56"/>
      <x:c r="K242" s="56"/>
      <x:c r="L242" s="56"/>
      <x:c r="M242" s="56"/>
      <x:c r="N242" s="56" t="str">
        <x:v>Brand stockist page lists Costco for the United States; no current item surfaced in reviewed Costco skincare category</x:v>
      </x:c>
      <x:c r="O242" s="56" t="str">
        <x:v>Authorized relationship / current SKU unconfirmed</x:v>
      </x:c>
      <x:c r="P242" s="56"/>
      <x:c r="Q242" s="56" t="str">
        <x:v>Authorization is first-party; active inventory is variable and not confirmed.</x:v>
      </x:c>
      <x:c r="R242" s="56" t="str">
        <x:v>Not estimated</x:v>
      </x:c>
      <x:c r="S242" s="56" t="str">
        <x:v>No current item-level sell-through or pricing.</x:v>
      </x:c>
      <x:c r="T242" s="56" t="str">
        <x:v>High for authorization; Low for current inventory</x:v>
      </x:c>
      <x:c r="U242" s="56" t="str">
        <x:v>2026-08-01</x:v>
      </x:c>
      <x:c r="V242" s="56" t="str">
        <x:v>SRC-SBM-004,SRC-SBM-025</x:v>
      </x:c>
      <x:c r="W242" s="56" t="str">
        <x:v>Confirm active SKUs, doors, club packs and price architecture.</x:v>
      </x:c>
    </x:row>
    <x:row r="243" ht="120" customHeight="1">
      <x:c r="A243" s="56" t="str">
        <x:v>CH-SBM-014</x:v>
      </x:c>
      <x:c r="B243" s="56" t="str">
        <x:v>KB015</x:v>
      </x:c>
      <x:c r="C243" s="56" t="str">
        <x:v>SBM-P002</x:v>
      </x:c>
      <x:c r="D243" s="56" t="str">
        <x:v>iHerb</x:v>
      </x:c>
      <x:c r="E243" s="56" t="str">
        <x:v>https://www.iherb.com/pr/some-by-mi-aha-bha-pha-30-days-miracle-toner-5-07-fl-oz-150-ml/84615</x:v>
      </x:c>
      <x:c r="F243" s="56" t="str">
        <x:v>iHerb</x:v>
      </x:c>
      <x:c r="G243" s="56" t="str">
        <x:v>Brand-authorized global retailer</x:v>
      </x:c>
      <x:c r="H243" s="56"/>
      <x:c r="I243" s="56" t="n">
        <x:v>18</x:v>
      </x:c>
      <x:c r="J243" s="56"/>
      <x:c r="K243" s="56" t="n">
        <x:v>35219</x:v>
      </x:c>
      <x:c r="L243" s="56" t="n">
        <x:v>4.6</x:v>
      </x:c>
      <x:c r="M243" s="56"/>
      <x:c r="N243" s="56" t="str">
        <x:v>2K+ sold in 30 days; 161 Q&amp;A</x:v>
      </x:c>
      <x:c r="O243" s="56" t="str">
        <x:v>Active</x:v>
      </x:c>
      <x:c r="P243" s="56"/>
      <x:c r="Q243" s="56" t="str">
        <x:v>Exceptional review and current velocity signal outside Amazon.</x:v>
      </x:c>
      <x:c r="R243" s="56" t="str">
        <x:v>Not estimated</x:v>
      </x:c>
      <x:c r="S243" s="56" t="str">
        <x:v>Retailer display, not audited brand revenue.</x:v>
      </x:c>
      <x:c r="T243" s="56" t="str">
        <x:v>High</x:v>
      </x:c>
      <x:c r="U243" s="56" t="str">
        <x:v>2026-08-01</x:v>
      </x:c>
      <x:c r="V243" s="56" t="str">
        <x:v>SRC-SBM-004,SRC-SBM-026,SRC-SBM-027</x:v>
      </x:c>
      <x:c r="W243" s="56" t="str">
        <x:v>Map U.S. formula/label and authorized resale route.</x:v>
      </x:c>
    </x:row>
    <x:row r="244" ht="120" customHeight="1">
      <x:c r="A244" s="56" t="str">
        <x:v>CH-SBM-015</x:v>
      </x:c>
      <x:c r="B244" s="56" t="str">
        <x:v>KB015</x:v>
      </x:c>
      <x:c r="C244" s="56"/>
      <x:c r="D244" s="56" t="str">
        <x:v>Walmart</x:v>
      </x:c>
      <x:c r="E244" s="56" t="str">
        <x:v>https://www.walmart.com/browse/beauty/face-toners/some-by-mi/1085666_1007039_1001503_5390061/YnJhbmQ6U09NRSBCWSBNSQieie</x:v>
      </x:c>
      <x:c r="F244" s="56" t="str">
        <x:v>Walmart.com and third-party sellers</x:v>
      </x:c>
      <x:c r="G244" s="56" t="str">
        <x:v>Mixed first-party / marketplace</x:v>
      </x:c>
      <x:c r="H244" s="56"/>
      <x:c r="I244" s="56"/>
      <x:c r="J244" s="56"/>
      <x:c r="K244" s="56"/>
      <x:c r="L244" s="56"/>
      <x:c r="M244" s="56"/>
      <x:c r="N244" s="56" t="str">
        <x:v>Some first-party items exist, while Miracle-line listings use third-party sellers and variable titles</x:v>
      </x:c>
      <x:c r="O244" s="56" t="str">
        <x:v>Active / seller-variable</x:v>
      </x:c>
      <x:c r="P244" s="56"/>
      <x:c r="Q244" s="56" t="str">
        <x:v>Walmart supports awareness but not a single clean national-account signal.</x:v>
      </x:c>
      <x:c r="R244" s="56" t="str">
        <x:v>Not estimated</x:v>
      </x:c>
      <x:c r="S244" s="56" t="str">
        <x:v>Seller and formula provenance vary by SKU.</x:v>
      </x:c>
      <x:c r="T244" s="56" t="str">
        <x:v>Medium</x:v>
      </x:c>
      <x:c r="U244" s="56" t="str">
        <x:v>2026-08-01</x:v>
      </x:c>
      <x:c r="V244" s="56" t="str">
        <x:v>SRC-SBM-028,SRC-SBM-029</x:v>
      </x:c>
      <x:c r="W244" s="56" t="str">
        <x:v>Require written authorization, seller and exact SKU verification.</x:v>
      </x:c>
    </x:row>
    <x:row r="245" ht="120" customHeight="1">
      <x:c r="A245" s="56" t="str">
        <x:v>CH-SBM-016</x:v>
      </x:c>
      <x:c r="B245" s="56" t="str">
        <x:v>KB015</x:v>
      </x:c>
      <x:c r="C245" s="56" t="str">
        <x:v>SBM-P002</x:v>
      </x:c>
      <x:c r="D245" s="56" t="str">
        <x:v>YesStyle</x:v>
      </x:c>
      <x:c r="E245" s="56" t="str">
        <x:v>https://www.yesstyle.com/en/some-by-mi-t%C3%B3nico-aha/info.html/pid.1067311275</x:v>
      </x:c>
      <x:c r="F245" s="56" t="str">
        <x:v>YesStyle</x:v>
      </x:c>
      <x:c r="G245" s="56" t="str">
        <x:v>Brand-authorized global retailer</x:v>
      </x:c>
      <x:c r="H245" s="56" t="n">
        <x:v>22.44</x:v>
      </x:c>
      <x:c r="I245" s="56" t="n">
        <x:v>15.8</x:v>
      </x:c>
      <x:c r="J245" s="56" t="n">
        <x:v>0.296</x:v>
      </x:c>
      <x:c r="K245" s="56" t="n">
        <x:v>10976</x:v>
      </x:c>
      <x:c r="L245" s="56"/>
      <x:c r="M245" s="56" t="str">
        <x:v>#4 Exfoliators; #260 Beauty</x:v>
      </x:c>
      <x:c r="N245" s="56" t="str">
        <x:v>Ships to United States</x:v>
      </x:c>
      <x:c r="O245" s="56" t="str">
        <x:v>Active</x:v>
      </x:c>
      <x:c r="P245" s="56"/>
      <x:c r="Q245" s="56" t="str">
        <x:v>Large engagement/review display and aggressive cross-border pricing.</x:v>
      </x:c>
      <x:c r="R245" s="56" t="str">
        <x:v>Not estimated</x:v>
      </x:c>
      <x:c r="S245" s="56" t="str">
        <x:v>Cross-border demand/pricing; not U.S. sell-through.</x:v>
      </x:c>
      <x:c r="T245" s="56" t="str">
        <x:v>Medium-High</x:v>
      </x:c>
      <x:c r="U245" s="56" t="str">
        <x:v>2026-08-01</x:v>
      </x:c>
      <x:c r="V245" s="56" t="str">
        <x:v>SRC-SBM-004,SRC-SBM-030,SRC-SBM-031</x:v>
      </x:c>
      <x:c r="W245" s="56" t="str">
        <x:v>Map formula, label and U.S. resale rights.</x:v>
      </x:c>
    </x:row>
    <x:row r="246" ht="120" customHeight="1">
      <x:c r="A246" s="56" t="str">
        <x:v>CH-SBM-017</x:v>
      </x:c>
      <x:c r="B246" s="56" t="str">
        <x:v>KB015</x:v>
      </x:c>
      <x:c r="C246" s="56"/>
      <x:c r="D246" s="56" t="str">
        <x:v>Olive Young Global</x:v>
      </x:c>
      <x:c r="E246" s="56" t="str">
        <x:v>https://global.oliveyoung.com/display/search?query=SOME%20BY%20MI</x:v>
      </x:c>
      <x:c r="F246" s="56" t="str">
        <x:v>Olive Young Global</x:v>
      </x:c>
      <x:c r="G246" s="56" t="str">
        <x:v>Brand-authorized global retailer</x:v>
      </x:c>
      <x:c r="H246" s="56"/>
      <x:c r="I246" s="56"/>
      <x:c r="J246" s="56"/>
      <x:c r="K246" s="56"/>
      <x:c r="L246" s="56"/>
      <x:c r="M246" s="56"/>
      <x:c r="N246" s="56" t="str">
        <x:v>Multiple SOME BY MI search results available internationally</x:v>
      </x:c>
      <x:c r="O246" s="56" t="str">
        <x:v>Active / search dynamic</x:v>
      </x:c>
      <x:c r="P246" s="56"/>
      <x:c r="Q246" s="56" t="str">
        <x:v>High-visibility cross-border K-Beauty discovery channel.</x:v>
      </x:c>
      <x:c r="R246" s="56" t="str">
        <x:v>Not estimated</x:v>
      </x:c>
      <x:c r="S246" s="56" t="str">
        <x:v>No U.S.-only sell-through.</x:v>
      </x:c>
      <x:c r="T246" s="56" t="str">
        <x:v>Medium</x:v>
      </x:c>
      <x:c r="U246" s="56" t="str">
        <x:v>2026-08-01</x:v>
      </x:c>
      <x:c r="V246" s="56" t="str">
        <x:v>SRC-SBM-004,SRC-SBM-032</x:v>
      </x:c>
      <x:c r="W246" s="56" t="str">
        <x:v>Map versions and price leakage.</x:v>
      </x:c>
    </x:row>
    <x:row r="247" ht="120" customHeight="1">
      <x:c r="A247" s="56" t="str">
        <x:v>CH-SBM-018</x:v>
      </x:c>
      <x:c r="B247" s="56" t="str">
        <x:v>KB015</x:v>
      </x:c>
      <x:c r="C247" s="56"/>
      <x:c r="D247" s="56" t="str">
        <x:v>Jolse</x:v>
      </x:c>
      <x:c r="E247" s="56" t="str">
        <x:v>https://jolse.com/category/some-by-mi/</x:v>
      </x:c>
      <x:c r="F247" s="56" t="str">
        <x:v>Jolse</x:v>
      </x:c>
      <x:c r="G247" s="56" t="str">
        <x:v>Brand-authorized global retailer</x:v>
      </x:c>
      <x:c r="H247" s="56"/>
      <x:c r="I247" s="56"/>
      <x:c r="J247" s="56"/>
      <x:c r="K247" s="56"/>
      <x:c r="L247" s="56"/>
      <x:c r="M247" s="56"/>
      <x:c r="N247" s="56" t="str">
        <x:v>Authorized by official stockist page; broad cross-border availability</x:v>
      </x:c>
      <x:c r="O247" s="56" t="str">
        <x:v>Active / assortment dynamic</x:v>
      </x:c>
      <x:c r="P247" s="56"/>
      <x:c r="Q247" s="56" t="str">
        <x:v>Supports discovery and cross-border access.</x:v>
      </x:c>
      <x:c r="R247" s="56" t="str">
        <x:v>Not estimated</x:v>
      </x:c>
      <x:c r="S247" s="56" t="str">
        <x:v>No U.S.-only sell-through.</x:v>
      </x:c>
      <x:c r="T247" s="56" t="str">
        <x:v>Medium</x:v>
      </x:c>
      <x:c r="U247" s="56" t="str">
        <x:v>2026-08-01</x:v>
      </x:c>
      <x:c r="V247" s="56" t="str">
        <x:v>SRC-SBM-004,SRC-SBM-033</x:v>
      </x:c>
      <x:c r="W247" s="56" t="str">
        <x:v>Confirm exact listing URLs, versions and rights before use.</x:v>
      </x:c>
    </x:row>
    <x:row r="248" ht="120" customHeight="1">
      <x:c r="A248" s="56" t="str">
        <x:v>CH-SBM-019</x:v>
      </x:c>
      <x:c r="B248" s="56" t="str">
        <x:v>KB015</x:v>
      </x:c>
      <x:c r="C248" s="56"/>
      <x:c r="D248" s="56" t="str">
        <x:v>Corporate / Export B2B</x:v>
      </x:c>
      <x:c r="E248" s="56" t="str">
        <x:v>https://somebymi.co.kr/shopinfo/guide.html</x:v>
      </x:c>
      <x:c r="F248" s="56" t="str">
        <x:v>PERENNEBELL Co., Ltd.</x:v>
      </x:c>
      <x:c r="G248" s="56" t="str">
        <x:v>Official global/export contact</x:v>
      </x:c>
      <x:c r="H248" s="56"/>
      <x:c r="I248" s="56"/>
      <x:c r="J248" s="56"/>
      <x:c r="K248" s="56"/>
      <x:c r="L248" s="56"/>
      <x:c r="M248" s="56"/>
      <x:c r="N248" s="56" t="str">
        <x:v>global@somebymi.com for partnership and overseas export inquiries</x:v>
      </x:c>
      <x:c r="O248" s="56" t="str">
        <x:v>Contact route active</x:v>
      </x:c>
      <x:c r="P248" s="56"/>
      <x:c r="Q248" s="56" t="str">
        <x:v>Official company page provides a global/export inquiry route.</x:v>
      </x:c>
      <x:c r="R248" s="56" t="str">
        <x:v>Not estimated</x:v>
      </x:c>
      <x:c r="S248" s="56" t="str">
        <x:v>No public MOQ, wholesale price, exclusivity or open rights.</x:v>
      </x:c>
      <x:c r="T248" s="56" t="str">
        <x:v>High</x:v>
      </x:c>
      <x:c r="U248" s="56" t="str">
        <x:v>2026-08-01</x:v>
      </x:c>
      <x:c r="V248" s="56" t="str">
        <x:v>SRC-SBM-003</x:v>
      </x:c>
      <x:c r="W248" s="56" t="str">
        <x:v>Do not assume open U.S. distribution rights from a public email.</x:v>
      </x:c>
    </x:row>
    <x:row r="249" ht="120" customHeight="1">
      <x:c r="A249" s="56" t="str">
        <x:v>CH-ISN-001</x:v>
      </x:c>
      <x:c r="B249" s="56" t="str">
        <x:v>KB016</x:v>
      </x:c>
      <x:c r="C249" s="56"/>
      <x:c r="D249" s="56" t="str">
        <x:v>Official HQ Site</x:v>
      </x:c>
      <x:c r="E249" s="56" t="str">
        <x:v>https://isntree.com</x:v>
      </x:c>
      <x:c r="F249" s="56" t="str">
        <x:v>ISNTREE Inc.</x:v>
      </x:c>
      <x:c r="G249" s="56" t="str">
        <x:v>Official Korean/HQ site</x:v>
      </x:c>
      <x:c r="H249" s="56"/>
      <x:c r="I249" s="56"/>
      <x:c r="J249" s="56"/>
      <x:c r="K249" s="56"/>
      <x:c r="L249" s="56"/>
      <x:c r="M249" s="56"/>
      <x:c r="N249" s="56" t="str">
        <x:v>Corporate story, contact and Korean store</x:v>
      </x:c>
      <x:c r="O249" s="56" t="str">
        <x:v>Active</x:v>
      </x:c>
      <x:c r="P249" s="56"/>
      <x:c r="Q249" s="56" t="str">
        <x:v>Official identity; company history; U.S. entry and contact functions.</x:v>
      </x:c>
      <x:c r="R249" s="56" t="str">
        <x:v>Not estimated</x:v>
      </x:c>
      <x:c r="S249" s="56" t="str">
        <x:v>Identity source, not U.S. sell-through.</x:v>
      </x:c>
      <x:c r="T249" s="56" t="str">
        <x:v>High</x:v>
      </x:c>
      <x:c r="U249" s="56" t="str">
        <x:v>2026-08-01</x:v>
      </x:c>
      <x:c r="V249" s="56" t="str">
        <x:v>SRC-ISN-001,SRC-ISN-002</x:v>
      </x:c>
      <x:c r="W249" s="56" t="str">
        <x:v>Verify U.S. contracting/import entity separately.</x:v>
      </x:c>
    </x:row>
    <x:row r="250" ht="120" customHeight="1">
      <x:c r="A250" s="56" t="str">
        <x:v>CH-ISN-002</x:v>
      </x:c>
      <x:c r="B250" s="56" t="str">
        <x:v>KB016</x:v>
      </x:c>
      <x:c r="C250" s="56"/>
      <x:c r="D250" s="56" t="str">
        <x:v>Official Global DTC</x:v>
      </x:c>
      <x:c r="E250" s="56" t="str">
        <x:v>https://isntree-global.com</x:v>
      </x:c>
      <x:c r="F250" s="56" t="str">
        <x:v>ISNTREE Inc.</x:v>
      </x:c>
      <x:c r="G250" s="56" t="str">
        <x:v>Official global store</x:v>
      </x:c>
      <x:c r="H250" s="56"/>
      <x:c r="I250" s="56"/>
      <x:c r="J250" s="56"/>
      <x:c r="K250" s="56"/>
      <x:c r="L250" s="56"/>
      <x:c r="M250" s="56"/>
      <x:c r="N250" s="56" t="str">
        <x:v>Broad global catalog; multiple sampled pages displayed sold-out status</x:v>
      </x:c>
      <x:c r="O250" s="56" t="str">
        <x:v>Active</x:v>
      </x:c>
      <x:c r="P250" s="56"/>
      <x:c r="Q250" s="56" t="str">
        <x:v>Official global prices, ingredients and product positioning.</x:v>
      </x:c>
      <x:c r="R250" s="56" t="str">
        <x:v>Not estimated</x:v>
      </x:c>
      <x:c r="S250" s="56" t="str">
        <x:v>Global DTC is not U.S.-only sell-through.</x:v>
      </x:c>
      <x:c r="T250" s="56" t="str">
        <x:v>High</x:v>
      </x:c>
      <x:c r="U250" s="56" t="str">
        <x:v>2026-08-01</x:v>
      </x:c>
      <x:c r="V250" s="56" t="str">
        <x:v>SRC-ISN-003,SRC-ISN-023</x:v>
      </x:c>
      <x:c r="W250" s="56" t="str">
        <x:v>Confirm merchant, U.S. fulfillment, returns and territory rights.</x:v>
      </x:c>
    </x:row>
    <x:row r="251" ht="120" customHeight="1">
      <x:c r="A251" s="56" t="str">
        <x:v>CH-ISN-003</x:v>
      </x:c>
      <x:c r="B251" s="56" t="str">
        <x:v>KB016</x:v>
      </x:c>
      <x:c r="C251" s="56"/>
      <x:c r="D251" s="56" t="str">
        <x:v>Official Link Hub</x:v>
      </x:c>
      <x:c r="E251" s="56" t="str">
        <x:v>https://linktr.ee/i_sntree</x:v>
      </x:c>
      <x:c r="F251" s="56" t="str">
        <x:v>@isntree_offical</x:v>
      </x:c>
      <x:c r="G251" s="56" t="str">
        <x:v>Official global social/channel hub</x:v>
      </x:c>
      <x:c r="H251" s="56"/>
      <x:c r="I251" s="56"/>
      <x:c r="J251" s="56"/>
      <x:c r="K251" s="56"/>
      <x:c r="L251" s="56"/>
      <x:c r="M251" s="56"/>
      <x:c r="N251" s="56" t="str">
        <x:v>Links official global store, Amazon U.S., Instagram, TikTok, Ulta, iHerb, Soko Glam and cross-border partners</x:v>
      </x:c>
      <x:c r="O251" s="56" t="str">
        <x:v>Active</x:v>
      </x:c>
      <x:c r="P251" s="56"/>
      <x:c r="Q251" s="56" t="str">
        <x:v>Best current first-party routing source for channel authorization signals.</x:v>
      </x:c>
      <x:c r="R251" s="56" t="str">
        <x:v>Not estimated</x:v>
      </x:c>
      <x:c r="S251" s="56" t="str">
        <x:v>Official routing; no sales audit.</x:v>
      </x:c>
      <x:c r="T251" s="56" t="str">
        <x:v>High</x:v>
      </x:c>
      <x:c r="U251" s="56" t="str">
        <x:v>2026-08-01</x:v>
      </x:c>
      <x:c r="V251" s="56" t="str">
        <x:v>SRC-ISN-004</x:v>
      </x:c>
      <x:c r="W251" s="56" t="str">
        <x:v>Partner status and inventory remain dynamic.</x:v>
      </x:c>
    </x:row>
    <x:row r="252" ht="120" customHeight="1">
      <x:c r="A252" s="56" t="str">
        <x:v>CH-ISN-004</x:v>
      </x:c>
      <x:c r="B252" s="56" t="str">
        <x:v>KB016</x:v>
      </x:c>
      <x:c r="C252" s="56"/>
      <x:c r="D252" s="56" t="str">
        <x:v>Amazon U.S. Brand Store</x:v>
      </x:c>
      <x:c r="E252" s="56" t="str">
        <x:v>https://www.amazon.com/stores/ISNTREE/page/281F8A7E-6667-4207-B366-C3D814E2401E</x:v>
      </x:c>
      <x:c r="F252" s="56" t="str">
        <x:v>ISNTREE Official</x:v>
      </x:c>
      <x:c r="G252" s="56" t="str">
        <x:v>Official seller observed</x:v>
      </x:c>
      <x:c r="H252" s="56"/>
      <x:c r="I252" s="56"/>
      <x:c r="J252" s="56"/>
      <x:c r="K252" s="56"/>
      <x:c r="L252" s="56"/>
      <x:c r="M252" s="56"/>
      <x:c r="N252" s="56" t="str">
        <x:v>Five sampled ASINs total at least 8,100 units/month</x:v>
      </x:c>
      <x:c r="O252" s="56" t="str">
        <x:v>Active</x:v>
      </x:c>
      <x:c r="P252" s="56"/>
      <x:c r="Q252" s="56" t="str">
        <x:v>Official Linktree route and direct pages; all samples sold by ISNTREE Official and shipped by Amazon.</x:v>
      </x:c>
      <x:c r="R252" s="56" t="str">
        <x:v>At least 8,100 units/month; at least $133,930/month</x:v>
      </x:c>
      <x:c r="S252" s="56" t="str">
        <x:v>Rounded badges across five distinct ASINs; excludes all other products and adjustments.</x:v>
      </x:c>
      <x:c r="T252" s="56" t="str">
        <x:v>High</x:v>
      </x:c>
      <x:c r="U252" s="56" t="str">
        <x:v>2026-08-01</x:v>
      </x:c>
      <x:c r="V252" s="56" t="str">
        <x:v>SRC-ISN-005,SRC-ISN-015</x:v>
      </x:c>
      <x:c r="W252" s="56" t="str">
        <x:v>Dynamic public proxy, not audited revenue.</x:v>
      </x:c>
    </x:row>
    <x:row r="253" ht="120" customHeight="1">
      <x:c r="A253" s="56" t="str">
        <x:v>CH-ISN-005</x:v>
      </x:c>
      <x:c r="B253" s="56" t="str">
        <x:v>KB016</x:v>
      </x:c>
      <x:c r="C253" s="56" t="str">
        <x:v>ISN-P001</x:v>
      </x:c>
      <x:c r="D253" s="56" t="str">
        <x:v>Amazon — Daily Sun Gel</x:v>
      </x:c>
      <x:c r="E253" s="56" t="str">
        <x:v>https://www.amazon.com/dp/B0C7B55GS3</x:v>
      </x:c>
      <x:c r="F253" s="56" t="str">
        <x:v>ISNTREE Official</x:v>
      </x:c>
      <x:c r="G253" s="56" t="str">
        <x:v>Official seller / Amazon fulfilled</x:v>
      </x:c>
      <x:c r="H253" s="56" t="n">
        <x:v>20</x:v>
      </x:c>
      <x:c r="I253" s="56" t="n">
        <x:v>15.9</x:v>
      </x:c>
      <x:c r="J253" s="56" t="n">
        <x:v>0.205</x:v>
      </x:c>
      <x:c r="K253" s="56" t="n">
        <x:v>1021</x:v>
      </x:c>
      <x:c r="L253" s="56" t="n">
        <x:v>4.6</x:v>
      </x:c>
      <x:c r="M253" s="56" t="str">
        <x:v>#4,579 Beauty; #63 Facial Sunscreens</x:v>
      </x:c>
      <x:c r="N253" s="56" t="str">
        <x:v>5K+ bought in past month</x:v>
      </x:c>
      <x:c r="O253" s="56" t="str">
        <x:v>In Stock</x:v>
      </x:c>
      <x:c r="P253" s="56"/>
      <x:c r="Q253" s="56" t="str">
        <x:v>ASIN B0C7B55GS3; exact U.S. SPF30 product.</x:v>
      </x:c>
      <x:c r="R253" s="56" t="str">
        <x:v>At least $79,500/month</x:v>
      </x:c>
      <x:c r="S253" s="56" t="str">
        <x:v>5,000 rounded badge × $15.90.</x:v>
      </x:c>
      <x:c r="T253" s="56" t="str">
        <x:v>High</x:v>
      </x:c>
      <x:c r="U253" s="56" t="str">
        <x:v>2026-08-01</x:v>
      </x:c>
      <x:c r="V253" s="56" t="str">
        <x:v>SRC-ISN-010,SRC-ISN-015</x:v>
      </x:c>
      <x:c r="W253" s="56" t="str">
        <x:v>Current rank is meaningful but not category-leading.</x:v>
      </x:c>
    </x:row>
    <x:row r="254" ht="120" customHeight="1">
      <x:c r="A254" s="56" t="str">
        <x:v>CH-ISN-006</x:v>
      </x:c>
      <x:c r="B254" s="56" t="str">
        <x:v>KB016</x:v>
      </x:c>
      <x:c r="C254" s="56" t="str">
        <x:v>ISN-P002</x:v>
      </x:c>
      <x:c r="D254" s="56" t="str">
        <x:v>Amazon — Green Tea Toner</x:v>
      </x:c>
      <x:c r="E254" s="56" t="str">
        <x:v>https://www.amazon.com/dp/B073PQPDP3</x:v>
      </x:c>
      <x:c r="F254" s="56" t="str">
        <x:v>ISNTREE Official</x:v>
      </x:c>
      <x:c r="G254" s="56" t="str">
        <x:v>Official seller / Amazon fulfilled</x:v>
      </x:c>
      <x:c r="H254" s="56" t="n">
        <x:v>19.9</x:v>
      </x:c>
      <x:c r="I254" s="56" t="n">
        <x:v>16.9</x:v>
      </x:c>
      <x:c r="J254" s="56" t="n">
        <x:v>0.151</x:v>
      </x:c>
      <x:c r="K254" s="56" t="n">
        <x:v>4524</x:v>
      </x:c>
      <x:c r="L254" s="56" t="n">
        <x:v>4.6</x:v>
      </x:c>
      <x:c r="M254" s="56"/>
      <x:c r="N254" s="56" t="str">
        <x:v>1K+ bought in past month</x:v>
      </x:c>
      <x:c r="O254" s="56" t="str">
        <x:v>In Stock</x:v>
      </x:c>
      <x:c r="P254" s="56"/>
      <x:c r="Q254" s="56" t="str">
        <x:v>ASIN B073PQPDP3; seller and shipper observed.</x:v>
      </x:c>
      <x:c r="R254" s="56" t="str">
        <x:v>At least $16,900/month</x:v>
      </x:c>
      <x:c r="S254" s="56" t="str">
        <x:v>1,000 rounded badge × $16.90.</x:v>
      </x:c>
      <x:c r="T254" s="56" t="str">
        <x:v>High</x:v>
      </x:c>
      <x:c r="U254" s="56" t="str">
        <x:v>2026-08-01</x:v>
      </x:c>
      <x:c r="V254" s="56" t="str">
        <x:v>SRC-ISN-011,SRC-ISN-015</x:v>
      </x:c>
      <x:c r="W254" s="56" t="str">
        <x:v>Dynamic price, badge and reviews.</x:v>
      </x:c>
    </x:row>
    <x:row r="255" ht="120" customHeight="1">
      <x:c r="A255" s="56" t="str">
        <x:v>CH-ISN-007</x:v>
      </x:c>
      <x:c r="B255" s="56" t="str">
        <x:v>KB016</x:v>
      </x:c>
      <x:c r="C255" s="56" t="str">
        <x:v>ISN-P003</x:v>
      </x:c>
      <x:c r="D255" s="56" t="str">
        <x:v>Amazon — Ultra-Low Molecular HA Serum</x:v>
      </x:c>
      <x:c r="E255" s="56" t="str">
        <x:v>https://www.amazon.com/dp/B0BQBR6BPQ</x:v>
      </x:c>
      <x:c r="F255" s="56" t="str">
        <x:v>ISNTREE Official</x:v>
      </x:c>
      <x:c r="G255" s="56" t="str">
        <x:v>Official seller / Amazon fulfilled</x:v>
      </x:c>
      <x:c r="H255" s="56" t="n">
        <x:v>24.4</x:v>
      </x:c>
      <x:c r="I255" s="56" t="n">
        <x:v>17.8</x:v>
      </x:c>
      <x:c r="J255" s="56" t="n">
        <x:v>0.27</x:v>
      </x:c>
      <x:c r="K255" s="56" t="n">
        <x:v>610</x:v>
      </x:c>
      <x:c r="L255" s="56" t="n">
        <x:v>4.6</x:v>
      </x:c>
      <x:c r="M255" s="56"/>
      <x:c r="N255" s="56" t="str">
        <x:v>600+ bought in past month</x:v>
      </x:c>
      <x:c r="O255" s="56" t="str">
        <x:v>In Stock</x:v>
      </x:c>
      <x:c r="P255" s="56"/>
      <x:c r="Q255" s="56" t="str">
        <x:v>ASIN B0BQBR6BPQ; seller and shipper observed.</x:v>
      </x:c>
      <x:c r="R255" s="56" t="str">
        <x:v>At least $10,680/month</x:v>
      </x:c>
      <x:c r="S255" s="56" t="str">
        <x:v>600 rounded badge × $17.80.</x:v>
      </x:c>
      <x:c r="T255" s="56" t="str">
        <x:v>High</x:v>
      </x:c>
      <x:c r="U255" s="56" t="str">
        <x:v>2026-08-01</x:v>
      </x:c>
      <x:c r="V255" s="56" t="str">
        <x:v>SRC-ISN-012,SRC-ISN-015</x:v>
      </x:c>
      <x:c r="W255" s="56" t="str">
        <x:v>Dynamic price, badge and reviews.</x:v>
      </x:c>
    </x:row>
    <x:row r="256" ht="120" customHeight="1">
      <x:c r="A256" s="56" t="str">
        <x:v>CH-ISN-008</x:v>
      </x:c>
      <x:c r="B256" s="56" t="str">
        <x:v>KB016</x:v>
      </x:c>
      <x:c r="C256" s="56" t="str">
        <x:v>ISN-P004</x:v>
      </x:c>
      <x:c r="D256" s="56" t="str">
        <x:v>Amazon — Aqua Gel Cream</x:v>
      </x:c>
      <x:c r="E256" s="56" t="str">
        <x:v>https://www.amazon.com/dp/B073JBWN86</x:v>
      </x:c>
      <x:c r="F256" s="56" t="str">
        <x:v>ISNTREE Official</x:v>
      </x:c>
      <x:c r="G256" s="56" t="str">
        <x:v>Official seller / Amazon fulfilled</x:v>
      </x:c>
      <x:c r="H256" s="56" t="n">
        <x:v>22.2</x:v>
      </x:c>
      <x:c r="I256" s="56" t="n">
        <x:v>16.4</x:v>
      </x:c>
      <x:c r="J256" s="56" t="n">
        <x:v>0.261</x:v>
      </x:c>
      <x:c r="K256" s="56" t="n">
        <x:v>1393</x:v>
      </x:c>
      <x:c r="L256" s="56" t="n">
        <x:v>4.6</x:v>
      </x:c>
      <x:c r="M256" s="56"/>
      <x:c r="N256" s="56" t="str">
        <x:v>1K+ bought in past month</x:v>
      </x:c>
      <x:c r="O256" s="56" t="str">
        <x:v>In Stock</x:v>
      </x:c>
      <x:c r="P256" s="56"/>
      <x:c r="Q256" s="56" t="str">
        <x:v>ASIN B073JBWN86; seller and shipper observed.</x:v>
      </x:c>
      <x:c r="R256" s="56" t="str">
        <x:v>At least $16,400/month</x:v>
      </x:c>
      <x:c r="S256" s="56" t="str">
        <x:v>1,000 rounded badge × $16.40.</x:v>
      </x:c>
      <x:c r="T256" s="56" t="str">
        <x:v>High</x:v>
      </x:c>
      <x:c r="U256" s="56" t="str">
        <x:v>2026-08-01</x:v>
      </x:c>
      <x:c r="V256" s="56" t="str">
        <x:v>SRC-ISN-013,SRC-ISN-015</x:v>
      </x:c>
      <x:c r="W256" s="56" t="str">
        <x:v>Dynamic price, badge and reviews.</x:v>
      </x:c>
    </x:row>
    <x:row r="257" ht="120" customHeight="1">
      <x:c r="A257" s="56" t="str">
        <x:v>CH-ISN-009</x:v>
      </x:c>
      <x:c r="B257" s="56" t="str">
        <x:v>KB016</x:v>
      </x:c>
      <x:c r="C257" s="56" t="str">
        <x:v>ISN-P005</x:v>
      </x:c>
      <x:c r="D257" s="56" t="str">
        <x:v>Amazon — Yam Root Cleanser</x:v>
      </x:c>
      <x:c r="E257" s="56" t="str">
        <x:v>https://www.amazon.com/dp/B09Y5GSG45</x:v>
      </x:c>
      <x:c r="F257" s="56" t="str">
        <x:v>ISNTREE Official</x:v>
      </x:c>
      <x:c r="G257" s="56" t="str">
        <x:v>Official seller / Amazon fulfilled</x:v>
      </x:c>
      <x:c r="H257" s="56" t="n">
        <x:v>27.8</x:v>
      </x:c>
      <x:c r="I257" s="56" t="n">
        <x:v>20.9</x:v>
      </x:c>
      <x:c r="J257" s="56" t="n">
        <x:v>0.248</x:v>
      </x:c>
      <x:c r="K257" s="56" t="n">
        <x:v>447</x:v>
      </x:c>
      <x:c r="L257" s="56" t="n">
        <x:v>4.3</x:v>
      </x:c>
      <x:c r="M257" s="56"/>
      <x:c r="N257" s="56" t="str">
        <x:v>500+ bought in past month</x:v>
      </x:c>
      <x:c r="O257" s="56" t="str">
        <x:v>In Stock</x:v>
      </x:c>
      <x:c r="P257" s="56"/>
      <x:c r="Q257" s="56" t="str">
        <x:v>ASIN B09Y5GSG45; seller and shipper observed.</x:v>
      </x:c>
      <x:c r="R257" s="56" t="str">
        <x:v>At least $10,450/month</x:v>
      </x:c>
      <x:c r="S257" s="56" t="str">
        <x:v>500 rounded badge × $20.90.</x:v>
      </x:c>
      <x:c r="T257" s="56" t="str">
        <x:v>High</x:v>
      </x:c>
      <x:c r="U257" s="56" t="str">
        <x:v>2026-08-01</x:v>
      </x:c>
      <x:c r="V257" s="56" t="str">
        <x:v>SRC-ISN-014,SRC-ISN-015</x:v>
      </x:c>
      <x:c r="W257" s="56" t="str">
        <x:v>Dynamic price, badge and reviews.</x:v>
      </x:c>
    </x:row>
    <x:row r="258" ht="120" customHeight="1">
      <x:c r="A258" s="56" t="str">
        <x:v>CH-ISN-010</x:v>
      </x:c>
      <x:c r="B258" s="56" t="str">
        <x:v>KB016</x:v>
      </x:c>
      <x:c r="C258" s="56"/>
      <x:c r="D258" s="56" t="str">
        <x:v>TikTok Shop U.S.</x:v>
      </x:c>
      <x:c r="E258" s="56" t="str">
        <x:v>https://shop.tiktok.com/us/store/isntree-us-shop/7495591158445607240</x:v>
      </x:c>
      <x:c r="F258" s="56" t="str">
        <x:v>ISNTREE US SHOP</x:v>
      </x:c>
      <x:c r="G258" s="56" t="str">
        <x:v>Official shop linked/identified</x:v>
      </x:c>
      <x:c r="H258" s="56"/>
      <x:c r="I258" s="56" t="n">
        <x:v>20</x:v>
      </x:c>
      <x:c r="J258" s="56"/>
      <x:c r="K258" s="56"/>
      <x:c r="L258" s="56"/>
      <x:c r="M258" s="56"/>
      <x:c r="N258" s="56" t="str">
        <x:v>Cached result displayed 1,529 sold; current search showed Daily Sun Gel with 38 sold; live store blocked by security check</x:v>
      </x:c>
      <x:c r="O258" s="56" t="str">
        <x:v>Uncertain / Live Check Blocked</x:v>
      </x:c>
      <x:c r="P258" s="56"/>
      <x:c r="Q258" s="56" t="str">
        <x:v>Official shop URL exists, but current complete metrics could not be verified live.</x:v>
      </x:c>
      <x:c r="R258" s="56" t="str">
        <x:v>Low-to-moderate social-commerce proof</x:v>
      </x:c>
      <x:c r="S258" s="56" t="str">
        <x:v>Cached/displayed counts are dynamic and not audited.</x:v>
      </x:c>
      <x:c r="T258" s="56" t="str">
        <x:v>Low-Medium</x:v>
      </x:c>
      <x:c r="U258" s="56" t="str">
        <x:v>2026-08-01</x:v>
      </x:c>
      <x:c r="V258" s="56" t="str">
        <x:v>SRC-ISN-016</x:v>
      </x:c>
      <x:c r="W258" s="56" t="str">
        <x:v>Recheck platform-native metrics before planning.</x:v>
      </x:c>
    </x:row>
    <x:row r="259" ht="120" customHeight="1">
      <x:c r="A259" s="56" t="str">
        <x:v>CH-ISN-011</x:v>
      </x:c>
      <x:c r="B259" s="56" t="str">
        <x:v>KB016</x:v>
      </x:c>
      <x:c r="C259" s="56"/>
      <x:c r="D259" s="56" t="str">
        <x:v>Instagram</x:v>
      </x:c>
      <x:c r="E259" s="56" t="str">
        <x:v>https://www.instagram.com/isntree_offical/</x:v>
      </x:c>
      <x:c r="F259" s="56" t="str">
        <x:v>@isntree_offical</x:v>
      </x:c>
      <x:c r="G259" s="56" t="str">
        <x:v>Official account linked by Linktree</x:v>
      </x:c>
      <x:c r="H259" s="56"/>
      <x:c r="I259" s="56"/>
      <x:c r="J259" s="56"/>
      <x:c r="K259" s="56" t="n">
        <x:v>189700</x:v>
      </x:c>
      <x:c r="L259" s="56"/>
      <x:c r="M259" s="56"/>
      <x:c r="N259" s="56" t="str">
        <x:v>Third-party snapshot about 189.7K followers; Linktree promoted a 200K milestone</x:v>
      </x:c>
      <x:c r="O259" s="56" t="str">
        <x:v>Active</x:v>
      </x:c>
      <x:c r="P259" s="56"/>
      <x:c r="Q259" s="56" t="str">
        <x:v>Material global social following; U.S.-specific share not public.</x:v>
      </x:c>
      <x:c r="R259" s="56" t="str">
        <x:v>Not estimated</x:v>
      </x:c>
      <x:c r="S259" s="56" t="str">
        <x:v>Follower snapshot is third-party/dynamic.</x:v>
      </x:c>
      <x:c r="T259" s="56" t="str">
        <x:v>Medium</x:v>
      </x:c>
      <x:c r="U259" s="56" t="str">
        <x:v>2026-08-01</x:v>
      </x:c>
      <x:c r="V259" s="56" t="str">
        <x:v>SRC-ISN-006,SRC-ISN-007</x:v>
      </x:c>
      <x:c r="W259" s="56" t="str">
        <x:v>Use platform-native U.S. audience/engagement data for campaigns.</x:v>
      </x:c>
    </x:row>
    <x:row r="260" ht="120" customHeight="1">
      <x:c r="A260" s="56" t="str">
        <x:v>CH-ISN-012</x:v>
      </x:c>
      <x:c r="B260" s="56" t="str">
        <x:v>KB016</x:v>
      </x:c>
      <x:c r="C260" s="56"/>
      <x:c r="D260" s="56" t="str">
        <x:v>Ulta Beauty</x:v>
      </x:c>
      <x:c r="E260" s="56" t="str">
        <x:v>https://www.ulta.com/brand/isntree</x:v>
      </x:c>
      <x:c r="F260" s="56" t="str">
        <x:v>Ulta Beauty</x:v>
      </x:c>
      <x:c r="G260" s="56" t="str">
        <x:v>Officially announced/linked historically; current availability uncertain</x:v>
      </x:c>
      <x:c r="H260" s="56"/>
      <x:c r="I260" s="56"/>
      <x:c r="J260" s="56"/>
      <x:c r="K260" s="56"/>
      <x:c r="L260" s="56"/>
      <x:c r="M260" s="56"/>
      <x:c r="N260" s="56" t="str">
        <x:v>Isntree announced an online Ulta launch in 2025, but current Ulta search returned zero Isntree products</x:v>
      </x:c>
      <x:c r="O260" s="56" t="str">
        <x:v>No Current Products Observed</x:v>
      </x:c>
      <x:c r="P260" s="56"/>
      <x:c r="Q260" s="56" t="str">
        <x:v>Historical relationship is credible; active assortment could not be verified.</x:v>
      </x:c>
      <x:c r="R260" s="56" t="str">
        <x:v>Not estimated</x:v>
      </x:c>
      <x:c r="S260" s="56" t="str">
        <x:v>Launch evidence plus current zero-result check.</x:v>
      </x:c>
      <x:c r="T260" s="56" t="str">
        <x:v>Medium-High</x:v>
      </x:c>
      <x:c r="U260" s="56" t="str">
        <x:v>2026-08-01</x:v>
      </x:c>
      <x:c r="V260" s="56" t="str">
        <x:v>SRC-ISN-008,SRC-ISN-009</x:v>
      </x:c>
      <x:c r="W260" s="56" t="str">
        <x:v>Confirm whether the account is active, paused or discontinued.</x:v>
      </x:c>
    </x:row>
    <x:row r="261" ht="120" customHeight="1">
      <x:c r="A261" s="56" t="str">
        <x:v>CH-ISN-013</x:v>
      </x:c>
      <x:c r="B261" s="56" t="str">
        <x:v>KB016</x:v>
      </x:c>
      <x:c r="C261" s="56"/>
      <x:c r="D261" s="56" t="str">
        <x:v>Target Plus</x:v>
      </x:c>
      <x:c r="E261" s="56" t="str">
        <x:v>https://www.target.com/c/skin-care-beauty/isntree/-/N-5xtzjZq643lew0s3m</x:v>
      </x:c>
      <x:c r="F261" s="56" t="str">
        <x:v>Third-party sellers including iHerb</x:v>
      </x:c>
      <x:c r="G261" s="56" t="str">
        <x:v>Marketplace / not established first-party Target</x:v>
      </x:c>
      <x:c r="H261" s="56"/>
      <x:c r="I261" s="56"/>
      <x:c r="J261" s="56"/>
      <x:c r="K261" s="56"/>
      <x:c r="L261" s="56"/>
      <x:c r="M261" s="56"/>
      <x:c r="N261" s="56" t="str">
        <x:v>Brand category and product listings; sampled product sold and shipped by iHerb</x:v>
      </x:c>
      <x:c r="O261" s="56" t="str">
        <x:v>Active Marketplace</x:v>
      </x:c>
      <x:c r="P261" s="56"/>
      <x:c r="Q261" s="56" t="str">
        <x:v>Target visibility does not establish first-party Target inventory.</x:v>
      </x:c>
      <x:c r="R261" s="56" t="str">
        <x:v>Not estimated</x:v>
      </x:c>
      <x:c r="S261" s="56" t="str">
        <x:v>Seller provenance checked on sampled item.</x:v>
      </x:c>
      <x:c r="T261" s="56" t="str">
        <x:v>High</x:v>
      </x:c>
      <x:c r="U261" s="56" t="str">
        <x:v>2026-08-01</x:v>
      </x:c>
      <x:c r="V261" s="56" t="str">
        <x:v>SRC-ISN-020,SRC-ISN-021</x:v>
      </x:c>
      <x:c r="W261" s="56" t="str">
        <x:v>Verify seller authorization, version, lot and expiration per listing.</x:v>
      </x:c>
    </x:row>
    <x:row r="262" ht="120" customHeight="1">
      <x:c r="A262" s="56" t="str">
        <x:v>CH-ISN-014</x:v>
      </x:c>
      <x:c r="B262" s="56" t="str">
        <x:v>KB016</x:v>
      </x:c>
      <x:c r="C262" s="56"/>
      <x:c r="D262" s="56" t="str">
        <x:v>Walmart Marketplace</x:v>
      </x:c>
      <x:c r="E262" s="56" t="str">
        <x:v>https://www.walmart.com/c/brand/isntree</x:v>
      </x:c>
      <x:c r="F262" s="56" t="str">
        <x:v>Mixed marketplace sellers</x:v>
      </x:c>
      <x:c r="G262" s="56" t="str">
        <x:v>Marketplace / mixed provenance</x:v>
      </x:c>
      <x:c r="H262" s="56"/>
      <x:c r="I262" s="56"/>
      <x:c r="J262" s="56"/>
      <x:c r="K262" s="56"/>
      <x:c r="L262" s="56"/>
      <x:c r="M262" s="56"/>
      <x:c r="N262" s="56" t="str">
        <x:v>About 25 brand-page products displayed; first-party status not established across assortment</x:v>
      </x:c>
      <x:c r="O262" s="56" t="str">
        <x:v>Active Marketplace</x:v>
      </x:c>
      <x:c r="P262" s="56"/>
      <x:c r="Q262" s="56" t="str">
        <x:v>Visibility is meaningful but seller/version risk is material.</x:v>
      </x:c>
      <x:c r="R262" s="56" t="str">
        <x:v>Not estimated</x:v>
      </x:c>
      <x:c r="S262" s="56" t="str">
        <x:v>Marketplace assortment only.</x:v>
      </x:c>
      <x:c r="T262" s="56" t="str">
        <x:v>Medium</x:v>
      </x:c>
      <x:c r="U262" s="56" t="str">
        <x:v>2026-08-01</x:v>
      </x:c>
      <x:c r="V262" s="56" t="str">
        <x:v>SRC-ISN-022,SRC-ISN-042</x:v>
      </x:c>
      <x:c r="W262" s="56" t="str">
        <x:v>Consumer counterfeit concern increases diligence need.</x:v>
      </x:c>
    </x:row>
    <x:row r="263" ht="120" customHeight="1">
      <x:c r="A263" s="56" t="str">
        <x:v>CH-ISN-015</x:v>
      </x:c>
      <x:c r="B263" s="56" t="str">
        <x:v>KB016</x:v>
      </x:c>
      <x:c r="C263" s="56"/>
      <x:c r="D263" s="56" t="str">
        <x:v>iHerb Brand Store</x:v>
      </x:c>
      <x:c r="E263" s="56" t="str">
        <x:v>https://www.iherb.com/c/isntree</x:v>
      </x:c>
      <x:c r="F263" s="56" t="str">
        <x:v>iHerb</x:v>
      </x:c>
      <x:c r="G263" s="56" t="str">
        <x:v>Authorized partner linked by official hub</x:v>
      </x:c>
      <x:c r="H263" s="56"/>
      <x:c r="I263" s="56"/>
      <x:c r="J263" s="56"/>
      <x:c r="K263" s="56"/>
      <x:c r="L263" s="56"/>
      <x:c r="M263" s="56"/>
      <x:c r="N263" s="56" t="str">
        <x:v>About 27 products; iHerb states authentic/direct or authorized sourcing</x:v>
      </x:c>
      <x:c r="O263" s="56" t="str">
        <x:v>Active</x:v>
      </x:c>
      <x:c r="P263" s="56"/>
      <x:c r="Q263" s="56" t="str">
        <x:v>Deep assortment and large review bases support U.S. specialty demand.</x:v>
      </x:c>
      <x:c r="R263" s="56" t="str">
        <x:v>High retailer velocity on sampled heroes</x:v>
      </x:c>
      <x:c r="S263" s="56" t="str">
        <x:v>Product-level sold displays; not brand revenue.</x:v>
      </x:c>
      <x:c r="T263" s="56" t="str">
        <x:v>High</x:v>
      </x:c>
      <x:c r="U263" s="56" t="str">
        <x:v>2026-08-01</x:v>
      </x:c>
      <x:c r="V263" s="56" t="str">
        <x:v>SRC-ISN-017,SRC-ISN-019</x:v>
      </x:c>
      <x:c r="W263" s="56" t="str">
        <x:v>Prices and sold counts are dynamic.</x:v>
      </x:c>
    </x:row>
    <x:row r="264" ht="120" customHeight="1">
      <x:c r="A264" s="56" t="str">
        <x:v>CH-ISN-016</x:v>
      </x:c>
      <x:c r="B264" s="56" t="str">
        <x:v>KB016</x:v>
      </x:c>
      <x:c r="C264" s="56" t="str">
        <x:v>ISN-P002</x:v>
      </x:c>
      <x:c r="D264" s="56" t="str">
        <x:v>iHerb — Green Tea Toner</x:v>
      </x:c>
      <x:c r="E264" s="56" t="str">
        <x:v>https://www.iherb.com/pr/isntree-green-tea-fresh-toner-6-76-fl-oz-200-ml/97087</x:v>
      </x:c>
      <x:c r="F264" s="56" t="str">
        <x:v>iHerb</x:v>
      </x:c>
      <x:c r="G264" s="56" t="str">
        <x:v>Authorized specialty retailer</x:v>
      </x:c>
      <x:c r="H264" s="56" t="n">
        <x:v>24.36</x:v>
      </x:c>
      <x:c r="I264" s="56" t="n">
        <x:v>24.36</x:v>
      </x:c>
      <x:c r="J264" s="56" t="n">
        <x:v>0</x:v>
      </x:c>
      <x:c r="K264" s="56" t="n">
        <x:v>3073</x:v>
      </x:c>
      <x:c r="L264" s="56" t="n">
        <x:v>4.6</x:v>
      </x:c>
      <x:c r="M264" s="56" t="str">
        <x:v>#27 K-Beauty Toners; #44 Toners</x:v>
      </x:c>
      <x:c r="N264" s="56" t="str">
        <x:v>300+ sold in 30 days</x:v>
      </x:c>
      <x:c r="O264" s="56" t="str">
        <x:v>In Stock</x:v>
      </x:c>
      <x:c r="P264" s="56"/>
      <x:c r="Q264" s="56" t="str">
        <x:v>Large review base and current category ranks.</x:v>
      </x:c>
      <x:c r="R264" s="56" t="str">
        <x:v>At least 300 units/30 days</x:v>
      </x:c>
      <x:c r="S264" s="56" t="str">
        <x:v>Public iHerb sold display; not audited revenue.</x:v>
      </x:c>
      <x:c r="T264" s="56" t="str">
        <x:v>High</x:v>
      </x:c>
      <x:c r="U264" s="56" t="str">
        <x:v>2026-08-01</x:v>
      </x:c>
      <x:c r="V264" s="56" t="str">
        <x:v>SRC-ISN-018</x:v>
      </x:c>
      <x:c r="W264" s="56" t="str">
        <x:v>Price, reviews and rank change.</x:v>
      </x:c>
    </x:row>
    <x:row r="265" ht="120" customHeight="1">
      <x:c r="A265" s="56" t="str">
        <x:v>CH-ISN-017</x:v>
      </x:c>
      <x:c r="B265" s="56" t="str">
        <x:v>KB016</x:v>
      </x:c>
      <x:c r="C265" s="56"/>
      <x:c r="D265" s="56" t="str">
        <x:v>Soko Glam</x:v>
      </x:c>
      <x:c r="E265" s="56" t="str">
        <x:v>https://sokoglam.com/collections/brands-isntree</x:v>
      </x:c>
      <x:c r="F265" s="56" t="str">
        <x:v>Soko Glam</x:v>
      </x:c>
      <x:c r="G265" s="56" t="str">
        <x:v>Official partner linked by brand</x:v>
      </x:c>
      <x:c r="H265" s="56"/>
      <x:c r="I265" s="56"/>
      <x:c r="J265" s="56"/>
      <x:c r="K265" s="56"/>
      <x:c r="L265" s="56"/>
      <x:c r="M265" s="56"/>
      <x:c r="N265" s="56" t="str">
        <x:v>Green Tea Toner $20 with 4.5/179; Daily Sun Gel SPF30 $20 appeared as a best seller</x:v>
      </x:c>
      <x:c r="O265" s="56" t="str">
        <x:v>Active</x:v>
      </x:c>
      <x:c r="P265" s="56"/>
      <x:c r="Q265" s="56" t="str">
        <x:v>U.S. specialist-retail presence supports education and curation.</x:v>
      </x:c>
      <x:c r="R265" s="56" t="str">
        <x:v>Not estimated</x:v>
      </x:c>
      <x:c r="S265" s="56" t="str">
        <x:v>Retail facts; no sell-through.</x:v>
      </x:c>
      <x:c r="T265" s="56" t="str">
        <x:v>High</x:v>
      </x:c>
      <x:c r="U265" s="56" t="str">
        <x:v>2026-08-01</x:v>
      </x:c>
      <x:c r="V265" s="56" t="str">
        <x:v>SRC-ISN-024,SRC-ISN-025</x:v>
      </x:c>
      <x:c r="W265" s="56" t="str">
        <x:v>Assortment and stock change.</x:v>
      </x:c>
    </x:row>
    <x:row r="266" ht="120" customHeight="1">
      <x:c r="A266" s="56" t="str">
        <x:v>CH-ISN-018</x:v>
      </x:c>
      <x:c r="B266" s="56" t="str">
        <x:v>KB016</x:v>
      </x:c>
      <x:c r="C266" s="56"/>
      <x:c r="D266" s="56" t="str">
        <x:v>Cross-Border Authorized Partners</x:v>
      </x:c>
      <x:c r="E266" s="56" t="str">
        <x:v>https://linktr.ee/i_sntree</x:v>
      </x:c>
      <x:c r="F266" s="56" t="str">
        <x:v>YesStyle; Stylevana; StyleKorean; Jolse</x:v>
      </x:c>
      <x:c r="G266" s="56" t="str">
        <x:v>Officially linked cross-border ecosystem</x:v>
      </x:c>
      <x:c r="H266" s="56"/>
      <x:c r="I266" s="56"/>
      <x:c r="J266" s="56"/>
      <x:c r="K266" s="56"/>
      <x:c r="L266" s="56"/>
      <x:c r="M266" s="56"/>
      <x:c r="N266" s="56" t="str">
        <x:v>Multiple official links serving U.S. shoppers</x:v>
      </x:c>
      <x:c r="O266" s="56" t="str">
        <x:v>Active</x:v>
      </x:c>
      <x:c r="P266" s="56"/>
      <x:c r="Q266" s="56" t="str">
        <x:v>Broad availability supports access but increases price/version leakage.</x:v>
      </x:c>
      <x:c r="R266" s="56" t="str">
        <x:v>Not estimated</x:v>
      </x:c>
      <x:c r="S266" s="56" t="str">
        <x:v>Authorization signal only.</x:v>
      </x:c>
      <x:c r="T266" s="56" t="str">
        <x:v>Medium-High</x:v>
      </x:c>
      <x:c r="U266" s="56" t="str">
        <x:v>2026-08-01</x:v>
      </x:c>
      <x:c r="V266" s="56" t="str">
        <x:v>SRC-ISN-004,SRC-ISN-028</x:v>
      </x:c>
      <x:c r="W266" s="56" t="str">
        <x:v>Map U.S. resale rights and exact sunscreen formula by listing.</x:v>
      </x:c>
    </x:row>
    <x:row r="267" ht="120" customHeight="1">
      <x:c r="A267" s="56" t="str">
        <x:v>CH-ISN-019</x:v>
      </x:c>
      <x:c r="B267" s="56" t="str">
        <x:v>KB016</x:v>
      </x:c>
      <x:c r="C267" s="56"/>
      <x:c r="D267" s="56" t="str">
        <x:v>Other U.S. National Channels</x:v>
      </x:c>
      <x:c r="E267" s="56" t="str">
        <x:v>https://www.sephora.com/search?keyword=isntree</x:v>
      </x:c>
      <x:c r="F267" s="56" t="str">
        <x:v>No confirmed current relationship</x:v>
      </x:c>
      <x:c r="G267" s="56" t="str">
        <x:v>No verified Sephora, CVS, Walgreens or Costco account</x:v>
      </x:c>
      <x:c r="H267" s="56"/>
      <x:c r="I267" s="56"/>
      <x:c r="J267" s="56"/>
      <x:c r="K267" s="56"/>
      <x:c r="L267" s="56"/>
      <x:c r="M267" s="56"/>
      <x:c r="N267" s="56" t="str">
        <x:v>No current official relationship verified in scoped checks</x:v>
      </x:c>
      <x:c r="O267" s="56" t="str">
        <x:v>Not Verified / No Presence Confirmed</x:v>
      </x:c>
      <x:c r="P267" s="56"/>
      <x:c r="Q267" s="56" t="str">
        <x:v>Absence in scoped search is not proof of no account.</x:v>
      </x:c>
      <x:c r="R267" s="56" t="str">
        <x:v>Not estimated</x:v>
      </x:c>
      <x:c r="S267" s="56" t="str">
        <x:v>Public presence check only.</x:v>
      </x:c>
      <x:c r="T267" s="56" t="str">
        <x:v>Low-Medium</x:v>
      </x:c>
      <x:c r="U267" s="56" t="str">
        <x:v>2026-08-01</x:v>
      </x:c>
      <x:c r="V267" s="56" t="str">
        <x:v>SRC-ISN-050</x:v>
      </x:c>
      <x:c r="W267" s="56" t="str">
        <x:v>Confirm directly with vendor before account planning.</x:v>
      </x:c>
    </x:row>
    <x:row r="268" ht="126" customHeight="1">
      <x:c r="A268" s="56" t="str">
        <x:v>CH-GDL-001</x:v>
      </x:c>
      <x:c r="B268" s="56" t="str">
        <x:v>KB017</x:v>
      </x:c>
      <x:c r="C268" s="56"/>
      <x:c r="D268" s="56" t="str">
        <x:v>Official Corporate / Brand Page</x:v>
      </x:c>
      <x:c r="E268" s="56" t="str">
        <x:v>https://cliocosmetic.com/goodal_en.html</x:v>
      </x:c>
      <x:c r="F268" s="56" t="str">
        <x:v>CLIO Cosmetics Co., Ltd.</x:v>
      </x:c>
      <x:c r="G268" s="56" t="str">
        <x:v>Official brand authority</x:v>
      </x:c>
      <x:c r="H268" s="56"/>
      <x:c r="I268" s="56"/>
      <x:c r="J268" s="56"/>
      <x:c r="K268" s="56"/>
      <x:c r="L268" s="56"/>
      <x:c r="M268" s="56"/>
      <x:c r="N268" s="56" t="str">
        <x:v>Goodal brand identity, clean-beauty positioning and official Brand Shop/social routing</x:v>
      </x:c>
      <x:c r="O268" s="56" t="str">
        <x:v>Active</x:v>
      </x:c>
      <x:c r="P268" s="56"/>
      <x:c r="Q268" s="56" t="str">
        <x:v>Highest-confidence website and ownership authority.</x:v>
      </x:c>
      <x:c r="R268" s="56" t="str">
        <x:v>Not estimated</x:v>
      </x:c>
      <x:c r="S268" s="56" t="str">
        <x:v>Identity source, not U.S. sell-through.</x:v>
      </x:c>
      <x:c r="T268" s="56" t="str">
        <x:v>High</x:v>
      </x:c>
      <x:c r="U268" s="56" t="str">
        <x:v>2026-08-01</x:v>
      </x:c>
      <x:c r="V268" s="56" t="str">
        <x:v>SRC-GDL-001,SRC-GDL-002</x:v>
      </x:c>
      <x:c r="W268" s="56" t="str">
        <x:v>Use this authority instead of thegoodal.com.</x:v>
      </x:c>
    </x:row>
    <x:row r="269" ht="126" customHeight="1">
      <x:c r="A269" s="56" t="str">
        <x:v>CH-GDL-002</x:v>
      </x:c>
      <x:c r="B269" s="56" t="str">
        <x:v>KB017</x:v>
      </x:c>
      <x:c r="C269" s="56"/>
      <x:c r="D269" s="56" t="str">
        <x:v>Official Korean Brand Shop</x:v>
      </x:c>
      <x:c r="E269" s="56" t="str">
        <x:v>https://clubclio.co.kr</x:v>
      </x:c>
      <x:c r="F269" s="56" t="str">
        <x:v>CLIO Cosmetics / Club Clio</x:v>
      </x:c>
      <x:c r="G269" s="56" t="str">
        <x:v>Official parent-company store</x:v>
      </x:c>
      <x:c r="H269" s="56"/>
      <x:c r="I269" s="56"/>
      <x:c r="J269" s="56"/>
      <x:c r="K269" s="56"/>
      <x:c r="L269" s="56"/>
      <x:c r="M269" s="56"/>
      <x:c r="N269" s="56" t="str">
        <x:v>Goodal is sold within CLIO's official multi-brand retail infrastructure</x:v>
      </x:c>
      <x:c r="O269" s="56" t="str">
        <x:v>Active</x:v>
      </x:c>
      <x:c r="P269" s="56"/>
      <x:c r="Q269" s="56" t="str">
        <x:v>Official product/catalog route from CLIO brand page.</x:v>
      </x:c>
      <x:c r="R269" s="56" t="str">
        <x:v>Not estimated</x:v>
      </x:c>
      <x:c r="S269" s="56" t="str">
        <x:v>Korean/global activity is not U.S. sell-through.</x:v>
      </x:c>
      <x:c r="T269" s="56" t="str">
        <x:v>High</x:v>
      </x:c>
      <x:c r="U269" s="56" t="str">
        <x:v>2026-08-01</x:v>
      </x:c>
      <x:c r="V269" s="56" t="str">
        <x:v>SRC-GDL-001,SRC-GDL-029</x:v>
      </x:c>
      <x:c r="W269" s="56" t="str">
        <x:v>Confirm U.S. merchant, fulfillment and wholesale rights.</x:v>
      </x:c>
    </x:row>
    <x:row r="270" ht="126" customHeight="1">
      <x:c r="A270" s="56" t="str">
        <x:v>CH-GDL-003</x:v>
      </x:c>
      <x:c r="B270" s="56" t="str">
        <x:v>KB017</x:v>
      </x:c>
      <x:c r="C270" s="56"/>
      <x:c r="D270" s="56" t="str">
        <x:v>Official U.S. Link Hub</x:v>
      </x:c>
      <x:c r="E270" s="56" t="str">
        <x:v>https://linktr.ee/goodalofficialus</x:v>
      </x:c>
      <x:c r="F270" s="56" t="str">
        <x:v>@goodal_official_us</x:v>
      </x:c>
      <x:c r="G270" s="56" t="str">
        <x:v>Official U.S. social/channel hub</x:v>
      </x:c>
      <x:c r="H270" s="56"/>
      <x:c r="I270" s="56"/>
      <x:c r="J270" s="56"/>
      <x:c r="K270" s="56"/>
      <x:c r="L270" s="56"/>
      <x:c r="M270" s="56"/>
      <x:c r="N270" s="56" t="str">
        <x:v>Links Goodal Amazon brand page and Club Clio signup; joined March 2023</x:v>
      </x:c>
      <x:c r="O270" s="56" t="str">
        <x:v>Active</x:v>
      </x:c>
      <x:c r="P270" s="56"/>
      <x:c r="Q270" s="56" t="str">
        <x:v>First-party U.S. routing signal.</x:v>
      </x:c>
      <x:c r="R270" s="56" t="str">
        <x:v>Not estimated</x:v>
      </x:c>
      <x:c r="S270" s="56" t="str">
        <x:v>Channel hub only.</x:v>
      </x:c>
      <x:c r="T270" s="56" t="str">
        <x:v>High</x:v>
      </x:c>
      <x:c r="U270" s="56" t="str">
        <x:v>2026-08-01</x:v>
      </x:c>
      <x:c r="V270" s="56" t="str">
        <x:v>SRC-GDL-004</x:v>
      </x:c>
      <x:c r="W270" s="56" t="str">
        <x:v>Recheck links and campaign terms before use.</x:v>
      </x:c>
    </x:row>
    <x:row r="271" ht="126" customHeight="1">
      <x:c r="A271" s="56" t="str">
        <x:v>CH-GDL-004</x:v>
      </x:c>
      <x:c r="B271" s="56" t="str">
        <x:v>KB017</x:v>
      </x:c>
      <x:c r="C271" s="56"/>
      <x:c r="D271" s="56" t="str">
        <x:v>Amazon U.S. Brand Store</x:v>
      </x:c>
      <x:c r="E271" s="56" t="str">
        <x:v>https://www.amazon.com/stores/GOODAL/page/6A28B6BF-E433-43ED-890B-03070AD902EA</x:v>
      </x:c>
      <x:c r="F271" s="56" t="str">
        <x:v>CLUBCLIO</x:v>
      </x:c>
      <x:c r="G271" s="56" t="str">
        <x:v>Official seller observed</x:v>
      </x:c>
      <x:c r="H271" s="56"/>
      <x:c r="I271" s="56"/>
      <x:c r="J271" s="56"/>
      <x:c r="K271" s="56"/>
      <x:c r="L271" s="56"/>
      <x:c r="M271" s="56"/>
      <x:c r="N271" s="56" t="str">
        <x:v>Five sampled ASINs total at least 6,500 units/month</x:v>
      </x:c>
      <x:c r="O271" s="56" t="str">
        <x:v>Active</x:v>
      </x:c>
      <x:c r="P271" s="56"/>
      <x:c r="Q271" s="56" t="str">
        <x:v>Official U.S. hub route; direct pages displayed CLUBCLIO and Amazon fulfillment.</x:v>
      </x:c>
      <x:c r="R271" s="56" t="str">
        <x:v>At least 6,500 units/month; at least $141,870/month</x:v>
      </x:c>
      <x:c r="S271" s="56" t="str">
        <x:v>Rounded badges across five distinct ASINs; excludes other products and adjustments.</x:v>
      </x:c>
      <x:c r="T271" s="56" t="str">
        <x:v>High</x:v>
      </x:c>
      <x:c r="U271" s="56" t="str">
        <x:v>2026-08-01</x:v>
      </x:c>
      <x:c r="V271" s="56" t="str">
        <x:v>SRC-GDL-004,SRC-GDL-009,SRC-GDL-015</x:v>
      </x:c>
      <x:c r="W271" s="56" t="str">
        <x:v>Dynamic public proxy, not audited revenue.</x:v>
      </x:c>
    </x:row>
    <x:row r="272" ht="126" customHeight="1">
      <x:c r="A272" s="56" t="str">
        <x:v>CH-GDL-005</x:v>
      </x:c>
      <x:c r="B272" s="56" t="str">
        <x:v>KB017</x:v>
      </x:c>
      <x:c r="C272" s="56" t="str">
        <x:v>GDL-P001</x:v>
      </x:c>
      <x:c r="D272" s="56" t="str">
        <x:v>Amazon — Serum Alpha</x:v>
      </x:c>
      <x:c r="E272" s="56" t="str">
        <x:v>https://www.amazon.com/dp/B0GGGCV238</x:v>
      </x:c>
      <x:c r="F272" s="56" t="str">
        <x:v>CLUBCLIO</x:v>
      </x:c>
      <x:c r="G272" s="56" t="str">
        <x:v>Official seller / Amazon fulfilled</x:v>
      </x:c>
      <x:c r="H272" s="56" t="n">
        <x:v>25</x:v>
      </x:c>
      <x:c r="I272" s="56" t="n">
        <x:v>21.9</x:v>
      </x:c>
      <x:c r="J272" s="56" t="n">
        <x:v>0.124</x:v>
      </x:c>
      <x:c r="K272" s="56" t="n">
        <x:v>107</x:v>
      </x:c>
      <x:c r="L272" s="56" t="n">
        <x:v>4.5</x:v>
      </x:c>
      <x:c r="M272" s="56" t="str">
        <x:v>Amazon's Choice</x:v>
      </x:c>
      <x:c r="N272" s="56" t="str">
        <x:v>4K+ bought in past month</x:v>
      </x:c>
      <x:c r="O272" s="56" t="str">
        <x:v>In Stock</x:v>
      </x:c>
      <x:c r="P272" s="56"/>
      <x:c r="Q272" s="56" t="str">
        <x:v>New Alpha serum; ASIN B0GGGCV238.</x:v>
      </x:c>
      <x:c r="R272" s="56" t="str">
        <x:v>At least $87,600/month</x:v>
      </x:c>
      <x:c r="S272" s="56" t="str">
        <x:v>4,000 rounded badge × $21.90.</x:v>
      </x:c>
      <x:c r="T272" s="56" t="str">
        <x:v>High</x:v>
      </x:c>
      <x:c r="U272" s="56" t="str">
        <x:v>2026-08-01</x:v>
      </x:c>
      <x:c r="V272" s="56" t="str">
        <x:v>SRC-GDL-010,SRC-GDL-015</x:v>
      </x:c>
      <x:c r="W272" s="56" t="str">
        <x:v>New review base; badge/price change.</x:v>
      </x:c>
    </x:row>
    <x:row r="273" ht="126" customHeight="1">
      <x:c r="A273" s="56" t="str">
        <x:v>CH-GDL-006</x:v>
      </x:c>
      <x:c r="B273" s="56" t="str">
        <x:v>KB017</x:v>
      </x:c>
      <x:c r="C273" s="56" t="str">
        <x:v>GDL-P002</x:v>
      </x:c>
      <x:c r="D273" s="56" t="str">
        <x:v>Amazon — Eye Patches Alpha</x:v>
      </x:c>
      <x:c r="E273" s="56" t="str">
        <x:v>https://www.amazon.com/dp/B0G92CK3J8</x:v>
      </x:c>
      <x:c r="F273" s="56" t="str">
        <x:v>CLUBCLIO</x:v>
      </x:c>
      <x:c r="G273" s="56" t="str">
        <x:v>Official seller / Amazon fulfilled</x:v>
      </x:c>
      <x:c r="H273" s="56" t="n">
        <x:v>22</x:v>
      </x:c>
      <x:c r="I273" s="56" t="n">
        <x:v>18.9</x:v>
      </x:c>
      <x:c r="J273" s="56" t="n">
        <x:v>0.141</x:v>
      </x:c>
      <x:c r="K273" s="56" t="n">
        <x:v>94</x:v>
      </x:c>
      <x:c r="L273" s="56" t="n">
        <x:v>4.6</x:v>
      </x:c>
      <x:c r="M273" s="56"/>
      <x:c r="N273" s="56" t="str">
        <x:v>1K+ bought in past month</x:v>
      </x:c>
      <x:c r="O273" s="56" t="str">
        <x:v>In Stock</x:v>
      </x:c>
      <x:c r="P273" s="56"/>
      <x:c r="Q273" s="56" t="str">
        <x:v>Alpha eye patches; ASIN B0G92CK3J8.</x:v>
      </x:c>
      <x:c r="R273" s="56" t="str">
        <x:v>At least $18,900/month</x:v>
      </x:c>
      <x:c r="S273" s="56" t="str">
        <x:v>1,000 rounded badge × $18.90.</x:v>
      </x:c>
      <x:c r="T273" s="56" t="str">
        <x:v>High</x:v>
      </x:c>
      <x:c r="U273" s="56" t="str">
        <x:v>2026-08-01</x:v>
      </x:c>
      <x:c r="V273" s="56" t="str">
        <x:v>SRC-GDL-011,SRC-GDL-015</x:v>
      </x:c>
      <x:c r="W273" s="56" t="str">
        <x:v>Dynamic price, badge and reviews.</x:v>
      </x:c>
    </x:row>
    <x:row r="274" ht="126" customHeight="1">
      <x:c r="A274" s="56" t="str">
        <x:v>CH-GDL-007</x:v>
      </x:c>
      <x:c r="B274" s="56" t="str">
        <x:v>KB017</x:v>
      </x:c>
      <x:c r="C274" s="56" t="str">
        <x:v>GDL-P003</x:v>
      </x:c>
      <x:c r="D274" s="56" t="str">
        <x:v>Amazon — Cream Advanced</x:v>
      </x:c>
      <x:c r="E274" s="56" t="str">
        <x:v>https://www.amazon.com/dp/B0GGM7V79C</x:v>
      </x:c>
      <x:c r="F274" s="56" t="str">
        <x:v>CLUBCLIO</x:v>
      </x:c>
      <x:c r="G274" s="56" t="str">
        <x:v>Official seller / Amazon fulfilled</x:v>
      </x:c>
      <x:c r="H274" s="56" t="n">
        <x:v>26</x:v>
      </x:c>
      <x:c r="I274" s="56" t="n">
        <x:v>24</x:v>
      </x:c>
      <x:c r="J274" s="56" t="n">
        <x:v>0.077</x:v>
      </x:c>
      <x:c r="K274" s="56" t="n">
        <x:v>1327</x:v>
      </x:c>
      <x:c r="L274" s="56" t="n">
        <x:v>4.5</x:v>
      </x:c>
      <x:c r="M274" s="56"/>
      <x:c r="N274" s="56" t="str">
        <x:v>600+ bought in past month</x:v>
      </x:c>
      <x:c r="O274" s="56" t="str">
        <x:v>In Stock</x:v>
      </x:c>
      <x:c r="P274" s="56"/>
      <x:c r="Q274" s="56" t="str">
        <x:v>Advanced cream; review inheritance possible.</x:v>
      </x:c>
      <x:c r="R274" s="56" t="str">
        <x:v>At least $14,400/month</x:v>
      </x:c>
      <x:c r="S274" s="56" t="str">
        <x:v>600 rounded badge × $24.00.</x:v>
      </x:c>
      <x:c r="T274" s="56" t="str">
        <x:v>High</x:v>
      </x:c>
      <x:c r="U274" s="56" t="str">
        <x:v>2026-08-01</x:v>
      </x:c>
      <x:c r="V274" s="56" t="str">
        <x:v>SRC-GDL-012,SRC-GDL-015</x:v>
      </x:c>
      <x:c r="W274" s="56" t="str">
        <x:v>Variant/review family must be parsed.</x:v>
      </x:c>
    </x:row>
    <x:row r="275" ht="126" customHeight="1">
      <x:c r="A275" s="56" t="str">
        <x:v>CH-GDL-008</x:v>
      </x:c>
      <x:c r="B275" s="56" t="str">
        <x:v>KB017</x:v>
      </x:c>
      <x:c r="C275" s="56" t="str">
        <x:v>GDL-P004</x:v>
      </x:c>
      <x:c r="D275" s="56" t="str">
        <x:v>Amazon — UV Defense Sunscreen</x:v>
      </x:c>
      <x:c r="E275" s="56" t="str">
        <x:v>https://www.amazon.com/dp/B0F6N25L2P</x:v>
      </x:c>
      <x:c r="F275" s="56" t="str">
        <x:v>CLUBCLIO</x:v>
      </x:c>
      <x:c r="G275" s="56" t="str">
        <x:v>Official seller / Amazon fulfilled</x:v>
      </x:c>
      <x:c r="H275" s="56" t="n">
        <x:v>25</x:v>
      </x:c>
      <x:c r="I275" s="56" t="n">
        <x:v>23</x:v>
      </x:c>
      <x:c r="J275" s="56" t="n">
        <x:v>0.08</x:v>
      </x:c>
      <x:c r="K275" s="56" t="n">
        <x:v>238</x:v>
      </x:c>
      <x:c r="L275" s="56" t="n">
        <x:v>4.5</x:v>
      </x:c>
      <x:c r="M275" s="56"/>
      <x:c r="N275" s="56" t="str">
        <x:v>600+ bought in past month</x:v>
      </x:c>
      <x:c r="O275" s="56" t="str">
        <x:v>In Stock</x:v>
      </x:c>
      <x:c r="P275" s="56"/>
      <x:c r="Q275" s="56" t="str">
        <x:v>Exact U.S. SPF50 product should map to NDC 84532-001.</x:v>
      </x:c>
      <x:c r="R275" s="56" t="str">
        <x:v>At least $13,800/month</x:v>
      </x:c>
      <x:c r="S275" s="56" t="str">
        <x:v>600 rounded badge × $23.00.</x:v>
      </x:c>
      <x:c r="T275" s="56" t="str">
        <x:v>High</x:v>
      </x:c>
      <x:c r="U275" s="56" t="str">
        <x:v>2026-08-01</x:v>
      </x:c>
      <x:c r="V275" s="56" t="str">
        <x:v>SRC-GDL-013,SRC-GDL-015,SRC-GDL-030</x:v>
      </x:c>
      <x:c r="W275" s="56" t="str">
        <x:v>Confirm exact Drug Facts/artwork/lot before sourcing.</x:v>
      </x:c>
    </x:row>
    <x:row r="276" ht="126" customHeight="1">
      <x:c r="A276" s="56" t="str">
        <x:v>CH-GDL-009</x:v>
      </x:c>
      <x:c r="B276" s="56" t="str">
        <x:v>KB017</x:v>
      </x:c>
      <x:c r="C276" s="56" t="str">
        <x:v>GDL-P005</x:v>
      </x:c>
      <x:c r="D276" s="56" t="str">
        <x:v>Amazon — Toner Pads Advanced</x:v>
      </x:c>
      <x:c r="E276" s="56" t="str">
        <x:v>https://www.amazon.com/dp/B0GGMRBF96</x:v>
      </x:c>
      <x:c r="F276" s="56" t="str">
        <x:v>CLUBCLIO</x:v>
      </x:c>
      <x:c r="G276" s="56" t="str">
        <x:v>Official seller / Amazon fulfilled</x:v>
      </x:c>
      <x:c r="H276" s="56" t="n">
        <x:v>26</x:v>
      </x:c>
      <x:c r="I276" s="56" t="n">
        <x:v>23.9</x:v>
      </x:c>
      <x:c r="J276" s="56" t="n">
        <x:v>0.081</x:v>
      </x:c>
      <x:c r="K276" s="56" t="n">
        <x:v>2202</x:v>
      </x:c>
      <x:c r="L276" s="56" t="n">
        <x:v>4.6</x:v>
      </x:c>
      <x:c r="M276" s="56"/>
      <x:c r="N276" s="56" t="str">
        <x:v>300+ bought in past month</x:v>
      </x:c>
      <x:c r="O276" s="56" t="str">
        <x:v>In Stock</x:v>
      </x:c>
      <x:c r="P276" s="56"/>
      <x:c r="Q276" s="56" t="str">
        <x:v>Advanced pads; review inheritance possible.</x:v>
      </x:c>
      <x:c r="R276" s="56" t="str">
        <x:v>At least $7,170/month</x:v>
      </x:c>
      <x:c r="S276" s="56" t="str">
        <x:v>300 rounded badge × $23.90.</x:v>
      </x:c>
      <x:c r="T276" s="56" t="str">
        <x:v>High</x:v>
      </x:c>
      <x:c r="U276" s="56" t="str">
        <x:v>2026-08-01</x:v>
      </x:c>
      <x:c r="V276" s="56" t="str">
        <x:v>SRC-GDL-014,SRC-GDL-015</x:v>
      </x:c>
      <x:c r="W276" s="56" t="str">
        <x:v>Variant/review family must be parsed.</x:v>
      </x:c>
    </x:row>
    <x:row r="277" ht="126" customHeight="1">
      <x:c r="A277" s="56" t="str">
        <x:v>CH-GDL-010</x:v>
      </x:c>
      <x:c r="B277" s="56" t="str">
        <x:v>KB017</x:v>
      </x:c>
      <x:c r="C277" s="56"/>
      <x:c r="D277" s="56" t="str">
        <x:v>Target</x:v>
      </x:c>
      <x:c r="E277" s="56" t="str">
        <x:v>https://www.target.com/b/goodal/-/N-q643le40qye</x:v>
      </x:c>
      <x:c r="F277" s="56" t="str">
        <x:v>Target</x:v>
      </x:c>
      <x:c r="G277" s="56" t="str">
        <x:v>Current retailer assortment</x:v>
      </x:c>
      <x:c r="H277" s="56"/>
      <x:c r="I277" s="56"/>
      <x:c r="J277" s="56"/>
      <x:c r="K277" s="56"/>
      <x:c r="L277" s="56"/>
      <x:c r="M277" s="56"/>
      <x:c r="N277" s="56" t="str">
        <x:v>Ten results; serum, pads, eye patches, tone-up cream, sun serum, toner, cleanser and rice-milk cream</x:v>
      </x:c>
      <x:c r="O277" s="56" t="str">
        <x:v>Active</x:v>
      </x:c>
      <x:c r="P277" s="56"/>
      <x:c r="Q277" s="56" t="str">
        <x:v>Material U.S. retail visibility; current brand page displays inventory and promotions.</x:v>
      </x:c>
      <x:c r="R277" s="56" t="str">
        <x:v>Not estimated</x:v>
      </x:c>
      <x:c r="S277" s="56" t="str">
        <x:v>Retail assortment; no sell-through data.</x:v>
      </x:c>
      <x:c r="T277" s="56" t="str">
        <x:v>High</x:v>
      </x:c>
      <x:c r="U277" s="56" t="str">
        <x:v>2026-08-01</x:v>
      </x:c>
      <x:c r="V277" s="56" t="str">
        <x:v>SRC-GDL-016,SRC-GDL-017,SRC-GDL-018,SRC-GDL-047</x:v>
      </x:c>
      <x:c r="W277" s="56" t="str">
        <x:v>Confirm first-party vendor relationship, exact versions and store coverage.</x:v>
      </x:c>
    </x:row>
    <x:row r="278" ht="126" customHeight="1">
      <x:c r="A278" s="56" t="str">
        <x:v>CH-GDL-011</x:v>
      </x:c>
      <x:c r="B278" s="56" t="str">
        <x:v>KB017</x:v>
      </x:c>
      <x:c r="C278" s="56" t="str">
        <x:v>GDL-P001</x:v>
      </x:c>
      <x:c r="D278" s="56" t="str">
        <x:v>iHerb — Legacy Serum</x:v>
      </x:c>
      <x:c r="E278" s="56" t="str">
        <x:v>https://www.iherb.com/pr/goodal-green-tangerine-vita-c-dark-spot-care-serum-1-35-fl-oz-40-ml/116198</x:v>
      </x:c>
      <x:c r="F278" s="56" t="str">
        <x:v>iHerb</x:v>
      </x:c>
      <x:c r="G278" s="56" t="str">
        <x:v>Direct/authorized U.S. specialty retailer</x:v>
      </x:c>
      <x:c r="H278" s="56" t="n">
        <x:v>27.9</x:v>
      </x:c>
      <x:c r="I278" s="56" t="n">
        <x:v>27.9</x:v>
      </x:c>
      <x:c r="J278" s="56" t="n">
        <x:v>0</x:v>
      </x:c>
      <x:c r="K278" s="56" t="n">
        <x:v>1885</x:v>
      </x:c>
      <x:c r="L278" s="56" t="n">
        <x:v>4.6</x:v>
      </x:c>
      <x:c r="M278" s="56" t="str">
        <x:v>#12 K-Beauty Vitamin C Serums; #37 Vitamin C Serums</x:v>
      </x:c>
      <x:c r="N278" s="56" t="str">
        <x:v>100+ sold in 30 days</x:v>
      </x:c>
      <x:c r="O278" s="56" t="str">
        <x:v>In Stock</x:v>
      </x:c>
      <x:c r="P278" s="56"/>
      <x:c r="Q278" s="56" t="str">
        <x:v>Legacy 40 mL formula; iHerb states direct/authorized sourcing.</x:v>
      </x:c>
      <x:c r="R278" s="56" t="str">
        <x:v>At least 100 units/30 days</x:v>
      </x:c>
      <x:c r="S278" s="56" t="str">
        <x:v>Public sold display; not audited revenue.</x:v>
      </x:c>
      <x:c r="T278" s="56" t="str">
        <x:v>High</x:v>
      </x:c>
      <x:c r="U278" s="56" t="str">
        <x:v>2026-08-01</x:v>
      </x:c>
      <x:c r="V278" s="56" t="str">
        <x:v>SRC-GDL-019</x:v>
      </x:c>
      <x:c r="W278" s="56" t="str">
        <x:v>Do not merge legacy reviews with Alpha performance.</x:v>
      </x:c>
    </x:row>
    <x:row r="279" ht="126" customHeight="1">
      <x:c r="A279" s="56" t="str">
        <x:v>CH-GDL-012</x:v>
      </x:c>
      <x:c r="B279" s="56" t="str">
        <x:v>KB017</x:v>
      </x:c>
      <x:c r="C279" s="56"/>
      <x:c r="D279" s="56" t="str">
        <x:v>TikTok Shop U.S.</x:v>
      </x:c>
      <x:c r="E279" s="56" t="str">
        <x:v>https://shop.tiktok.com/us/k/goodal-skincare</x:v>
      </x:c>
      <x:c r="F279" s="56" t="str">
        <x:v>GOODAL Official Shop plus third-party sellers</x:v>
      </x:c>
      <x:c r="G279" s="56" t="str">
        <x:v>Mixed official and marketplace</x:v>
      </x:c>
      <x:c r="H279" s="56"/>
      <x:c r="I279" s="56"/>
      <x:c r="J279" s="56"/>
      <x:c r="K279" s="56"/>
      <x:c r="L279" s="56"/>
      <x:c r="M279" s="56"/>
      <x:c r="N279" s="56" t="str">
        <x:v>Official beginner set displayed 45 sold; third-party serum listing displayed 5K sold</x:v>
      </x:c>
      <x:c r="O279" s="56" t="str">
        <x:v>Active / Mixed Provenance</x:v>
      </x:c>
      <x:c r="P279" s="56"/>
      <x:c r="Q279" s="56" t="str">
        <x:v>Official shop proof is modest; third-party demand raises seller/channel risk.</x:v>
      </x:c>
      <x:c r="R279" s="56" t="str">
        <x:v>Official listing: low-to-moderate; third-party listing: material</x:v>
      </x:c>
      <x:c r="S279" s="56" t="str">
        <x:v>Displayed sold counts are dynamic and not audited.</x:v>
      </x:c>
      <x:c r="T279" s="56" t="str">
        <x:v>Medium</x:v>
      </x:c>
      <x:c r="U279" s="56" t="str">
        <x:v>2026-08-01</x:v>
      </x:c>
      <x:c r="V279" s="56" t="str">
        <x:v>SRC-GDL-020,SRC-GDL-021</x:v>
      </x:c>
      <x:c r="W279" s="56" t="str">
        <x:v>Separate official shop metrics from third-party listings.</x:v>
      </x:c>
    </x:row>
    <x:row r="280" ht="126" customHeight="1">
      <x:c r="A280" s="56" t="str">
        <x:v>CH-GDL-013</x:v>
      </x:c>
      <x:c r="B280" s="56" t="str">
        <x:v>KB017</x:v>
      </x:c>
      <x:c r="C280" s="56"/>
      <x:c r="D280" s="56" t="str">
        <x:v>Instagram U.S.</x:v>
      </x:c>
      <x:c r="E280" s="56" t="str">
        <x:v>https://www.instagram.com/goodal_official_us/</x:v>
      </x:c>
      <x:c r="F280" s="56" t="str">
        <x:v>@goodal_official_us</x:v>
      </x:c>
      <x:c r="G280" s="56" t="str">
        <x:v>Official U.S. account</x:v>
      </x:c>
      <x:c r="H280" s="56"/>
      <x:c r="I280" s="56"/>
      <x:c r="J280" s="56"/>
      <x:c r="K280" s="56" t="n">
        <x:v>45100</x:v>
      </x:c>
      <x:c r="L280" s="56"/>
      <x:c r="M280" s="56"/>
      <x:c r="N280" s="56" t="str">
        <x:v>About 45.1K followers and 2,326 posts observed</x:v>
      </x:c>
      <x:c r="O280" s="56" t="str">
        <x:v>Active</x:v>
      </x:c>
      <x:c r="P280" s="56"/>
      <x:c r="Q280" s="56" t="str">
        <x:v>Useful U.S. awareness and launch/education channel.</x:v>
      </x:c>
      <x:c r="R280" s="56" t="str">
        <x:v>Not estimated</x:v>
      </x:c>
      <x:c r="S280" s="56" t="str">
        <x:v>Followers are dynamic; audience quality not audited.</x:v>
      </x:c>
      <x:c r="T280" s="56" t="str">
        <x:v>Medium-High</x:v>
      </x:c>
      <x:c r="U280" s="56" t="str">
        <x:v>2026-08-01</x:v>
      </x:c>
      <x:c r="V280" s="56" t="str">
        <x:v>SRC-GDL-005</x:v>
      </x:c>
      <x:c r="W280" s="56" t="str">
        <x:v>Request platform-native U.S. audience and engagement data.</x:v>
      </x:c>
    </x:row>
    <x:row r="281" ht="126" customHeight="1">
      <x:c r="A281" s="56" t="str">
        <x:v>CH-GDL-014</x:v>
      </x:c>
      <x:c r="B281" s="56" t="str">
        <x:v>KB017</x:v>
      </x:c>
      <x:c r="C281" s="56"/>
      <x:c r="D281" s="56" t="str">
        <x:v>TikTok U.S.</x:v>
      </x:c>
      <x:c r="E281" s="56" t="str">
        <x:v>https://www.tiktok.com/@goodal_official_us</x:v>
      </x:c>
      <x:c r="F281" s="56" t="str">
        <x:v>@goodal_official_us</x:v>
      </x:c>
      <x:c r="G281" s="56" t="str">
        <x:v>Official U.S. account</x:v>
      </x:c>
      <x:c r="H281" s="56"/>
      <x:c r="I281" s="56"/>
      <x:c r="J281" s="56"/>
      <x:c r="K281" s="56" t="n">
        <x:v>8477</x:v>
      </x:c>
      <x:c r="L281" s="56"/>
      <x:c r="M281" s="56"/>
      <x:c r="N281" s="56" t="str">
        <x:v>8,477 followers, 27.6K likes; profile linked official Amazon store</x:v>
      </x:c>
      <x:c r="O281" s="56" t="str">
        <x:v>Active</x:v>
      </x:c>
      <x:c r="P281" s="56"/>
      <x:c r="Q281" s="56" t="str">
        <x:v>Modest official U.S. scale relative to leading social-commerce brands.</x:v>
      </x:c>
      <x:c r="R281" s="56" t="str">
        <x:v>Not estimated</x:v>
      </x:c>
      <x:c r="S281" s="56" t="str">
        <x:v>Follower/like counts are dynamic.</x:v>
      </x:c>
      <x:c r="T281" s="56" t="str">
        <x:v>Medium-High</x:v>
      </x:c>
      <x:c r="U281" s="56" t="str">
        <x:v>2026-08-01</x:v>
      </x:c>
      <x:c r="V281" s="56" t="str">
        <x:v>SRC-GDL-006</x:v>
      </x:c>
      <x:c r="W281" s="56" t="str">
        <x:v>Request engagement, U.S. audience and creator-affiliate data.</x:v>
      </x:c>
    </x:row>
    <x:row r="282" ht="126" customHeight="1">
      <x:c r="A282" s="56" t="str">
        <x:v>CH-GDL-015</x:v>
      </x:c>
      <x:c r="B282" s="56" t="str">
        <x:v>KB017</x:v>
      </x:c>
      <x:c r="C282" s="56"/>
      <x:c r="D282" s="56" t="str">
        <x:v>Olive Young Global / U.S.</x:v>
      </x:c>
      <x:c r="E282" s="56" t="str">
        <x:v>https://global.oliveyoung.com/display/page/brand-page?brandNo=B00208</x:v>
      </x:c>
      <x:c r="F282" s="56" t="str">
        <x:v>Olive Young</x:v>
      </x:c>
      <x:c r="G282" s="56" t="str">
        <x:v>Global/U.S. K-Beauty retailer</x:v>
      </x:c>
      <x:c r="H282" s="56"/>
      <x:c r="I282" s="56"/>
      <x:c r="J282" s="56"/>
      <x:c r="K282" s="56"/>
      <x:c r="L282" s="56"/>
      <x:c r="M282" s="56"/>
      <x:c r="N282" s="56" t="str">
        <x:v>Goodal brand page globally; U.S. promotions included Alpha serum mask</x:v>
      </x:c>
      <x:c r="O282" s="56" t="str">
        <x:v>Active</x:v>
      </x:c>
      <x:c r="P282" s="56"/>
      <x:c r="Q282" s="56" t="str">
        <x:v>Supports brand discovery and cross-border/U.S. access.</x:v>
      </x:c>
      <x:c r="R282" s="56" t="str">
        <x:v>Not estimated</x:v>
      </x:c>
      <x:c r="S282" s="56" t="str">
        <x:v>Assortment/market version may differ.</x:v>
      </x:c>
      <x:c r="T282" s="56" t="str">
        <x:v>Medium-High</x:v>
      </x:c>
      <x:c r="U282" s="56" t="str">
        <x:v>2026-08-01</x:v>
      </x:c>
      <x:c r="V282" s="56" t="str">
        <x:v>SRC-GDL-024,SRC-GDL-025</x:v>
      </x:c>
      <x:c r="W282" s="56" t="str">
        <x:v>Map U.S. resale rights and exact formulas.</x:v>
      </x:c>
    </x:row>
    <x:row r="283" ht="126" customHeight="1">
      <x:c r="A283" s="56" t="str">
        <x:v>CH-GDL-016</x:v>
      </x:c>
      <x:c r="B283" s="56" t="str">
        <x:v>KB017</x:v>
      </x:c>
      <x:c r="C283" s="56"/>
      <x:c r="D283" s="56" t="str">
        <x:v>YesStyle</x:v>
      </x:c>
      <x:c r="E283" s="56" t="str">
        <x:v>https://www.yesstyle.com/en/goodal/list.html/bpt.299_bid.318262</x:v>
      </x:c>
      <x:c r="F283" s="56" t="str">
        <x:v>YesStyle</x:v>
      </x:c>
      <x:c r="G283" s="56" t="str">
        <x:v>Authorized cross-border retailer</x:v>
      </x:c>
      <x:c r="H283" s="56"/>
      <x:c r="I283" s="56"/>
      <x:c r="J283" s="56"/>
      <x:c r="K283" s="56"/>
      <x:c r="L283" s="56"/>
      <x:c r="M283" s="56"/>
      <x:c r="N283" s="56" t="str">
        <x:v>About 77 items; Alpha serum observed around $19.40 promotion versus $21.90 reference</x:v>
      </x:c>
      <x:c r="O283" s="56" t="str">
        <x:v>Active</x:v>
      </x:c>
      <x:c r="P283" s="56"/>
      <x:c r="Q283" s="56" t="str">
        <x:v>Broad assortment supports access but creates price leakage.</x:v>
      </x:c>
      <x:c r="R283" s="56" t="str">
        <x:v>Not estimated</x:v>
      </x:c>
      <x:c r="S283" s="56" t="str">
        <x:v>Cross-border retail, not audited U.S. sales.</x:v>
      </x:c>
      <x:c r="T283" s="56" t="str">
        <x:v>High</x:v>
      </x:c>
      <x:c r="U283" s="56" t="str">
        <x:v>2026-08-01</x:v>
      </x:c>
      <x:c r="V283" s="56" t="str">
        <x:v>SRC-GDL-026,SRC-GDL-027</x:v>
      </x:c>
      <x:c r="W283" s="56" t="str">
        <x:v>Negotiate version, territory and price controls.</x:v>
      </x:c>
    </x:row>
    <x:row r="284" ht="126" customHeight="1">
      <x:c r="A284" s="56" t="str">
        <x:v>CH-GDL-017</x:v>
      </x:c>
      <x:c r="B284" s="56" t="str">
        <x:v>KB017</x:v>
      </x:c>
      <x:c r="C284" s="56"/>
      <x:c r="D284" s="56" t="str">
        <x:v>Walmart Marketplace</x:v>
      </x:c>
      <x:c r="E284" s="56" t="str">
        <x:v>https://www.walmart.com/search?q=Goodal</x:v>
      </x:c>
      <x:c r="F284" s="56" t="str">
        <x:v>Mixed marketplace sellers</x:v>
      </x:c>
      <x:c r="G284" s="56" t="str">
        <x:v>Marketplace / not established first-party Walmart</x:v>
      </x:c>
      <x:c r="H284" s="56"/>
      <x:c r="I284" s="56"/>
      <x:c r="J284" s="56"/>
      <x:c r="K284" s="56"/>
      <x:c r="L284" s="56"/>
      <x:c r="M284" s="56"/>
      <x:c r="N284" s="56" t="str">
        <x:v>About 19 search results; sampled serum sold/shipped by Premium Beauty US</x:v>
      </x:c>
      <x:c r="O284" s="56" t="str">
        <x:v>Active Marketplace</x:v>
      </x:c>
      <x:c r="P284" s="56"/>
      <x:c r="Q284" s="56" t="str">
        <x:v>Visibility is meaningful but seller provenance and version control are material.</x:v>
      </x:c>
      <x:c r="R284" s="56" t="str">
        <x:v>Not estimated</x:v>
      </x:c>
      <x:c r="S284" s="56" t="str">
        <x:v>Marketplace assortment only.</x:v>
      </x:c>
      <x:c r="T284" s="56" t="str">
        <x:v>High</x:v>
      </x:c>
      <x:c r="U284" s="56" t="str">
        <x:v>2026-08-01</x:v>
      </x:c>
      <x:c r="V284" s="56" t="str">
        <x:v>SRC-GDL-022</x:v>
      </x:c>
      <x:c r="W284" s="56" t="str">
        <x:v>Do not describe as a first-party Walmart account.</x:v>
      </x:c>
    </x:row>
    <x:row r="285" ht="126" customHeight="1">
      <x:c r="A285" s="56" t="str">
        <x:v>CH-GDL-018</x:v>
      </x:c>
      <x:c r="B285" s="56" t="str">
        <x:v>KB017</x:v>
      </x:c>
      <x:c r="C285" s="56"/>
      <x:c r="D285" s="56" t="str">
        <x:v>Costco Online — Historical</x:v>
      </x:c>
      <x:c r="E285" s="56" t="str">
        <x:v>https://cliocosmetic.com/ir_report_en.html</x:v>
      </x:c>
      <x:c r="F285" s="56" t="str">
        <x:v>CLIO / Costco</x:v>
      </x:c>
      <x:c r="G285" s="56" t="str">
        <x:v>Official company-reported historical online launch</x:v>
      </x:c>
      <x:c r="H285" s="56"/>
      <x:c r="I285" s="56"/>
      <x:c r="J285" s="56"/>
      <x:c r="K285" s="56"/>
      <x:c r="L285" s="56"/>
      <x:c r="M285" s="56"/>
      <x:c r="N285" s="56" t="str">
        <x:v>CLIO materials report Goodal Heartleaf online at Costco in 2024 and later Costco-online activity</x:v>
      </x:c>
      <x:c r="O285" s="56" t="str">
        <x:v>Historical / Current Status Unconfirmed</x:v>
      </x:c>
      <x:c r="P285" s="56"/>
      <x:c r="Q285" s="56" t="str">
        <x:v>Credible historical account signal, not proof of current assortment.</x:v>
      </x:c>
      <x:c r="R285" s="56" t="str">
        <x:v>Not estimated</x:v>
      </x:c>
      <x:c r="S285" s="56" t="str">
        <x:v>Company-reported channel event.</x:v>
      </x:c>
      <x:c r="T285" s="56" t="str">
        <x:v>Medium-High</x:v>
      </x:c>
      <x:c r="U285" s="56" t="str">
        <x:v>2026-08-01</x:v>
      </x:c>
      <x:c r="V285" s="56" t="str">
        <x:v>SRC-GDL-023</x:v>
      </x:c>
      <x:c r="W285" s="56" t="str">
        <x:v>Confirm current account, SKUs, pack configuration and sell-through.</x:v>
      </x:c>
    </x:row>
    <x:row r="286" ht="126" customHeight="1">
      <x:c r="A286" s="56" t="str">
        <x:v>CH-GDL-019</x:v>
      </x:c>
      <x:c r="B286" s="56" t="str">
        <x:v>KB017</x:v>
      </x:c>
      <x:c r="C286" s="56"/>
      <x:c r="D286" s="56" t="str">
        <x:v>Other U.S. National Channels</x:v>
      </x:c>
      <x:c r="E286" s="56" t="str">
        <x:v>https://www.ulta.com/brand/all</x:v>
      </x:c>
      <x:c r="F286" s="56" t="str">
        <x:v>No confirmed current relationship</x:v>
      </x:c>
      <x:c r="G286" s="56" t="str">
        <x:v>No current Goodal listing verified at Ulta or Sephora in scoped checks</x:v>
      </x:c>
      <x:c r="H286" s="56"/>
      <x:c r="I286" s="56"/>
      <x:c r="J286" s="56"/>
      <x:c r="K286" s="56"/>
      <x:c r="L286" s="56"/>
      <x:c r="M286" s="56"/>
      <x:c r="N286" s="56" t="str">
        <x:v>No current national prestige relationship verified in scoped public checks</x:v>
      </x:c>
      <x:c r="O286" s="56" t="str">
        <x:v>Not Verified / No Presence Confirmed</x:v>
      </x:c>
      <x:c r="P286" s="56"/>
      <x:c r="Q286" s="56" t="str">
        <x:v>Negative search evidence is directional only.</x:v>
      </x:c>
      <x:c r="R286" s="56" t="str">
        <x:v>Not estimated</x:v>
      </x:c>
      <x:c r="S286" s="56" t="str">
        <x:v>Public search/list check only.</x:v>
      </x:c>
      <x:c r="T286" s="56" t="str">
        <x:v>Low-Medium</x:v>
      </x:c>
      <x:c r="U286" s="56" t="str">
        <x:v>2026-08-01</x:v>
      </x:c>
      <x:c r="V286" s="56" t="str">
        <x:v>SRC-GDL-049,SRC-GDL-050</x:v>
      </x:c>
      <x:c r="W286" s="56" t="str">
        <x:v>Confirm directly with CLIO before account planning.</x:v>
      </x:c>
    </x:row>
    <x:row r="287" ht="152" customHeight="1">
      <x:c r="A287" s="56" t="str">
        <x:v>CH-IMF-001</x:v>
      </x:c>
      <x:c r="B287" s="56" t="str">
        <x:v>KB018</x:v>
      </x:c>
      <x:c r="C287" s="56"/>
      <x:c r="D287" s="56" t="str">
        <x:v>Official Korean DTC</x:v>
      </x:c>
      <x:c r="E287" s="56" t="str">
        <x:v>https://imfrom.co.kr</x:v>
      </x:c>
      <x:c r="F287" s="56" t="str">
        <x:v>LAB &amp; Company Inc.</x:v>
      </x:c>
      <x:c r="G287" s="56" t="str">
        <x:v>Verified official brand site</x:v>
      </x:c>
      <x:c r="H287" s="56"/>
      <x:c r="I287" s="56"/>
      <x:c r="J287" s="56"/>
      <x:c r="K287" s="56"/>
      <x:c r="L287" s="56"/>
      <x:c r="M287" s="56"/>
      <x:c r="N287" s="56"/>
      <x:c r="O287" s="56" t="str">
        <x:v>Active</x:v>
      </x:c>
      <x:c r="P287" s="56" t="str">
        <x:v>Not calculated</x:v>
      </x:c>
      <x:c r="Q287" s="56" t="str">
        <x:v>Official site footer identifies LAB &amp; Company and provides brand-owned shopping, collections and partnership contact.</x:v>
      </x:c>
      <x:c r="R287" s="56" t="str">
        <x:v>Official brand/control evidence</x:v>
      </x:c>
      <x:c r="S287" s="56" t="str">
        <x:v>Brand-owned site; not evidence of U.S. sales.</x:v>
      </x:c>
      <x:c r="T287" s="56" t="str">
        <x:v>High</x:v>
      </x:c>
      <x:c r="U287" s="56" t="str">
        <x:v>2026-08-01</x:v>
      </x:c>
      <x:c r="V287" s="56" t="str">
        <x:v>SRC-IMF-001,SRC-IMF-002</x:v>
      </x:c>
      <x:c r="W287" s="56" t="str">
        <x:v>Korean store; no separate U.S. DTC domain verified.</x:v>
      </x:c>
    </x:row>
    <x:row r="288" ht="152" customHeight="1">
      <x:c r="A288" s="56" t="str">
        <x:v>CH-IMF-002</x:v>
      </x:c>
      <x:c r="B288" s="56" t="str">
        <x:v>KB018</x:v>
      </x:c>
      <x:c r="C288" s="56" t="str">
        <x:v>IMF-P001</x:v>
      </x:c>
      <x:c r="D288" s="56" t="str">
        <x:v>Amazon U.S.</x:v>
      </x:c>
      <x:c r="E288" s="56" t="str">
        <x:v>https://www.amazon.com/dp/B0GL23FXCZ</x:v>
      </x:c>
      <x:c r="F288" s="56" t="str">
        <x:v>imfrom</x:v>
      </x:c>
      <x:c r="G288" s="56" t="str">
        <x:v>Likely official seller; written authorization still required</x:v>
      </x:c>
      <x:c r="H288" s="56" t="n">
        <x:v>28</x:v>
      </x:c>
      <x:c r="I288" s="56" t="n">
        <x:v>14.63</x:v>
      </x:c>
      <x:c r="J288" s="56" t="n">
        <x:v>0.4775</x:v>
      </x:c>
      <x:c r="K288" s="56" t="n">
        <x:v>135</x:v>
      </x:c>
      <x:c r="L288" s="56" t="n">
        <x:v>4.7</x:v>
      </x:c>
      <x:c r="M288" s="56" t="str">
        <x:v>#37 Facial Toners</x:v>
      </x:c>
      <x:c r="N288" s="56" t="str">
        <x:v>5K+ bought in past month</x:v>
      </x:c>
      <x:c r="O288" s="56" t="str">
        <x:v>In Stock</x:v>
      </x:c>
      <x:c r="P288" s="56" t="str">
        <x:v>Not calculated</x:v>
      </x:c>
      <x:c r="Q288" s="56" t="str">
        <x:v>New Rice Toner listing; sold by imfrom and shipped by Amazon; first available 2026-02-02.</x:v>
      </x:c>
      <x:c r="R288" s="56" t="str">
        <x:v>At least 5,000 units / $73,150 monthly gross floor</x:v>
      </x:c>
      <x:c r="S288" s="56" t="str">
        <x:v>Badge minimum multiplied by observed one-time price; not audited revenue.</x:v>
      </x:c>
      <x:c r="T288" s="56" t="str">
        <x:v>High</x:v>
      </x:c>
      <x:c r="U288" s="56" t="str">
        <x:v>2026-08-01</x:v>
      </x:c>
      <x:c r="V288" s="56" t="str">
        <x:v>SRC-IMF-010,SRC-IMF-015</x:v>
      </x:c>
      <x:c r="W288" s="56" t="str">
        <x:v>Dynamic deal; do not combine with legacy ASIN B07K23HV61.</x:v>
      </x:c>
    </x:row>
    <x:row r="289" ht="152" customHeight="1">
      <x:c r="A289" s="56" t="str">
        <x:v>CH-IMF-003</x:v>
      </x:c>
      <x:c r="B289" s="56" t="str">
        <x:v>KB018</x:v>
      </x:c>
      <x:c r="C289" s="56" t="str">
        <x:v>IMF-P002</x:v>
      </x:c>
      <x:c r="D289" s="56" t="str">
        <x:v>Amazon U.S.</x:v>
      </x:c>
      <x:c r="E289" s="56" t="str">
        <x:v>https://www.amazon.com/dp/B0DY7HR89T</x:v>
      </x:c>
      <x:c r="F289" s="56" t="str">
        <x:v>wishtrend</x:v>
      </x:c>
      <x:c r="G289" s="56" t="str">
        <x:v>Known historical brand retailer/seller; current authorization to confirm</x:v>
      </x:c>
      <x:c r="H289" s="56"/>
      <x:c r="I289" s="56" t="n">
        <x:v>18.5</x:v>
      </x:c>
      <x:c r="J289" s="56"/>
      <x:c r="K289" s="56" t="n">
        <x:v>191</x:v>
      </x:c>
      <x:c r="L289" s="56" t="n">
        <x:v>4.5</x:v>
      </x:c>
      <x:c r="M289" s="56" t="str">
        <x:v>#298 Facial Toners</x:v>
      </x:c>
      <x:c r="N289" s="56" t="str">
        <x:v>300+ bought in past month</x:v>
      </x:c>
      <x:c r="O289" s="56" t="str">
        <x:v>In Stock</x:v>
      </x:c>
      <x:c r="P289" s="56" t="str">
        <x:v>Not calculated</x:v>
      </x:c>
      <x:c r="Q289" s="56" t="str">
        <x:v>Black Rice Toner displayed seller wishtrend and Amazon fulfillment.</x:v>
      </x:c>
      <x:c r="R289" s="56" t="str">
        <x:v>At least 300 units / $5,550 monthly gross floor</x:v>
      </x:c>
      <x:c r="S289" s="56" t="str">
        <x:v>Badge minimum multiplied by observed price; not audited revenue.</x:v>
      </x:c>
      <x:c r="T289" s="56" t="str">
        <x:v>High</x:v>
      </x:c>
      <x:c r="U289" s="56" t="str">
        <x:v>2026-08-01</x:v>
      </x:c>
      <x:c r="V289" s="56" t="str">
        <x:v>SRC-IMF-011,SRC-IMF-015</x:v>
      </x:c>
      <x:c r="W289" s="56" t="str">
        <x:v>Current role and inventory ownership require written confirmation.</x:v>
      </x:c>
    </x:row>
    <x:row r="290" ht="152" customHeight="1">
      <x:c r="A290" s="56" t="str">
        <x:v>CH-IMF-004</x:v>
      </x:c>
      <x:c r="B290" s="56" t="str">
        <x:v>KB018</x:v>
      </x:c>
      <x:c r="C290" s="56" t="str">
        <x:v>IMF-P003</x:v>
      </x:c>
      <x:c r="D290" s="56" t="str">
        <x:v>Amazon U.S.</x:v>
      </x:c>
      <x:c r="E290" s="56" t="str">
        <x:v>https://www.amazon.com/dp/B0GGL3M7GK</x:v>
      </x:c>
      <x:c r="F290" s="56" t="str">
        <x:v>Seller not captured in related display</x:v>
      </x:c>
      <x:c r="G290" s="56" t="str">
        <x:v>Seller/official status requires direct recheck</x:v>
      </x:c>
      <x:c r="H290" s="56" t="n">
        <x:v>36</x:v>
      </x:c>
      <x:c r="I290" s="56" t="n">
        <x:v>19.8</x:v>
      </x:c>
      <x:c r="J290" s="56" t="n">
        <x:v>0.45</x:v>
      </x:c>
      <x:c r="K290" s="56" t="n">
        <x:v>121</x:v>
      </x:c>
      <x:c r="L290" s="56" t="n">
        <x:v>4.6</x:v>
      </x:c>
      <x:c r="M290" s="56"/>
      <x:c r="N290" s="56" t="str">
        <x:v>No purchase badge verified</x:v>
      </x:c>
      <x:c r="O290" s="56" t="str">
        <x:v>Displayed in related products</x:v>
      </x:c>
      <x:c r="P290" s="56" t="str">
        <x:v>Not calculated</x:v>
      </x:c>
      <x:c r="Q290" s="56" t="str">
        <x:v>New Mugwort Essence appeared in the Rice Toner related-product display at $19.80 versus $36 list.</x:v>
      </x:c>
      <x:c r="R290" s="56" t="str">
        <x:v>Demand indicated; no numeric monthly estimate</x:v>
      </x:c>
      <x:c r="S290" s="56" t="str">
        <x:v>No current bought badge verified.</x:v>
      </x:c>
      <x:c r="T290" s="56" t="str">
        <x:v>Medium</x:v>
      </x:c>
      <x:c r="U290" s="56" t="str">
        <x:v>2026-08-01</x:v>
      </x:c>
      <x:c r="V290" s="56" t="str">
        <x:v>SRC-IMF-013</x:v>
      </x:c>
      <x:c r="W290" s="56" t="str">
        <x:v>Direct page cache was unavailable; recheck before commercial use.</x:v>
      </x:c>
    </x:row>
    <x:row r="291" ht="152" customHeight="1">
      <x:c r="A291" s="56" t="str">
        <x:v>CH-IMF-005</x:v>
      </x:c>
      <x:c r="B291" s="56" t="str">
        <x:v>KB018</x:v>
      </x:c>
      <x:c r="C291" s="56" t="str">
        <x:v>IMF-P004</x:v>
      </x:c>
      <x:c r="D291" s="56" t="str">
        <x:v>Amazon U.S.</x:v>
      </x:c>
      <x:c r="E291" s="56" t="str">
        <x:v>https://www.amazon.com/dp/B0GL886RZY</x:v>
      </x:c>
      <x:c r="F291" s="56" t="str">
        <x:v>Seller not captured in related display</x:v>
      </x:c>
      <x:c r="G291" s="56" t="str">
        <x:v>Seller/official status requires direct recheck</x:v>
      </x:c>
      <x:c r="H291" s="56" t="n">
        <x:v>30</x:v>
      </x:c>
      <x:c r="I291" s="56" t="n">
        <x:v>30</x:v>
      </x:c>
      <x:c r="J291" s="56" t="n">
        <x:v>0</x:v>
      </x:c>
      <x:c r="K291" s="56" t="n">
        <x:v>58</x:v>
      </x:c>
      <x:c r="L291" s="56" t="n">
        <x:v>4.5</x:v>
      </x:c>
      <x:c r="M291" s="56" t="str">
        <x:v>Amazon's Choice displayed</x:v>
      </x:c>
      <x:c r="N291" s="56" t="str">
        <x:v>No purchase badge verified</x:v>
      </x:c>
      <x:c r="O291" s="56" t="str">
        <x:v>Displayed in related products</x:v>
      </x:c>
      <x:c r="P291" s="56" t="str">
        <x:v>Not calculated</x:v>
      </x:c>
      <x:c r="Q291" s="56" t="str">
        <x:v>New Rice Cream appeared in related products at $30, 4.5/58 and Amazon's Choice.</x:v>
      </x:c>
      <x:c r="R291" s="56" t="str">
        <x:v>Demand indicated; no numeric monthly estimate</x:v>
      </x:c>
      <x:c r="S291" s="56" t="str">
        <x:v>No current bought badge verified.</x:v>
      </x:c>
      <x:c r="T291" s="56" t="str">
        <x:v>Medium</x:v>
      </x:c>
      <x:c r="U291" s="56" t="str">
        <x:v>2026-08-01</x:v>
      </x:c>
      <x:c r="V291" s="56" t="str">
        <x:v>SRC-IMF-012</x:v>
      </x:c>
      <x:c r="W291" s="56" t="str">
        <x:v>Do not attribute legacy ASIN reviews or unavailable status to the new listing.</x:v>
      </x:c>
    </x:row>
    <x:row r="292" ht="152" customHeight="1">
      <x:c r="A292" s="56" t="str">
        <x:v>CH-IMF-006</x:v>
      </x:c>
      <x:c r="B292" s="56" t="str">
        <x:v>KB018</x:v>
      </x:c>
      <x:c r="C292" s="56"/>
      <x:c r="D292" s="56" t="str">
        <x:v>Amazon U.S. — legacy Rice Toner</x:v>
      </x:c>
      <x:c r="E292" s="56" t="str">
        <x:v>https://www.amazon.com/dp/B07K23HV61</x:v>
      </x:c>
      <x:c r="F292" s="56" t="str">
        <x:v>Historical listing seller not used</x:v>
      </x:c>
      <x:c r="G292" s="56" t="str">
        <x:v>Legacy/replaced listing</x:v>
      </x:c>
      <x:c r="H292" s="56"/>
      <x:c r="I292" s="56"/>
      <x:c r="J292" s="56"/>
      <x:c r="K292" s="56"/>
      <x:c r="L292" s="56"/>
      <x:c r="M292" s="56" t="str">
        <x:v>Historical #231 Facial Toners</x:v>
      </x:c>
      <x:c r="N292" s="56" t="str">
        <x:v>600+ bought in past month displayed on unavailable page</x:v>
      </x:c>
      <x:c r="O292" s="56" t="str">
        <x:v>Currently Unavailable</x:v>
      </x:c>
      <x:c r="P292" s="56" t="str">
        <x:v>Not calculated</x:v>
      </x:c>
      <x:c r="Q292" s="56" t="str">
        <x:v>Older Rice Toner ASIN remained visible with a purchase badge but no current offer.</x:v>
      </x:c>
      <x:c r="R292" s="56" t="str">
        <x:v>Excluded from current sales floor</x:v>
      </x:c>
      <x:c r="S292" s="56" t="str">
        <x:v>Unavailable/replaced listing; risk of double counting.</x:v>
      </x:c>
      <x:c r="T292" s="56" t="str">
        <x:v>Medium-High</x:v>
      </x:c>
      <x:c r="U292" s="56" t="str">
        <x:v>2026-08-01</x:v>
      </x:c>
      <x:c r="V292" s="56" t="str">
        <x:v>SRC-IMF-016</x:v>
      </x:c>
      <x:c r="W292" s="56" t="str">
        <x:v>Evidence of ASIN transition, not additive current sales.</x:v>
      </x:c>
    </x:row>
    <x:row r="293" ht="152" customHeight="1">
      <x:c r="A293" s="56" t="str">
        <x:v>CH-IMF-007</x:v>
      </x:c>
      <x:c r="B293" s="56" t="str">
        <x:v>KB018</x:v>
      </x:c>
      <x:c r="C293" s="56"/>
      <x:c r="D293" s="56" t="str">
        <x:v>Amazon U.S. — legacy Rice Serum</x:v>
      </x:c>
      <x:c r="E293" s="56" t="str">
        <x:v>https://www.amazon.com/dp/B08GNYYXD9</x:v>
      </x:c>
      <x:c r="F293" s="56" t="str">
        <x:v>Historical listing seller not used</x:v>
      </x:c>
      <x:c r="G293" s="56" t="str">
        <x:v>Legacy/version status to confirm</x:v>
      </x:c>
      <x:c r="H293" s="56"/>
      <x:c r="I293" s="56" t="n">
        <x:v>22.75</x:v>
      </x:c>
      <x:c r="J293" s="56"/>
      <x:c r="K293" s="56"/>
      <x:c r="L293" s="56"/>
      <x:c r="M293" s="56" t="str">
        <x:v>Historical #624 Facial Serums</x:v>
      </x:c>
      <x:c r="N293" s="56" t="str">
        <x:v>500+ bought in past month on older crawl</x:v>
      </x:c>
      <x:c r="O293" s="56" t="str">
        <x:v>Status/version to recheck</x:v>
      </x:c>
      <x:c r="P293" s="56" t="str">
        <x:v>Not calculated</x:v>
      </x:c>
      <x:c r="Q293" s="56" t="str">
        <x:v>Older Rice Serum showed demand, but a new Rice Serum ASIN now appears in related products.</x:v>
      </x:c>
      <x:c r="R293" s="56" t="str">
        <x:v>Excluded from current sales floor</x:v>
      </x:c>
      <x:c r="S293" s="56" t="str">
        <x:v>Version continuity and current status were not established.</x:v>
      </x:c>
      <x:c r="T293" s="56" t="str">
        <x:v>Medium</x:v>
      </x:c>
      <x:c r="U293" s="56" t="str">
        <x:v>2026-08-01</x:v>
      </x:c>
      <x:c r="V293" s="56" t="str">
        <x:v>SRC-IMF-017</x:v>
      </x:c>
      <x:c r="W293" s="56" t="str">
        <x:v>Do not combine old and new ASINs.</x:v>
      </x:c>
    </x:row>
    <x:row r="294" ht="152" customHeight="1">
      <x:c r="A294" s="56" t="str">
        <x:v>CH-IMF-008</x:v>
      </x:c>
      <x:c r="B294" s="56" t="str">
        <x:v>KB018</x:v>
      </x:c>
      <x:c r="C294" s="56"/>
      <x:c r="D294" s="56" t="str">
        <x:v>Amazon U.S. — legacy Rice Cream</x:v>
      </x:c>
      <x:c r="E294" s="56" t="str">
        <x:v>https://www.amazon.com/dp/B08GPBH6G2</x:v>
      </x:c>
      <x:c r="F294" s="56" t="str">
        <x:v>Historical listing seller not used</x:v>
      </x:c>
      <x:c r="G294" s="56" t="str">
        <x:v>Legacy/replaced listing</x:v>
      </x:c>
      <x:c r="H294" s="56"/>
      <x:c r="I294" s="56"/>
      <x:c r="J294" s="56"/>
      <x:c r="K294" s="56"/>
      <x:c r="L294" s="56"/>
      <x:c r="M294" s="56"/>
      <x:c r="N294" s="56" t="str">
        <x:v>200+ bought in past month on unavailable page</x:v>
      </x:c>
      <x:c r="O294" s="56" t="str">
        <x:v>Currently Unavailable</x:v>
      </x:c>
      <x:c r="P294" s="56" t="str">
        <x:v>Not calculated</x:v>
      </x:c>
      <x:c r="Q294" s="56" t="str">
        <x:v>Older Rice Cream listing was unavailable while a new ASIN appeared separately.</x:v>
      </x:c>
      <x:c r="R294" s="56" t="str">
        <x:v>Excluded from current sales floor</x:v>
      </x:c>
      <x:c r="S294" s="56" t="str">
        <x:v>Unavailable/replaced listing; risk of double counting.</x:v>
      </x:c>
      <x:c r="T294" s="56" t="str">
        <x:v>Medium</x:v>
      </x:c>
      <x:c r="U294" s="56" t="str">
        <x:v>2026-08-01</x:v>
      </x:c>
      <x:c r="V294" s="56" t="str">
        <x:v>SRC-IMF-018</x:v>
      </x:c>
      <x:c r="W294" s="56" t="str">
        <x:v>Transition/version risk.</x:v>
      </x:c>
    </x:row>
    <x:row r="295" ht="152" customHeight="1">
      <x:c r="A295" s="56" t="str">
        <x:v>CH-IMF-009</x:v>
      </x:c>
      <x:c r="B295" s="56" t="str">
        <x:v>KB018</x:v>
      </x:c>
      <x:c r="C295" s="56"/>
      <x:c r="D295" s="56" t="str">
        <x:v>TikTok Shop U.S.</x:v>
      </x:c>
      <x:c r="E295" s="56" t="str">
        <x:v>https://shop.tiktok.com/us/k/im-from</x:v>
      </x:c>
      <x:c r="F295" s="56" t="str">
        <x:v>I'm From US</x:v>
      </x:c>
      <x:c r="G295" s="56" t="str">
        <x:v>Official shop observed</x:v>
      </x:c>
      <x:c r="H295" s="56"/>
      <x:c r="I295" s="56"/>
      <x:c r="J295" s="56"/>
      <x:c r="K295" s="56"/>
      <x:c r="L295" s="56"/>
      <x:c r="M295" s="56"/>
      <x:c r="N295" s="56" t="str">
        <x:v>Multiple cumulative sold displays</x:v>
      </x:c>
      <x:c r="O295" s="56" t="str">
        <x:v>Active</x:v>
      </x:c>
      <x:c r="P295" s="56" t="str">
        <x:v>Not calculated</x:v>
      </x:c>
      <x:c r="Q295" s="56" t="str">
        <x:v>Official-shop search returned Rice, Mugwort, Honey, masks, toners, serums and bundles.</x:v>
      </x:c>
      <x:c r="R295" s="56" t="str">
        <x:v>High cumulative social-commerce demand</x:v>
      </x:c>
      <x:c r="S295" s="56" t="str">
        <x:v>Platform-native cumulative sold displays; overlapping singles/bundles not summed.</x:v>
      </x:c>
      <x:c r="T295" s="56" t="str">
        <x:v>Medium-High</x:v>
      </x:c>
      <x:c r="U295" s="56" t="str">
        <x:v>2026-08-01</x:v>
      </x:c>
      <x:c r="V295" s="56" t="str">
        <x:v>SRC-IMF-019</x:v>
      </x:c>
      <x:c r="W295" s="56" t="str">
        <x:v>Dynamic platform data, not audited period sales.</x:v>
      </x:c>
    </x:row>
    <x:row r="296" ht="152" customHeight="1">
      <x:c r="A296" s="56" t="str">
        <x:v>CH-IMF-010</x:v>
      </x:c>
      <x:c r="B296" s="56" t="str">
        <x:v>KB018</x:v>
      </x:c>
      <x:c r="C296" s="56" t="str">
        <x:v>IMF-P001</x:v>
      </x:c>
      <x:c r="D296" s="56" t="str">
        <x:v>TikTok Shop U.S.</x:v>
      </x:c>
      <x:c r="E296" s="56" t="str">
        <x:v>https://shop.tiktok.com/us/k/im-from-rice-toner-pores</x:v>
      </x:c>
      <x:c r="F296" s="56" t="str">
        <x:v>I'm From US</x:v>
      </x:c>
      <x:c r="G296" s="56" t="str">
        <x:v>Official social-commerce listing</x:v>
      </x:c>
      <x:c r="H296" s="56" t="n">
        <x:v>28</x:v>
      </x:c>
      <x:c r="I296" s="56" t="n">
        <x:v>17.97</x:v>
      </x:c>
      <x:c r="J296" s="56" t="n">
        <x:v>0.3582</x:v>
      </x:c>
      <x:c r="K296" s="56"/>
      <x:c r="L296" s="56" t="n">
        <x:v>4.6</x:v>
      </x:c>
      <x:c r="M296" s="56"/>
      <x:c r="N296" s="56" t="str">
        <x:v>About 55.3K sold cumulative</x:v>
      </x:c>
      <x:c r="O296" s="56" t="str">
        <x:v>Active when indexed</x:v>
      </x:c>
      <x:c r="P296" s="56" t="str">
        <x:v>Not calculated</x:v>
      </x:c>
      <x:c r="Q296" s="56" t="str">
        <x:v>Rice Toner search display showed the brand's largest sampled cumulative sold count.</x:v>
      </x:c>
      <x:c r="R296" s="56" t="str">
        <x:v>Very strong cumulative demand</x:v>
      </x:c>
      <x:c r="S296" s="56" t="str">
        <x:v>Dynamic cumulative platform display; reporting period not defined.</x:v>
      </x:c>
      <x:c r="T296" s="56" t="str">
        <x:v>Medium-High</x:v>
      </x:c>
      <x:c r="U296" s="56" t="str">
        <x:v>2026-08-01</x:v>
      </x:c>
      <x:c r="V296" s="56" t="str">
        <x:v>SRC-IMF-020</x:v>
      </x:c>
      <x:c r="W296" s="56" t="str">
        <x:v>Do not equate with monthly sales.</x:v>
      </x:c>
    </x:row>
    <x:row r="297" ht="152" customHeight="1">
      <x:c r="A297" s="56" t="str">
        <x:v>CH-IMF-011</x:v>
      </x:c>
      <x:c r="B297" s="56" t="str">
        <x:v>KB018</x:v>
      </x:c>
      <x:c r="C297" s="56" t="str">
        <x:v>IMF-P003</x:v>
      </x:c>
      <x:c r="D297" s="56" t="str">
        <x:v>TikTok Shop U.S.</x:v>
      </x:c>
      <x:c r="E297" s="56" t="str">
        <x:v>https://shop.tiktok.com/us/pdp/mugwort-essence-by-im-from-korean-vegan-toner-for-sensitive-skin/1729438201938546925</x:v>
      </x:c>
      <x:c r="F297" s="56" t="str">
        <x:v>I'm From US</x:v>
      </x:c>
      <x:c r="G297" s="56" t="str">
        <x:v>Official social-commerce listing</x:v>
      </x:c>
      <x:c r="H297" s="56" t="n">
        <x:v>40</x:v>
      </x:c>
      <x:c r="I297" s="56" t="n">
        <x:v>40</x:v>
      </x:c>
      <x:c r="J297" s="56" t="n">
        <x:v>0</x:v>
      </x:c>
      <x:c r="K297" s="56"/>
      <x:c r="L297" s="56" t="n">
        <x:v>4.8</x:v>
      </x:c>
      <x:c r="M297" s="56"/>
      <x:c r="N297" s="56" t="str">
        <x:v>About 19.5K sold cumulative in search display</x:v>
      </x:c>
      <x:c r="O297" s="56" t="str">
        <x:v>Active when indexed</x:v>
      </x:c>
      <x:c r="P297" s="56" t="str">
        <x:v>Not calculated</x:v>
      </x:c>
      <x:c r="Q297" s="56" t="str">
        <x:v>Official Mugwort Essence listing supports legacy hero awareness.</x:v>
      </x:c>
      <x:c r="R297" s="56" t="str">
        <x:v>Strong cumulative demand</x:v>
      </x:c>
      <x:c r="S297" s="56" t="str">
        <x:v>Dynamic cumulative display; exact price/set context should be rechecked.</x:v>
      </x:c>
      <x:c r="T297" s="56" t="str">
        <x:v>Medium-High</x:v>
      </x:c>
      <x:c r="U297" s="56" t="str">
        <x:v>2026-08-01</x:v>
      </x:c>
      <x:c r="V297" s="56" t="str">
        <x:v>SRC-IMF-021</x:v>
      </x:c>
      <x:c r="W297" s="56" t="str">
        <x:v>Search result price may reflect listing/bundle variation.</x:v>
      </x:c>
    </x:row>
    <x:row r="298" ht="152" customHeight="1">
      <x:c r="A298" s="56" t="str">
        <x:v>CH-IMF-012</x:v>
      </x:c>
      <x:c r="B298" s="56" t="str">
        <x:v>KB018</x:v>
      </x:c>
      <x:c r="C298" s="56"/>
      <x:c r="D298" s="56" t="str">
        <x:v>TikTok Shop U.S.</x:v>
      </x:c>
      <x:c r="E298" s="56" t="str">
        <x:v>https://shop.tiktok.com/us/k/im-from</x:v>
      </x:c>
      <x:c r="F298" s="56" t="str">
        <x:v>I'm From US</x:v>
      </x:c>
      <x:c r="G298" s="56" t="str">
        <x:v>Official social-commerce listing</x:v>
      </x:c>
      <x:c r="H298" s="56"/>
      <x:c r="I298" s="56" t="n">
        <x:v>27.1</x:v>
      </x:c>
      <x:c r="J298" s="56"/>
      <x:c r="K298" s="56"/>
      <x:c r="L298" s="56" t="n">
        <x:v>4.8</x:v>
      </x:c>
      <x:c r="M298" s="56"/>
      <x:c r="N298" s="56" t="str">
        <x:v>About 22.4K Mugwort sheet-mask five-packs sold cumulative</x:v>
      </x:c>
      <x:c r="O298" s="56" t="str">
        <x:v>Active when indexed</x:v>
      </x:c>
      <x:c r="P298" s="56" t="str">
        <x:v>Not calculated</x:v>
      </x:c>
      <x:c r="Q298" s="56" t="str">
        <x:v>Mugwort Sheet Mask five-pack was a high-volume sampled mask listing.</x:v>
      </x:c>
      <x:c r="R298" s="56" t="str">
        <x:v>Strong cumulative format demand</x:v>
      </x:c>
      <x:c r="S298" s="56" t="str">
        <x:v>Dynamic cumulative display; not a monthly measure.</x:v>
      </x:c>
      <x:c r="T298" s="56" t="str">
        <x:v>Medium</x:v>
      </x:c>
      <x:c r="U298" s="56" t="str">
        <x:v>2026-08-01</x:v>
      </x:c>
      <x:c r="V298" s="56" t="str">
        <x:v>SRC-IMF-022</x:v>
      </x:c>
      <x:c r="W298" s="56" t="str">
        <x:v>Not interchangeable with Mugwort Essence or wash-off mask.</x:v>
      </x:c>
    </x:row>
    <x:row r="299" ht="152" customHeight="1">
      <x:c r="A299" s="56" t="str">
        <x:v>CH-IMF-013</x:v>
      </x:c>
      <x:c r="B299" s="56" t="str">
        <x:v>KB018</x:v>
      </x:c>
      <x:c r="C299" s="56"/>
      <x:c r="D299" s="56" t="str">
        <x:v>TikTok Shop U.S.</x:v>
      </x:c>
      <x:c r="E299" s="56" t="str">
        <x:v>https://shop.tiktok.com/us/k/im-from</x:v>
      </x:c>
      <x:c r="F299" s="56" t="str">
        <x:v>I'm From US</x:v>
      </x:c>
      <x:c r="G299" s="56" t="str">
        <x:v>Official social-commerce bundle</x:v>
      </x:c>
      <x:c r="H299" s="56"/>
      <x:c r="I299" s="56" t="n">
        <x:v>48.69</x:v>
      </x:c>
      <x:c r="J299" s="56"/>
      <x:c r="K299" s="56"/>
      <x:c r="L299" s="56" t="n">
        <x:v>4.5</x:v>
      </x:c>
      <x:c r="M299" s="56"/>
      <x:c r="N299" s="56" t="str">
        <x:v>About 14.4K Rice-line trios sold cumulative</x:v>
      </x:c>
      <x:c r="O299" s="56" t="str">
        <x:v>Active when indexed</x:v>
      </x:c>
      <x:c r="P299" s="56" t="str">
        <x:v>Not calculated</x:v>
      </x:c>
      <x:c r="Q299" s="56" t="str">
        <x:v>Rice bundle shows regimen-level demand beyond a single toner.</x:v>
      </x:c>
      <x:c r="R299" s="56" t="str">
        <x:v>Strong cumulative bundle demand</x:v>
      </x:c>
      <x:c r="S299" s="56" t="str">
        <x:v>Overlaps with component-SKU demand and is not summed.</x:v>
      </x:c>
      <x:c r="T299" s="56" t="str">
        <x:v>Medium</x:v>
      </x:c>
      <x:c r="U299" s="56" t="str">
        <x:v>2026-08-01</x:v>
      </x:c>
      <x:c r="V299" s="56" t="str">
        <x:v>SRC-IMF-023</x:v>
      </x:c>
      <x:c r="W299" s="56" t="str">
        <x:v>Exact bundle composition/price can change.</x:v>
      </x:c>
    </x:row>
    <x:row r="300" ht="152" customHeight="1">
      <x:c r="A300" s="56" t="str">
        <x:v>CH-IMF-014</x:v>
      </x:c>
      <x:c r="B300" s="56" t="str">
        <x:v>KB018</x:v>
      </x:c>
      <x:c r="C300" s="56" t="str">
        <x:v>IMF-P005</x:v>
      </x:c>
      <x:c r="D300" s="56" t="str">
        <x:v>TikTok Shop U.S.</x:v>
      </x:c>
      <x:c r="E300" s="56" t="str">
        <x:v>https://shop.tiktok.com/us/k/im-from</x:v>
      </x:c>
      <x:c r="F300" s="56" t="str">
        <x:v>I'm From US</x:v>
      </x:c>
      <x:c r="G300" s="56" t="str">
        <x:v>Official social-commerce listing</x:v>
      </x:c>
      <x:c r="H300" s="56" t="n">
        <x:v>35</x:v>
      </x:c>
      <x:c r="I300" s="56" t="n">
        <x:v>30</x:v>
      </x:c>
      <x:c r="J300" s="56" t="n">
        <x:v>0.1429</x:v>
      </x:c>
      <x:c r="K300" s="56"/>
      <x:c r="L300" s="56" t="n">
        <x:v>5</x:v>
      </x:c>
      <x:c r="M300" s="56"/>
      <x:c r="N300" s="56" t="str">
        <x:v>296 sold cumulative</x:v>
      </x:c>
      <x:c r="O300" s="56" t="str">
        <x:v>Active when indexed</x:v>
      </x:c>
      <x:c r="P300" s="56" t="str">
        <x:v>Not calculated</x:v>
      </x:c>
      <x:c r="Q300" s="56" t="str">
        <x:v>Current Honey Mask listing showed much lower sampled sold count than Rice and Mugwort heroes.</x:v>
      </x:c>
      <x:c r="R300" s="56" t="str">
        <x:v>Early/low current-version demand signal</x:v>
      </x:c>
      <x:c r="S300" s="56" t="str">
        <x:v>Cumulative, dynamic and not a period metric.</x:v>
      </x:c>
      <x:c r="T300" s="56" t="str">
        <x:v>Medium</x:v>
      </x:c>
      <x:c r="U300" s="56" t="str">
        <x:v>2026-08-01</x:v>
      </x:c>
      <x:c r="V300" s="56" t="str">
        <x:v>SRC-IMF-025</x:v>
      </x:c>
      <x:c r="W300" s="56" t="str">
        <x:v>Likely current smaller/reformulated mask; exact net content to confirm.</x:v>
      </x:c>
    </x:row>
    <x:row r="301" ht="152" customHeight="1">
      <x:c r="A301" s="56" t="str">
        <x:v>CH-IMF-015</x:v>
      </x:c>
      <x:c r="B301" s="56" t="str">
        <x:v>KB018</x:v>
      </x:c>
      <x:c r="C301" s="56"/>
      <x:c r="D301" s="56" t="str">
        <x:v>Ulta Beauty</x:v>
      </x:c>
      <x:c r="E301" s="56" t="str">
        <x:v>https://www.ulta.com/brand/im-from?category=skin-care</x:v>
      </x:c>
      <x:c r="F301" s="56" t="str">
        <x:v>Ulta Beauty</x:v>
      </x:c>
      <x:c r="G301" s="56" t="str">
        <x:v>Authorized national specialty retailer / first-party</x:v>
      </x:c>
      <x:c r="H301" s="56"/>
      <x:c r="I301" s="56"/>
      <x:c r="J301" s="56"/>
      <x:c r="K301" s="56"/>
      <x:c r="L301" s="56"/>
      <x:c r="M301" s="56" t="str">
        <x:v>10 products observed</x:v>
      </x:c>
      <x:c r="N301" s="56"/>
      <x:c r="O301" s="56" t="str">
        <x:v>Mixed / dynamic</x:v>
      </x:c>
      <x:c r="P301" s="56" t="str">
        <x:v>Not calculated</x:v>
      </x:c>
      <x:c r="Q301" s="56" t="str">
        <x:v>Current assortment included Rice Toner/Cream/Mask, Black Rice Toner, Rice sets/pads, Mugwort Cream/Cleanser and online-only items.</x:v>
      </x:c>
      <x:c r="R301" s="56" t="str">
        <x:v>Meaningful national specialty presence</x:v>
      </x:c>
      <x:c r="S301" s="56" t="str">
        <x:v>Assortment, stock, prices and reviews; no unit sales.</x:v>
      </x:c>
      <x:c r="T301" s="56" t="str">
        <x:v>High</x:v>
      </x:c>
      <x:c r="U301" s="56" t="str">
        <x:v>2026-08-01</x:v>
      </x:c>
      <x:c r="V301" s="56" t="str">
        <x:v>SRC-IMF-026,SRC-IMF-027,SRC-IMF-028</x:v>
      </x:c>
      <x:c r="W301" s="56" t="str">
        <x:v>Rice Toner 4.9/522 and Rice Cream 4.8/130 anchor proof.</x:v>
      </x:c>
    </x:row>
    <x:row r="302" ht="152" customHeight="1">
      <x:c r="A302" s="56" t="str">
        <x:v>CH-IMF-016</x:v>
      </x:c>
      <x:c r="B302" s="56" t="str">
        <x:v>KB018</x:v>
      </x:c>
      <x:c r="C302" s="56" t="str">
        <x:v>IMF-P001</x:v>
      </x:c>
      <x:c r="D302" s="56" t="str">
        <x:v>iHerb</x:v>
      </x:c>
      <x:c r="E302" s="56" t="str">
        <x:v>https://www.iherb.com/pr/i-m-from-rice-toner-5-07-fl-oz-150-ml/90196</x:v>
      </x:c>
      <x:c r="F302" s="56" t="str">
        <x:v>iHerb</x:v>
      </x:c>
      <x:c r="G302" s="56" t="str">
        <x:v>Direct/authorized sourcing claimed by retailer</x:v>
      </x:c>
      <x:c r="H302" s="56"/>
      <x:c r="I302" s="56" t="n">
        <x:v>24.5</x:v>
      </x:c>
      <x:c r="J302" s="56"/>
      <x:c r="K302" s="56" t="n">
        <x:v>6986</x:v>
      </x:c>
      <x:c r="L302" s="56" t="n">
        <x:v>4.7</x:v>
      </x:c>
      <x:c r="M302" s="56" t="str">
        <x:v>#2 K-Beauty Toners; #3 Rice Skin Care; #6 Toners; #34 K-Beauty</x:v>
      </x:c>
      <x:c r="N302" s="56" t="str">
        <x:v>2,000+ sold in 30 days</x:v>
      </x:c>
      <x:c r="O302" s="56" t="str">
        <x:v>Active</x:v>
      </x:c>
      <x:c r="P302" s="56" t="str">
        <x:v>Not calculated</x:v>
      </x:c>
      <x:c r="Q302" s="56" t="str">
        <x:v>Largest sampled independent retailer review base and strong category ranks.</x:v>
      </x:c>
      <x:c r="R302" s="56" t="str">
        <x:v>High retailer velocity</x:v>
      </x:c>
      <x:c r="S302" s="56" t="str">
        <x:v>Platform sold display, ranks and reviews; not audited brand revenue.</x:v>
      </x:c>
      <x:c r="T302" s="56" t="str">
        <x:v>High</x:v>
      </x:c>
      <x:c r="U302" s="56" t="str">
        <x:v>2026-08-01</x:v>
      </x:c>
      <x:c r="V302" s="56" t="str">
        <x:v>SRC-IMF-030</x:v>
      </x:c>
      <x:c r="W302" s="56" t="str">
        <x:v>Dynamic price/ranks.</x:v>
      </x:c>
    </x:row>
    <x:row r="303" ht="152" customHeight="1">
      <x:c r="A303" s="56" t="str">
        <x:v>CH-IMF-017</x:v>
      </x:c>
      <x:c r="B303" s="56" t="str">
        <x:v>KB018</x:v>
      </x:c>
      <x:c r="C303" s="56"/>
      <x:c r="D303" s="56" t="str">
        <x:v>Target</x:v>
      </x:c>
      <x:c r="E303" s="56" t="str">
        <x:v>https://www.target.com/c/skin-care-beauty/i-m-from/-/N-5xtzjZq643ler9lxa</x:v>
      </x:c>
      <x:c r="F303" s="56" t="str">
        <x:v>Mixed / check per listing</x:v>
      </x:c>
      <x:c r="G303" s="56" t="str">
        <x:v>First-party versus marketplace varies; confirm per SKU</x:v>
      </x:c>
      <x:c r="H303" s="56"/>
      <x:c r="I303" s="56"/>
      <x:c r="J303" s="56"/>
      <x:c r="K303" s="56"/>
      <x:c r="L303" s="56"/>
      <x:c r="M303" s="56"/>
      <x:c r="N303" s="56"/>
      <x:c r="O303" s="56" t="str">
        <x:v>Mixed / dynamic</x:v>
      </x:c>
      <x:c r="P303" s="56" t="str">
        <x:v>Not calculated</x:v>
      </x:c>
      <x:c r="Q303" s="56" t="str">
        <x:v>Search displayed Rice Toner, mini, Rice/Mugwort serums, Honey Mask and sheet-mask packs at varied prices.</x:v>
      </x:c>
      <x:c r="R303" s="56" t="str">
        <x:v>Verified visibility; commercial quality depends on seller</x:v>
      </x:c>
      <x:c r="S303" s="56" t="str">
        <x:v>Retail search display only; seller/provenance not uniform.</x:v>
      </x:c>
      <x:c r="T303" s="56" t="str">
        <x:v>Medium-High</x:v>
      </x:c>
      <x:c r="U303" s="56" t="str">
        <x:v>2026-08-01</x:v>
      </x:c>
      <x:c r="V303" s="56" t="str">
        <x:v>SRC-IMF-029</x:v>
      </x:c>
      <x:c r="W303" s="56" t="str">
        <x:v>Do not assume every Target-hosted listing is first-party or authorized.</x:v>
      </x:c>
    </x:row>
    <x:row r="304" ht="152" customHeight="1">
      <x:c r="A304" s="56" t="str">
        <x:v>CH-IMF-018</x:v>
      </x:c>
      <x:c r="B304" s="56" t="str">
        <x:v>KB018</x:v>
      </x:c>
      <x:c r="C304" s="56" t="str">
        <x:v>IMF-P001</x:v>
      </x:c>
      <x:c r="D304" s="56" t="str">
        <x:v>Walmart Marketplace</x:v>
      </x:c>
      <x:c r="E304" s="56" t="str">
        <x:v>https://www.walmart.com/ip/945570199</x:v>
      </x:c>
      <x:c r="F304" s="56" t="str">
        <x:v>Seller not verified in this pass</x:v>
      </x:c>
      <x:c r="G304" s="56" t="str">
        <x:v>Third-party marketplace / authorization unknown</x:v>
      </x:c>
      <x:c r="H304" s="56"/>
      <x:c r="I304" s="56"/>
      <x:c r="J304" s="56"/>
      <x:c r="K304" s="56" t="n">
        <x:v>691</x:v>
      </x:c>
      <x:c r="L304" s="56" t="n">
        <x:v>4.7</x:v>
      </x:c>
      <x:c r="M304" s="56"/>
      <x:c r="N304" s="56"/>
      <x:c r="O304" s="56" t="str">
        <x:v>Dynamic</x:v>
      </x:c>
      <x:c r="P304" s="56" t="str">
        <x:v>Not calculated</x:v>
      </x:c>
      <x:c r="Q304" s="56" t="str">
        <x:v>Walmart hosted a Rice Toner listing with a large review aggregate.</x:v>
      </x:c>
      <x:c r="R304" s="56" t="str">
        <x:v>Visibility and review signal only</x:v>
      </x:c>
      <x:c r="S304" s="56" t="str">
        <x:v>Marketplace seller, version, UPC, lot and authorization not confirmed.</x:v>
      </x:c>
      <x:c r="T304" s="56" t="str">
        <x:v>Medium</x:v>
      </x:c>
      <x:c r="U304" s="56" t="str">
        <x:v>2026-08-01</x:v>
      </x:c>
      <x:c r="V304" s="56" t="str">
        <x:v>SRC-IMF-031</x:v>
      </x:c>
      <x:c r="W304" s="56" t="str">
        <x:v>Gray-market/provenance diligence required.</x:v>
      </x:c>
    </x:row>
    <x:row r="305" ht="152" customHeight="1">
      <x:c r="A305" s="56" t="str">
        <x:v>CH-IMF-019</x:v>
      </x:c>
      <x:c r="B305" s="56" t="str">
        <x:v>KB018</x:v>
      </x:c>
      <x:c r="C305" s="56"/>
      <x:c r="D305" s="56" t="str">
        <x:v>Wishtrend / cross-border retail</x:v>
      </x:c>
      <x:c r="E305" s="56" t="str">
        <x:v>https://wishtrend.com/collections/im-from</x:v>
      </x:c>
      <x:c r="F305" s="56" t="str">
        <x:v>Wishtrend / listed retail partners</x:v>
      </x:c>
      <x:c r="G305" s="56" t="str">
        <x:v>Historical relationship; current assortment/rights unclear</x:v>
      </x:c>
      <x:c r="H305" s="56"/>
      <x:c r="I305" s="56"/>
      <x:c r="J305" s="56"/>
      <x:c r="K305" s="56"/>
      <x:c r="L305" s="56"/>
      <x:c r="M305" s="56"/>
      <x:c r="N305" s="56"/>
      <x:c r="O305" s="56" t="str">
        <x:v>I'm From collection showed no products when checked</x:v>
      </x:c>
      <x:c r="P305" s="56" t="str">
        <x:v>Not calculated</x:v>
      </x:c>
      <x:c r="Q305" s="56" t="str">
        <x:v>Wishtrend historically sold I'm From and published retailer partners, but its current corporate brand page omits I'm From and the collection was empty.</x:v>
      </x:c>
      <x:c r="R305" s="56" t="str">
        <x:v>Historical channel evidence; current role unresolved</x:v>
      </x:c>
      <x:c r="S305" s="56" t="str">
        <x:v>Conflicting current pages; written confirmation required.</x:v>
      </x:c>
      <x:c r="T305" s="56" t="str">
        <x:v>Medium</x:v>
      </x:c>
      <x:c r="U305" s="56" t="str">
        <x:v>2026-08-01</x:v>
      </x:c>
      <x:c r="V305" s="56" t="str">
        <x:v>SRC-IMF-032,SRC-IMF-033,SRC-IMF-034</x:v>
      </x:c>
      <x:c r="W305" s="56" t="str">
        <x:v>Do not treat legacy retailer list as current authorization proof.</x:v>
      </x:c>
    </x:row>
    <x:row r="306" ht="158" customHeight="1">
      <x:c r="A306" s="56" t="str">
        <x:v>CH-DKL-001</x:v>
      </x:c>
      <x:c r="B306" s="56" t="str">
        <x:v>KB019</x:v>
      </x:c>
      <x:c r="C306" s="56"/>
      <x:c r="D306" s="56" t="str">
        <x:v>Official U.S. DTC</x:v>
      </x:c>
      <x:c r="E306" s="56" t="str">
        <x:v>https://www.klairs.com</x:v>
      </x:c>
      <x:c r="F306" s="56" t="str">
        <x:v>WISHCOMPANY US CORP</x:v>
      </x:c>
      <x:c r="G306" s="56" t="str">
        <x:v>Verified official U.S. store</x:v>
      </x:c>
      <x:c r="H306" s="56"/>
      <x:c r="I306" s="56"/>
      <x:c r="J306" s="56"/>
      <x:c r="K306" s="56"/>
      <x:c r="L306" s="56"/>
      <x:c r="M306" s="56" t="str">
        <x:v>Full U.S. assortment</x:v>
      </x:c>
      <x:c r="N306" s="56"/>
      <x:c r="O306" s="56" t="str">
        <x:v>Active</x:v>
      </x:c>
      <x:c r="P306" s="56" t="str">
        <x:v>Not calculated</x:v>
      </x:c>
      <x:c r="Q306" s="56" t="str">
        <x:v>U.S.-focused DTC, support, membership and shipping from U.S.; free shipping threshold $30.</x:v>
      </x:c>
      <x:c r="R306" s="56" t="str">
        <x:v>Brand reports 60K+ U.S. members and 6,900+ first-party reviews</x:v>
      </x:c>
      <x:c r="S306" s="56" t="str">
        <x:v>Brand-reported scale; not audited revenue.</x:v>
      </x:c>
      <x:c r="T306" s="56" t="str">
        <x:v>High</x:v>
      </x:c>
      <x:c r="U306" s="56" t="str">
        <x:v>2026-08-01</x:v>
      </x:c>
      <x:c r="V306" s="56" t="str">
        <x:v>SRC-DKL-001,SRC-DKL-004,SRC-DKL-005,SRC-DKL-010</x:v>
      </x:c>
      <x:c r="W306" s="56" t="str">
        <x:v>Current homepage displayed pervasive 21%-96% discounts, including Klairs and other Wishcompany portfolio items.</x:v>
      </x:c>
    </x:row>
    <x:row r="307" ht="158" customHeight="1">
      <x:c r="A307" s="56" t="str">
        <x:v>CH-DKL-002</x:v>
      </x:c>
      <x:c r="B307" s="56" t="str">
        <x:v>KB019</x:v>
      </x:c>
      <x:c r="C307" s="56" t="str">
        <x:v>DKL-P001</x:v>
      </x:c>
      <x:c r="D307" s="56" t="str">
        <x:v>Amazon U.S.</x:v>
      </x:c>
      <x:c r="E307" s="56" t="str">
        <x:v>https://www.amazon.com/dp/B07B65NJLV</x:v>
      </x:c>
      <x:c r="F307" s="56" t="str">
        <x:v>wishtrend</x:v>
      </x:c>
      <x:c r="G307" s="56" t="str">
        <x:v>Official store/seller linked by brand; Amazon fulfilled</x:v>
      </x:c>
      <x:c r="H307" s="56" t="n">
        <x:v>22</x:v>
      </x:c>
      <x:c r="I307" s="56" t="n">
        <x:v>18.76</x:v>
      </x:c>
      <x:c r="J307" s="56" t="n">
        <x:v>0.1473</x:v>
      </x:c>
      <x:c r="K307" s="56" t="n">
        <x:v>5234</x:v>
      </x:c>
      <x:c r="L307" s="56" t="n">
        <x:v>4.6</x:v>
      </x:c>
      <x:c r="M307" s="56" t="str">
        <x:v>#110 Facial Toners; #15,790 Beauty</x:v>
      </x:c>
      <x:c r="N307" s="56" t="str">
        <x:v>2K+ bought in past month</x:v>
      </x:c>
      <x:c r="O307" s="56" t="str">
        <x:v>In Stock</x:v>
      </x:c>
      <x:c r="P307" s="56" t="str">
        <x:v>Not calculated</x:v>
      </x:c>
      <x:c r="Q307" s="56" t="str">
        <x:v>Unscented Toner showed official-brand-store link, seller wishtrend, Amazon fulfillment and Prime-eligible stock.</x:v>
      </x:c>
      <x:c r="R307" s="56" t="str">
        <x:v>At least 2,000 units / $37,520 monthly gross proxy</x:v>
      </x:c>
      <x:c r="S307" s="56" t="str">
        <x:v>Rounded badge minimum multiplied by observed price; dynamic and not audited.</x:v>
      </x:c>
      <x:c r="T307" s="56" t="str">
        <x:v>High</x:v>
      </x:c>
      <x:c r="U307" s="56" t="str">
        <x:v>2026-08-01</x:v>
      </x:c>
      <x:c r="V307" s="56" t="str">
        <x:v>SRC-DKL-016,SRC-DKL-021</x:v>
      </x:c>
      <x:c r="W307" s="56" t="str">
        <x:v>List price differs from official DTC $30 reference; seller relationship should be documented in wholesale agreement.</x:v>
      </x:c>
    </x:row>
    <x:row r="308" ht="158" customHeight="1">
      <x:c r="A308" s="56" t="str">
        <x:v>CH-DKL-003</x:v>
      </x:c>
      <x:c r="B308" s="56" t="str">
        <x:v>KB019</x:v>
      </x:c>
      <x:c r="C308" s="56" t="str">
        <x:v>DKL-P002</x:v>
      </x:c>
      <x:c r="D308" s="56" t="str">
        <x:v>Amazon U.S.</x:v>
      </x:c>
      <x:c r="E308" s="56" t="str">
        <x:v>https://www.amazon.com/dp/B010FOFSH0</x:v>
      </x:c>
      <x:c r="F308" s="56" t="str">
        <x:v>wishtrend</x:v>
      </x:c>
      <x:c r="G308" s="56" t="str">
        <x:v>Official store/seller linked by brand; Amazon fulfilled</x:v>
      </x:c>
      <x:c r="H308" s="56" t="n">
        <x:v>23</x:v>
      </x:c>
      <x:c r="I308" s="56" t="n">
        <x:v>17</x:v>
      </x:c>
      <x:c r="J308" s="56" t="n">
        <x:v>0.2609</x:v>
      </x:c>
      <x:c r="K308" s="56" t="n">
        <x:v>10978</x:v>
      </x:c>
      <x:c r="L308" s="56" t="n">
        <x:v>4.4</x:v>
      </x:c>
      <x:c r="M308" s="56" t="str">
        <x:v>#348 Facial Serums; #15,112 Beauty</x:v>
      </x:c>
      <x:c r="N308" s="56" t="str">
        <x:v>1K+ bought in past month</x:v>
      </x:c>
      <x:c r="O308" s="56" t="str">
        <x:v>In Stock in sampled offer</x:v>
      </x:c>
      <x:c r="P308" s="56" t="str">
        <x:v>Not calculated</x:v>
      </x:c>
      <x:c r="Q308" s="56" t="str">
        <x:v>Vitamin C Serum showed seller wishtrend, Amazon fulfillment and a long-running review base.</x:v>
      </x:c>
      <x:c r="R308" s="56" t="str">
        <x:v>At least 1,000 units / $17,000 monthly gross proxy</x:v>
      </x:c>
      <x:c r="S308" s="56" t="str">
        <x:v>Rounded badge minimum multiplied by observed price; page later showed no featured offer in one summary module.</x:v>
      </x:c>
      <x:c r="T308" s="56" t="str">
        <x:v>High</x:v>
      </x:c>
      <x:c r="U308" s="56" t="str">
        <x:v>2026-08-01</x:v>
      </x:c>
      <x:c r="V308" s="56" t="str">
        <x:v>SRC-DKL-017,SRC-DKL-021</x:v>
      </x:c>
      <x:c r="W308" s="56" t="str">
        <x:v>Dynamic offer and oxidation-sensitive stock age require monitoring.</x:v>
      </x:c>
    </x:row>
    <x:row r="309" ht="158" customHeight="1">
      <x:c r="A309" s="56" t="str">
        <x:v>CH-DKL-004</x:v>
      </x:c>
      <x:c r="B309" s="56" t="str">
        <x:v>KB019</x:v>
      </x:c>
      <x:c r="C309" s="56" t="str">
        <x:v>DKL-P003</x:v>
      </x:c>
      <x:c r="D309" s="56" t="str">
        <x:v>Amazon U.S.</x:v>
      </x:c>
      <x:c r="E309" s="56" t="str">
        <x:v>https://www.amazon.com/dp/B07GR1JDBT</x:v>
      </x:c>
      <x:c r="F309" s="56" t="str">
        <x:v>wishtrend</x:v>
      </x:c>
      <x:c r="G309" s="56" t="str">
        <x:v>Official store/seller linked by brand; Amazon fulfilled</x:v>
      </x:c>
      <x:c r="H309" s="56" t="n">
        <x:v>31</x:v>
      </x:c>
      <x:c r="I309" s="56" t="n">
        <x:v>14.95</x:v>
      </x:c>
      <x:c r="J309" s="56" t="n">
        <x:v>0.5177</x:v>
      </x:c>
      <x:c r="K309" s="56" t="n">
        <x:v>3022</x:v>
      </x:c>
      <x:c r="L309" s="56" t="n">
        <x:v>4.5</x:v>
      </x:c>
      <x:c r="M309" s="56" t="str">
        <x:v>#40 Facial Night Creams; #11,115 Beauty</x:v>
      </x:c>
      <x:c r="N309" s="56" t="str">
        <x:v>1K+ bought in past month</x:v>
      </x:c>
      <x:c r="O309" s="56" t="str">
        <x:v>In Stock</x:v>
      </x:c>
      <x:c r="P309" s="56" t="str">
        <x:v>Not calculated</x:v>
      </x:c>
      <x:c r="Q309" s="56" t="str">
        <x:v>Midnight Blue Calming Cream showed Amazon's Choice, seller wishtrend and Amazon fulfillment.</x:v>
      </x:c>
      <x:c r="R309" s="56" t="str">
        <x:v>At least 1,000 units / $14,950 monthly gross proxy</x:v>
      </x:c>
      <x:c r="S309" s="56" t="str">
        <x:v>Rounded badge minimum multiplied by sampled price; dynamic and not audited.</x:v>
      </x:c>
      <x:c r="T309" s="56" t="str">
        <x:v>High</x:v>
      </x:c>
      <x:c r="U309" s="56" t="str">
        <x:v>2026-08-01</x:v>
      </x:c>
      <x:c r="V309" s="56" t="str">
        <x:v>SRC-DKL-018,SRC-DKL-021</x:v>
      </x:c>
      <x:c r="W309" s="56" t="str">
        <x:v>Observed Amazon price was materially below official $31 list.</x:v>
      </x:c>
    </x:row>
    <x:row r="310" ht="158" customHeight="1">
      <x:c r="A310" s="56" t="str">
        <x:v>CH-DKL-005</x:v>
      </x:c>
      <x:c r="B310" s="56" t="str">
        <x:v>KB019</x:v>
      </x:c>
      <x:c r="C310" s="56" t="str">
        <x:v>DKL-P004</x:v>
      </x:c>
      <x:c r="D310" s="56" t="str">
        <x:v>Amazon U.S.</x:v>
      </x:c>
      <x:c r="E310" s="56" t="str">
        <x:v>https://www.amazon.com/dp/B092VNQS57</x:v>
      </x:c>
      <x:c r="F310" s="56" t="str">
        <x:v>wishtrend</x:v>
      </x:c>
      <x:c r="G310" s="56" t="str">
        <x:v>Official-store product; seller/offer observed</x:v>
      </x:c>
      <x:c r="H310" s="56" t="n">
        <x:v>26</x:v>
      </x:c>
      <x:c r="I310" s="56" t="n">
        <x:v>18.75</x:v>
      </x:c>
      <x:c r="J310" s="56" t="n">
        <x:v>0.2788</x:v>
      </x:c>
      <x:c r="K310" s="56" t="n">
        <x:v>1621</x:v>
      </x:c>
      <x:c r="L310" s="56" t="n">
        <x:v>4.6</x:v>
      </x:c>
      <x:c r="M310" s="56" t="str">
        <x:v>Related display; Amazon's Choice</x:v>
      </x:c>
      <x:c r="N310" s="56"/>
      <x:c r="O310" s="56" t="str">
        <x:v>In Stock in related display</x:v>
      </x:c>
      <x:c r="P310" s="56" t="str">
        <x:v>Not calculated</x:v>
      </x:c>
      <x:c r="Q310" s="56" t="str">
        <x:v>Toner-page related display showed Rich Moist Cream at $18.75, 4.6/1,621 and Amazon's Choice.</x:v>
      </x:c>
      <x:c r="R310" s="56" t="str">
        <x:v>Meaningful demand; no current monthly badge counted</x:v>
      </x:c>
      <x:c r="S310" s="56" t="str">
        <x:v>Review/rating and choice badge only; older direct-page badge excluded from current floor.</x:v>
      </x:c>
      <x:c r="T310" s="56" t="str">
        <x:v>Medium-High</x:v>
      </x:c>
      <x:c r="U310" s="56" t="str">
        <x:v>2026-08-01</x:v>
      </x:c>
      <x:c r="V310" s="56" t="str">
        <x:v>SRC-DKL-019</x:v>
      </x:c>
      <x:c r="W310" s="56" t="str">
        <x:v>Direct page crawl was older and contained formula/discount data that may not match the current listing.</x:v>
      </x:c>
    </x:row>
    <x:row r="311" ht="158" customHeight="1">
      <x:c r="A311" s="56" t="str">
        <x:v>CH-DKL-006</x:v>
      </x:c>
      <x:c r="B311" s="56" t="str">
        <x:v>KB019</x:v>
      </x:c>
      <x:c r="C311" s="56" t="str">
        <x:v>DKL-P005</x:v>
      </x:c>
      <x:c r="D311" s="56" t="str">
        <x:v>Amazon U.S.</x:v>
      </x:c>
      <x:c r="E311" s="56" t="str">
        <x:v>https://www.amazon.com/dp/B071GQP892</x:v>
      </x:c>
      <x:c r="F311" s="56" t="str">
        <x:v>wishtrend / seller to recheck</x:v>
      </x:c>
      <x:c r="G311" s="56" t="str">
        <x:v>Official-store related display; current offer requires recheck</x:v>
      </x:c>
      <x:c r="H311" s="56" t="n">
        <x:v>30</x:v>
      </x:c>
      <x:c r="I311" s="56" t="n">
        <x:v>18.99</x:v>
      </x:c>
      <x:c r="J311" s="56" t="n">
        <x:v>0.367</x:v>
      </x:c>
      <x:c r="K311" s="56" t="n">
        <x:v>1244</x:v>
      </x:c>
      <x:c r="L311" s="56" t="n">
        <x:v>4.4</x:v>
      </x:c>
      <x:c r="M311" s="56"/>
      <x:c r="N311" s="56"/>
      <x:c r="O311" s="56" t="str">
        <x:v>Related display</x:v>
      </x:c>
      <x:c r="P311" s="56" t="str">
        <x:v>Not calculated</x:v>
      </x:c>
      <x:c r="Q311" s="56" t="str">
        <x:v>Amazon related display showed Blue Youth Activating Drop at $18.99 versus $30 and about 1,244 ratings.</x:v>
      </x:c>
      <x:c r="R311" s="56" t="str">
        <x:v>Meaningful review depth; no current monthly badge counted</x:v>
      </x:c>
      <x:c r="S311" s="56" t="str">
        <x:v>Related-product display only.</x:v>
      </x:c>
      <x:c r="T311" s="56" t="str">
        <x:v>Medium</x:v>
      </x:c>
      <x:c r="U311" s="56" t="str">
        <x:v>2026-08-01</x:v>
      </x:c>
      <x:c r="V311" s="56" t="str">
        <x:v>SRC-DKL-020</x:v>
      </x:c>
      <x:c r="W311" s="56" t="str">
        <x:v>Exact 20 mL/50 mL variant, seller and offer should be rechecked before quotation.</x:v>
      </x:c>
    </x:row>
    <x:row r="312" ht="158" customHeight="1">
      <x:c r="A312" s="56" t="str">
        <x:v>CH-DKL-007</x:v>
      </x:c>
      <x:c r="B312" s="56" t="str">
        <x:v>KB019</x:v>
      </x:c>
      <x:c r="C312" s="56"/>
      <x:c r="D312" s="56" t="str">
        <x:v>TikTok Shop U.S.</x:v>
      </x:c>
      <x:c r="E312" s="56" t="str">
        <x:v>https://shop.tiktok.com/us/store/dear-klairs/7495351520906283775</x:v>
      </x:c>
      <x:c r="F312" s="56" t="str">
        <x:v>dear, Klairs</x:v>
      </x:c>
      <x:c r="G312" s="56" t="str">
        <x:v>Official Shop</x:v>
      </x:c>
      <x:c r="H312" s="56"/>
      <x:c r="I312" s="56"/>
      <x:c r="J312" s="56"/>
      <x:c r="K312" s="56"/>
      <x:c r="L312" s="56" t="n">
        <x:v>4.6</x:v>
      </x:c>
      <x:c r="M312" s="56"/>
      <x:c r="N312" s="56" t="str">
        <x:v>About 83.3K sold cumulative; 37.1K followers</x:v>
      </x:c>
      <x:c r="O312" s="56" t="str">
        <x:v>Active</x:v>
      </x:c>
      <x:c r="P312" s="56" t="str">
        <x:v>Not calculated</x:v>
      </x:c>
      <x:c r="Q312" s="56" t="str">
        <x:v>Official shop carried core, new and bundle assortment with verified-shop labeling.</x:v>
      </x:c>
      <x:c r="R312" s="56" t="str">
        <x:v>Strong cumulative social-commerce scale</x:v>
      </x:c>
      <x:c r="S312" s="56" t="str">
        <x:v>Cumulative store sold/follower displays; no period and not audited.</x:v>
      </x:c>
      <x:c r="T312" s="56" t="str">
        <x:v>Medium-High</x:v>
      </x:c>
      <x:c r="U312" s="56" t="str">
        <x:v>2026-08-01</x:v>
      </x:c>
      <x:c r="V312" s="56" t="str">
        <x:v>SRC-DKL-022</x:v>
      </x:c>
      <x:c r="W312" s="56" t="str">
        <x:v>Counts are dynamic and overlap across products and bundles.</x:v>
      </x:c>
    </x:row>
    <x:row r="313" ht="158" customHeight="1">
      <x:c r="A313" s="56" t="str">
        <x:v>CH-DKL-008</x:v>
      </x:c>
      <x:c r="B313" s="56" t="str">
        <x:v>KB019</x:v>
      </x:c>
      <x:c r="C313" s="56"/>
      <x:c r="D313" s="56" t="str">
        <x:v>TikTok Shop U.S.</x:v>
      </x:c>
      <x:c r="E313" s="56" t="str">
        <x:v>https://shop.tiktok.com/us/store/dear-klairs/7495351520906283775</x:v>
      </x:c>
      <x:c r="F313" s="56" t="str">
        <x:v>dear, Klairs</x:v>
      </x:c>
      <x:c r="G313" s="56" t="str">
        <x:v>Official social-commerce listing</x:v>
      </x:c>
      <x:c r="H313" s="56" t="n">
        <x:v>27</x:v>
      </x:c>
      <x:c r="I313" s="56" t="n">
        <x:v>22.94</x:v>
      </x:c>
      <x:c r="J313" s="56" t="n">
        <x:v>0.1504</x:v>
      </x:c>
      <x:c r="K313" s="56"/>
      <x:c r="L313" s="56" t="n">
        <x:v>4.7</x:v>
      </x:c>
      <x:c r="M313" s="56"/>
      <x:c r="N313" s="56" t="str">
        <x:v>About 8.5K sold cumulative</x:v>
      </x:c>
      <x:c r="O313" s="56" t="str">
        <x:v>Active when indexed</x:v>
      </x:c>
      <x:c r="P313" s="56" t="str">
        <x:v>Not calculated</x:v>
      </x:c>
      <x:c r="Q313" s="56" t="str">
        <x:v>Fundamental Ampule Mist was the largest sampled individual listing.</x:v>
      </x:c>
      <x:c r="R313" s="56" t="str">
        <x:v>Strong cumulative SKU demand</x:v>
      </x:c>
      <x:c r="S313" s="56" t="str">
        <x:v>Dynamic cumulative sold display; no reporting period.</x:v>
      </x:c>
      <x:c r="T313" s="56" t="str">
        <x:v>Medium-High</x:v>
      </x:c>
      <x:c r="U313" s="56" t="str">
        <x:v>2026-08-01</x:v>
      </x:c>
      <x:c r="V313" s="56" t="str">
        <x:v>SRC-DKL-023</x:v>
      </x:c>
      <x:c r="W313" s="56" t="str">
        <x:v>Not one of the five selected heroes, but important social-sales proof.</x:v>
      </x:c>
    </x:row>
    <x:row r="314" ht="158" customHeight="1">
      <x:c r="A314" s="56" t="str">
        <x:v>CH-DKL-009</x:v>
      </x:c>
      <x:c r="B314" s="56" t="str">
        <x:v>KB019</x:v>
      </x:c>
      <x:c r="C314" s="56" t="str">
        <x:v>DKL-P001</x:v>
      </x:c>
      <x:c r="D314" s="56" t="str">
        <x:v>TikTok Shop U.S.</x:v>
      </x:c>
      <x:c r="E314" s="56" t="str">
        <x:v>https://shop.tiktok.com/us/store/dear-klairs/7495351520906283775</x:v>
      </x:c>
      <x:c r="F314" s="56" t="str">
        <x:v>dear, Klairs</x:v>
      </x:c>
      <x:c r="G314" s="56" t="str">
        <x:v>Official social-commerce bundle</x:v>
      </x:c>
      <x:c r="H314" s="56" t="n">
        <x:v>87</x:v>
      </x:c>
      <x:c r="I314" s="56" t="n">
        <x:v>39.99</x:v>
      </x:c>
      <x:c r="J314" s="56" t="n">
        <x:v>0.5403</x:v>
      </x:c>
      <x:c r="K314" s="56"/>
      <x:c r="L314" s="56" t="n">
        <x:v>4.7</x:v>
      </x:c>
      <x:c r="M314" s="56"/>
      <x:c r="N314" s="56" t="str">
        <x:v>About 8.3K sold cumulative</x:v>
      </x:c>
      <x:c r="O314" s="56" t="str">
        <x:v>Active when indexed</x:v>
      </x:c>
      <x:c r="P314" s="56" t="str">
        <x:v>Not calculated</x:v>
      </x:c>
      <x:c r="Q314" s="56" t="str">
        <x:v>Skin Flooding Trio combined Unscented Toner, Fundamental Mist and Vitamin Essence Toner.</x:v>
      </x:c>
      <x:c r="R314" s="56" t="str">
        <x:v>Strong cumulative bundle demand</x:v>
      </x:c>
      <x:c r="S314" s="56" t="str">
        <x:v>Overlaps component demand; not additive.</x:v>
      </x:c>
      <x:c r="T314" s="56" t="str">
        <x:v>Medium-High</x:v>
      </x:c>
      <x:c r="U314" s="56" t="str">
        <x:v>2026-08-01</x:v>
      </x:c>
      <x:c r="V314" s="56" t="str">
        <x:v>SRC-DKL-024</x:v>
      </x:c>
      <x:c r="W314" s="56" t="str">
        <x:v>Bundle discount creates channel-conflict pressure.</x:v>
      </x:c>
    </x:row>
    <x:row r="315" ht="158" customHeight="1">
      <x:c r="A315" s="56" t="str">
        <x:v>CH-DKL-010</x:v>
      </x:c>
      <x:c r="B315" s="56" t="str">
        <x:v>KB019</x:v>
      </x:c>
      <x:c r="C315" s="56" t="str">
        <x:v>DKL-P005</x:v>
      </x:c>
      <x:c r="D315" s="56" t="str">
        <x:v>TikTok Shop U.S.</x:v>
      </x:c>
      <x:c r="E315" s="56" t="str">
        <x:v>https://shop.tiktok.com/us/k/dear-klairs</x:v>
      </x:c>
      <x:c r="F315" s="56" t="str">
        <x:v>dear, Klairs</x:v>
      </x:c>
      <x:c r="G315" s="56" t="str">
        <x:v>Official social-commerce listing</x:v>
      </x:c>
      <x:c r="H315" s="56" t="n">
        <x:v>30</x:v>
      </x:c>
      <x:c r="I315" s="56" t="n">
        <x:v>12.68</x:v>
      </x:c>
      <x:c r="J315" s="56" t="n">
        <x:v>0.5773</x:v>
      </x:c>
      <x:c r="K315" s="56"/>
      <x:c r="L315" s="56" t="n">
        <x:v>4.7</x:v>
      </x:c>
      <x:c r="M315" s="56"/>
      <x:c r="N315" s="56" t="str">
        <x:v>About 5.5K sold cumulative</x:v>
      </x:c>
      <x:c r="O315" s="56" t="str">
        <x:v>Active when indexed</x:v>
      </x:c>
      <x:c r="P315" s="56" t="str">
        <x:v>Not calculated</x:v>
      </x:c>
      <x:c r="Q315" s="56" t="str">
        <x:v>Blue Youth Activating Drop showed one of the shop's strongest sampled cumulative sold displays.</x:v>
      </x:c>
      <x:c r="R315" s="56" t="str">
        <x:v>Strong cumulative demand / current trend hero</x:v>
      </x:c>
      <x:c r="S315" s="56" t="str">
        <x:v>Dynamic cumulative sold display; exact variant and promotion change.</x:v>
      </x:c>
      <x:c r="T315" s="56" t="str">
        <x:v>Medium-High</x:v>
      </x:c>
      <x:c r="U315" s="56" t="str">
        <x:v>2026-08-01</x:v>
      </x:c>
      <x:c r="V315" s="56" t="str">
        <x:v>SRC-DKL-025</x:v>
      </x:c>
      <x:c r="W315" s="56" t="str">
        <x:v>Observed price was far below official U.S. list, increasing MAP and margin risk.</x:v>
      </x:c>
    </x:row>
    <x:row r="316" ht="158" customHeight="1">
      <x:c r="A316" s="56" t="str">
        <x:v>CH-DKL-011</x:v>
      </x:c>
      <x:c r="B316" s="56" t="str">
        <x:v>KB019</x:v>
      </x:c>
      <x:c r="C316" s="56"/>
      <x:c r="D316" s="56" t="str">
        <x:v>TikTok Shop U.S.</x:v>
      </x:c>
      <x:c r="E316" s="56" t="str">
        <x:v>https://shop.tiktok.com/us/k/dear-klairs</x:v>
      </x:c>
      <x:c r="F316" s="56" t="str">
        <x:v>dear, Klairs</x:v>
      </x:c>
      <x:c r="G316" s="56" t="str">
        <x:v>Official social-commerce listing</x:v>
      </x:c>
      <x:c r="H316" s="56" t="n">
        <x:v>31</x:v>
      </x:c>
      <x:c r="I316" s="56" t="n">
        <x:v>31</x:v>
      </x:c>
      <x:c r="J316" s="56" t="n">
        <x:v>0</x:v>
      </x:c>
      <x:c r="K316" s="56"/>
      <x:c r="L316" s="56" t="n">
        <x:v>4.8</x:v>
      </x:c>
      <x:c r="M316" s="56"/>
      <x:c r="N316" s="56" t="str">
        <x:v>About 5.4K sold cumulative</x:v>
      </x:c>
      <x:c r="O316" s="56" t="str">
        <x:v>Active when indexed</x:v>
      </x:c>
      <x:c r="P316" s="56" t="str">
        <x:v>Not calculated</x:v>
      </x:c>
      <x:c r="Q316" s="56" t="str">
        <x:v>Gentle Black Deep Cleansing Oil showed durable social-commerce demand.</x:v>
      </x:c>
      <x:c r="R316" s="56" t="str">
        <x:v>Strong cumulative cleansing demand</x:v>
      </x:c>
      <x:c r="S316" s="56" t="str">
        <x:v>Dynamic cumulative sold display.</x:v>
      </x:c>
      <x:c r="T316" s="56" t="str">
        <x:v>Medium</x:v>
      </x:c>
      <x:c r="U316" s="56" t="str">
        <x:v>2026-08-01</x:v>
      </x:c>
      <x:c r="V316" s="56" t="str">
        <x:v>SRC-DKL-026</x:v>
      </x:c>
      <x:c r="W316" s="56" t="str">
        <x:v>Secondary hero/category signal.</x:v>
      </x:c>
    </x:row>
    <x:row r="317" ht="158" customHeight="1">
      <x:c r="A317" s="56" t="str">
        <x:v>CH-DKL-012</x:v>
      </x:c>
      <x:c r="B317" s="56" t="str">
        <x:v>KB019</x:v>
      </x:c>
      <x:c r="C317" s="56" t="str">
        <x:v>DKL-P002</x:v>
      </x:c>
      <x:c r="D317" s="56" t="str">
        <x:v>TikTok Shop U.S.</x:v>
      </x:c>
      <x:c r="E317" s="56" t="str">
        <x:v>https://shop.tiktok.com/us/k/klairs-korean-skincare</x:v>
      </x:c>
      <x:c r="F317" s="56" t="str">
        <x:v>dear, Klairs</x:v>
      </x:c>
      <x:c r="G317" s="56" t="str">
        <x:v>Official social-commerce listing</x:v>
      </x:c>
      <x:c r="H317" s="56" t="n">
        <x:v>31</x:v>
      </x:c>
      <x:c r="I317" s="56" t="n">
        <x:v>27.89</x:v>
      </x:c>
      <x:c r="J317" s="56" t="n">
        <x:v>0.1003</x:v>
      </x:c>
      <x:c r="K317" s="56"/>
      <x:c r="L317" s="56" t="n">
        <x:v>4.7</x:v>
      </x:c>
      <x:c r="M317" s="56"/>
      <x:c r="N317" s="56" t="str">
        <x:v>About 1.3K sold cumulative</x:v>
      </x:c>
      <x:c r="O317" s="56" t="str">
        <x:v>Active when indexed</x:v>
      </x:c>
      <x:c r="P317" s="56" t="str">
        <x:v>Not calculated</x:v>
      </x:c>
      <x:c r="Q317" s="56" t="str">
        <x:v>Freshly Juiced Vitamin Drop retained visible social-commerce sales but trailed newer bundles/Blue items.</x:v>
      </x:c>
      <x:c r="R317" s="56" t="str">
        <x:v>Moderate cumulative demand</x:v>
      </x:c>
      <x:c r="S317" s="56" t="str">
        <x:v>Dynamic cumulative sold display.</x:v>
      </x:c>
      <x:c r="T317" s="56" t="str">
        <x:v>Medium</x:v>
      </x:c>
      <x:c r="U317" s="56" t="str">
        <x:v>2026-08-01</x:v>
      </x:c>
      <x:c r="V317" s="56" t="str">
        <x:v>SRC-DKL-027</x:v>
      </x:c>
      <x:c r="W317" s="56" t="str">
        <x:v>TikTok list/reference price differed from official DTC list.</x:v>
      </x:c>
    </x:row>
    <x:row r="318" ht="158" customHeight="1">
      <x:c r="A318" s="56" t="str">
        <x:v>CH-DKL-013</x:v>
      </x:c>
      <x:c r="B318" s="56" t="str">
        <x:v>KB019</x:v>
      </x:c>
      <x:c r="C318" s="56" t="str">
        <x:v>DKL-P003</x:v>
      </x:c>
      <x:c r="D318" s="56" t="str">
        <x:v>TikTok Shop U.S.</x:v>
      </x:c>
      <x:c r="E318" s="56" t="str">
        <x:v>https://shop.tiktok.com/us/k/dear-klairs</x:v>
      </x:c>
      <x:c r="F318" s="56" t="str">
        <x:v>dear, Klairs</x:v>
      </x:c>
      <x:c r="G318" s="56" t="str">
        <x:v>Official social-commerce listing</x:v>
      </x:c>
      <x:c r="H318" s="56"/>
      <x:c r="I318" s="56" t="n">
        <x:v>12.88</x:v>
      </x:c>
      <x:c r="J318" s="56"/>
      <x:c r="K318" s="56"/>
      <x:c r="L318" s="56" t="n">
        <x:v>4.5</x:v>
      </x:c>
      <x:c r="M318" s="56"/>
      <x:c r="N318" s="56" t="str">
        <x:v>About 449 sold cumulative</x:v>
      </x:c>
      <x:c r="O318" s="56" t="str">
        <x:v>Active when indexed</x:v>
      </x:c>
      <x:c r="P318" s="56" t="str">
        <x:v>Not calculated</x:v>
      </x:c>
      <x:c r="Q318" s="56" t="str">
        <x:v>20 g Midnight Blue Calming Cream listing showed modest standalone cumulative sales.</x:v>
      </x:c>
      <x:c r="R318" s="56" t="str">
        <x:v>Low-to-moderate current small-size signal</x:v>
      </x:c>
      <x:c r="S318" s="56" t="str">
        <x:v>Different size from 60 g hero; dynamic cumulative count.</x:v>
      </x:c>
      <x:c r="T318" s="56" t="str">
        <x:v>Medium</x:v>
      </x:c>
      <x:c r="U318" s="56" t="str">
        <x:v>2026-08-01</x:v>
      </x:c>
      <x:c r="V318" s="56" t="str">
        <x:v>SRC-DKL-028</x:v>
      </x:c>
      <x:c r="W318" s="56" t="str">
        <x:v>Do not compare directly with the 60 g Amazon hero without size normalization.</x:v>
      </x:c>
    </x:row>
    <x:row r="319" ht="158" customHeight="1">
      <x:c r="A319" s="56" t="str">
        <x:v>CH-DKL-014</x:v>
      </x:c>
      <x:c r="B319" s="56" t="str">
        <x:v>KB019</x:v>
      </x:c>
      <x:c r="C319" s="56"/>
      <x:c r="D319" s="56" t="str">
        <x:v>Olive Young U.S.</x:v>
      </x:c>
      <x:c r="E319" s="56" t="str">
        <x:v>https://www.klairs.com/pages/where-to-buy</x:v>
      </x:c>
      <x:c r="F319" s="56" t="str">
        <x:v>Olive Young U.S.</x:v>
      </x:c>
      <x:c r="G319" s="56" t="str">
        <x:v>Verified official retailer</x:v>
      </x:c>
      <x:c r="H319" s="56"/>
      <x:c r="I319" s="56"/>
      <x:c r="J319" s="56"/>
      <x:c r="K319" s="56"/>
      <x:c r="L319" s="56"/>
      <x:c r="M319" s="56" t="str">
        <x:v>Online + Pasadena and Century City stores</x:v>
      </x:c>
      <x:c r="N319" s="56"/>
      <x:c r="O319" s="56" t="str">
        <x:v>Active</x:v>
      </x:c>
      <x:c r="P319" s="56" t="str">
        <x:v>Not calculated</x:v>
      </x:c>
      <x:c r="Q319" s="56" t="str">
        <x:v>Official where-to-buy page verifies Olive Young U.S. online and two California stores; Blue Drop is a highlighted launch.</x:v>
      </x:c>
      <x:c r="R319" s="56" t="str">
        <x:v>Early but strategically important U.S. offline expansion</x:v>
      </x:c>
      <x:c r="S319" s="56" t="str">
        <x:v>Authorized placement; no public unit sales.</x:v>
      </x:c>
      <x:c r="T319" s="56" t="str">
        <x:v>High</x:v>
      </x:c>
      <x:c r="U319" s="56" t="str">
        <x:v>2026-08-01</x:v>
      </x:c>
      <x:c r="V319" s="56" t="str">
        <x:v>SRC-DKL-029</x:v>
      </x:c>
      <x:c r="W319" s="56" t="str">
        <x:v>Confirm account assortment, geographic plans and channel exclusions.</x:v>
      </x:c>
    </x:row>
    <x:row r="320" ht="158" customHeight="1">
      <x:c r="A320" s="56" t="str">
        <x:v>CH-DKL-015</x:v>
      </x:c>
      <x:c r="B320" s="56" t="str">
        <x:v>KB019</x:v>
      </x:c>
      <x:c r="C320" s="56"/>
      <x:c r="D320" s="56" t="str">
        <x:v>Walmart</x:v>
      </x:c>
      <x:c r="E320" s="56" t="str">
        <x:v>https://www.walmart.com/brand/dearklairs/20003890</x:v>
      </x:c>
      <x:c r="F320" s="56" t="str">
        <x:v>Listing seller(s) not verified per SKU</x:v>
      </x:c>
      <x:c r="G320" s="56" t="str">
        <x:v>Walmart-hosted brand page; not on brand's current verified U.S. retailer list</x:v>
      </x:c>
      <x:c r="H320" s="56"/>
      <x:c r="I320" s="56"/>
      <x:c r="J320" s="56"/>
      <x:c r="K320" s="56"/>
      <x:c r="L320" s="56"/>
      <x:c r="M320" s="56" t="str">
        <x:v>9 skincare listings observed</x:v>
      </x:c>
      <x:c r="N320" s="56"/>
      <x:c r="O320" s="56" t="str">
        <x:v>Active / dynamic</x:v>
      </x:c>
      <x:c r="P320" s="56" t="str">
        <x:v>Not calculated</x:v>
      </x:c>
      <x:c r="Q320" s="56" t="str">
        <x:v>Walmart displayed a DearKlairs brand page and products including toner and Blue Drop.</x:v>
      </x:c>
      <x:c r="R320" s="56" t="str">
        <x:v>Visibility and review signal only</x:v>
      </x:c>
      <x:c r="S320" s="56" t="str">
        <x:v>Seller, UPC, inventory source and authorization were not verified.</x:v>
      </x:c>
      <x:c r="T320" s="56" t="str">
        <x:v>Medium</x:v>
      </x:c>
      <x:c r="U320" s="56" t="str">
        <x:v>2026-08-01</x:v>
      </x:c>
      <x:c r="V320" s="56" t="str">
        <x:v>SRC-DKL-031</x:v>
      </x:c>
      <x:c r="W320" s="56" t="str">
        <x:v>Brand warns that sellers outside its verified list may be counterfeit or expired; audit each Walmart listing.</x:v>
      </x:c>
    </x:row>
    <x:row r="321" ht="158" customHeight="1">
      <x:c r="A321" s="56" t="str">
        <x:v>CH-DKL-016</x:v>
      </x:c>
      <x:c r="B321" s="56" t="str">
        <x:v>KB019</x:v>
      </x:c>
      <x:c r="C321" s="56" t="str">
        <x:v>DKL-P001</x:v>
      </x:c>
      <x:c r="D321" s="56" t="str">
        <x:v>iHerb</x:v>
      </x:c>
      <x:c r="E321" s="56" t="str">
        <x:v>https://www.iherb.com/pr/dear-klairs-supple-preparation-facial-toner-6-08-fl-oz-180-ml/79920</x:v>
      </x:c>
      <x:c r="F321" s="56" t="str">
        <x:v>iHerb</x:v>
      </x:c>
      <x:c r="G321" s="56" t="str">
        <x:v>Retailer claims direct/authorized sourcing; not on current U.S. official list</x:v>
      </x:c>
      <x:c r="H321" s="56"/>
      <x:c r="I321" s="56" t="n">
        <x:v>18.7</x:v>
      </x:c>
      <x:c r="J321" s="56"/>
      <x:c r="K321" s="56" t="n">
        <x:v>3448</x:v>
      </x:c>
      <x:c r="L321" s="56" t="n">
        <x:v>4.7</x:v>
      </x:c>
      <x:c r="M321" s="56"/>
      <x:c r="N321" s="56"/>
      <x:c r="O321" s="56" t="str">
        <x:v>Active</x:v>
      </x:c>
      <x:c r="P321" s="56" t="str">
        <x:v>Not calculated</x:v>
      </x:c>
      <x:c r="Q321" s="56" t="str">
        <x:v>Original toner page showed 4.7/3,448 and $18.70; iHerb states products are sourced from brands or authorized distributors.</x:v>
      </x:c>
      <x:c r="R321" s="56" t="str">
        <x:v>Strong global retailer review depth</x:v>
      </x:c>
      <x:c r="S321" s="56" t="str">
        <x:v>Reviews/global mix and current U.S. authorization not independently confirmed.</x:v>
      </x:c>
      <x:c r="T321" s="56" t="str">
        <x:v>Medium-High</x:v>
      </x:c>
      <x:c r="U321" s="56" t="str">
        <x:v>2026-08-01</x:v>
      </x:c>
      <x:c r="V321" s="56" t="str">
        <x:v>SRC-DKL-032,SRC-DKL-033</x:v>
      </x:c>
      <x:c r="W321" s="56" t="str">
        <x:v>Unscented toner separately showed 4.7/2,104.</x:v>
      </x:c>
    </x:row>
    <x:row r="322" ht="158" customHeight="1">
      <x:c r="A322" s="56" t="str">
        <x:v>CH-DKL-017</x:v>
      </x:c>
      <x:c r="B322" s="56" t="str">
        <x:v>KB019</x:v>
      </x:c>
      <x:c r="C322" s="56"/>
      <x:c r="D322" s="56" t="str">
        <x:v>YesStyle</x:v>
      </x:c>
      <x:c r="E322" s="56" t="str">
        <x:v>https://www.yesstyle.com/en/dear-klairs/list.html/bpt.299_bid.319235</x:v>
      </x:c>
      <x:c r="F322" s="56" t="str">
        <x:v>YesStyle</x:v>
      </x:c>
      <x:c r="G322" s="56" t="str">
        <x:v>Long-running cross-border retailer; current U.S. official status not verified</x:v>
      </x:c>
      <x:c r="H322" s="56"/>
      <x:c r="I322" s="56"/>
      <x:c r="J322" s="56"/>
      <x:c r="K322" s="56"/>
      <x:c r="L322" s="56"/>
      <x:c r="M322" s="56" t="str">
        <x:v>Broad Dear Klairs assortment</x:v>
      </x:c>
      <x:c r="N322" s="56"/>
      <x:c r="O322" s="56" t="str">
        <x:v>Active</x:v>
      </x:c>
      <x:c r="P322" s="56" t="str">
        <x:v>Not calculated</x:v>
      </x:c>
      <x:c r="Q322" s="56" t="str">
        <x:v>YesStyle maintained a current brand page and broad assortment.</x:v>
      </x:c>
      <x:c r="R322" s="56" t="str">
        <x:v>Global/cross-border visibility</x:v>
      </x:c>
      <x:c r="S322" s="56" t="str">
        <x:v>No U.S.-specific sales, seller or authorization evidence captured.</x:v>
      </x:c>
      <x:c r="T322" s="56" t="str">
        <x:v>Medium</x:v>
      </x:c>
      <x:c r="U322" s="56" t="str">
        <x:v>2026-08-01</x:v>
      </x:c>
      <x:c r="V322" s="56" t="str">
        <x:v>SRC-DKL-034</x:v>
      </x:c>
      <x:c r="W322" s="56" t="str">
        <x:v>Treat as cross-border competition/channel conflict until written authorization is provided.</x:v>
      </x:c>
    </x:row>
    <x:row r="323" ht="158" customHeight="1">
      <x:c r="A323" s="56" t="str">
        <x:v>CH-DKL-018</x:v>
      </x:c>
      <x:c r="B323" s="56" t="str">
        <x:v>KB019</x:v>
      </x:c>
      <x:c r="C323" s="56"/>
      <x:c r="D323" s="56" t="str">
        <x:v>Official U.S. Social</x:v>
      </x:c>
      <x:c r="E323" s="56" t="str">
        <x:v>https://www.klairs.com/pages/official-dear-klairs-us-store-guide</x:v>
      </x:c>
      <x:c r="F323" s="56" t="str">
        <x:v>@klairs.us</x:v>
      </x:c>
      <x:c r="G323" s="56" t="str">
        <x:v>Verified official Instagram/TikTok handles</x:v>
      </x:c>
      <x:c r="H323" s="56"/>
      <x:c r="I323" s="56"/>
      <x:c r="J323" s="56"/>
      <x:c r="K323" s="56"/>
      <x:c r="L323" s="56"/>
      <x:c r="M323" s="56"/>
      <x:c r="N323" s="56"/>
      <x:c r="O323" s="56" t="str">
        <x:v>Active</x:v>
      </x:c>
      <x:c r="P323" s="56" t="str">
        <x:v>Not calculated</x:v>
      </x:c>
      <x:c r="Q323" s="56" t="str">
        <x:v>Official U.S. guide identifies Instagram and TikTok @klairs.us plus YouTube and Discord.</x:v>
      </x:c>
      <x:c r="R323" s="56" t="str">
        <x:v>Verified presence; Instagram scale not quantified</x:v>
      </x:c>
      <x:c r="S323" s="56" t="str">
        <x:v>No reliable current Instagram follower snapshot was captured.</x:v>
      </x:c>
      <x:c r="T323" s="56" t="str">
        <x:v>Medium-High</x:v>
      </x:c>
      <x:c r="U323" s="56" t="str">
        <x:v>2026-08-01</x:v>
      </x:c>
      <x:c r="V323" s="56" t="str">
        <x:v>SRC-DKL-035</x:v>
      </x:c>
      <x:c r="W323" s="56" t="str">
        <x:v>Use platform-native analytics before campaign planning.</x:v>
      </x:c>
    </x:row>
    <x:row r="324" ht="158" customHeight="1">
      <x:c r="A324" s="56" t="str">
        <x:v>CH-DKL-019</x:v>
      </x:c>
      <x:c r="B324" s="56" t="str">
        <x:v>KB019</x:v>
      </x:c>
      <x:c r="C324" s="56"/>
      <x:c r="D324" s="56" t="str">
        <x:v>Other U.S. Retail / Gap Check</x:v>
      </x:c>
      <x:c r="E324" s="56" t="str">
        <x:v>https://www.klairs.com/pages/where-to-buy</x:v>
      </x:c>
      <x:c r="F324" s="56" t="str">
        <x:v>No authorized seller established</x:v>
      </x:c>
      <x:c r="G324" s="56" t="str">
        <x:v>Ulta, Sephora U.S., Target, CVS, Walgreens and Costco were not identified on the current official U.S. retailer page</x:v>
      </x:c>
      <x:c r="H324" s="56"/>
      <x:c r="I324" s="56"/>
      <x:c r="J324" s="56"/>
      <x:c r="K324" s="56"/>
      <x:c r="L324" s="56"/>
      <x:c r="M324" s="56"/>
      <x:c r="N324" s="56"/>
      <x:c r="O324" s="56" t="str">
        <x:v>Not verified as current authorized channels</x:v>
      </x:c>
      <x:c r="P324" s="56" t="str">
        <x:v>Not calculated</x:v>
      </x:c>
      <x:c r="Q324" s="56" t="str">
        <x:v>Current official list is limited to DTC, Amazon, Olive Young U.S. and TikTok Shop.</x:v>
      </x:c>
      <x:c r="R324" s="56" t="str">
        <x:v>White space may remain in selected retail accounts</x:v>
      </x:c>
      <x:c r="S324" s="56" t="str">
        <x:v>Official-list omission is scoped negative evidence, not proof that no commercial relationship exists.</x:v>
      </x:c>
      <x:c r="T324" s="56" t="str">
        <x:v>Medium</x:v>
      </x:c>
      <x:c r="U324" s="56" t="str">
        <x:v>2026-08-01</x:v>
      </x:c>
      <x:c r="V324" s="56" t="str">
        <x:v>SRC-DKL-036</x:v>
      </x:c>
      <x:c r="W324" s="56" t="str">
        <x:v>Confirm through line sheet/account restrictions before pursuing any named retailer.</x:v>
      </x:c>
    </x:row>
    <x:row r="325" ht="166" customHeight="1">
      <x:c r="A325" s="56" t="str">
        <x:v>CH-HHW-001</x:v>
      </x:c>
      <x:c r="B325" s="56" t="str">
        <x:v>KB020</x:v>
      </x:c>
      <x:c r="C325" s="56"/>
      <x:c r="D325" s="56" t="str">
        <x:v>Official Global DTC</x:v>
      </x:c>
      <x:c r="E325" s="56" t="str">
        <x:v>https://haruharuwonder.com</x:v>
      </x:c>
      <x:c r="F325" s="56" t="str">
        <x:v>Haruharu Wonder</x:v>
      </x:c>
      <x:c r="G325" s="56" t="str">
        <x:v>Verified current official global/DTC site</x:v>
      </x:c>
      <x:c r="H325" s="56"/>
      <x:c r="I325" s="56"/>
      <x:c r="J325" s="56"/>
      <x:c r="K325" s="56"/>
      <x:c r="L325" s="56"/>
      <x:c r="M325" s="56" t="str">
        <x:v>31+ current products across black rice, barrier, centella, PDRN, bamboo and SPF</x:v>
      </x:c>
      <x:c r="N325" s="56"/>
      <x:c r="O325" s="56" t="str">
        <x:v>Active</x:v>
      </x:c>
      <x:c r="P325" s="56" t="str">
        <x:v>Not calculated</x:v>
      </x:c>
      <x:c r="Q325" s="56" t="str">
        <x:v>Current site lists products, U.S. regional office, support and wholesale contacts.</x:v>
      </x:c>
      <x:c r="R325" s="56" t="str">
        <x:v>Direct brand control and full assortment</x:v>
      </x:c>
      <x:c r="S325" s="56" t="str">
        <x:v>Global catalog and U.S. legal/fulfillment scope require confirmation; SPF is not cleared.</x:v>
      </x:c>
      <x:c r="T325" s="56" t="str">
        <x:v>High</x:v>
      </x:c>
      <x:c r="U325" s="56" t="str">
        <x:v>2026-08-01</x:v>
      </x:c>
      <x:c r="V325" s="56" t="str">
        <x:v>SRC-HHW-002,SRC-HHW-005,SRC-HHW-008</x:v>
      </x:c>
      <x:c r="W325" s="56" t="str">
        <x:v>Use as current official site; preserve obsolete controlling-source URL in Source field.</x:v>
      </x:c>
    </x:row>
    <x:row r="326" ht="166" customHeight="1">
      <x:c r="A326" s="56" t="str">
        <x:v>CH-HHW-002</x:v>
      </x:c>
      <x:c r="B326" s="56" t="str">
        <x:v>KB020</x:v>
      </x:c>
      <x:c r="C326" s="56"/>
      <x:c r="D326" s="56" t="str">
        <x:v>U.S. DTC Portal</x:v>
      </x:c>
      <x:c r="E326" s="56" t="str">
        <x:v>https://haruharuusa.com</x:v>
      </x:c>
      <x:c r="F326" s="56" t="str">
        <x:v>DFS USA INC / StyleKorean-affiliated operation</x:v>
      </x:c>
      <x:c r="G326" s="56" t="str">
        <x:v>Site terms and privacy policy verified; exact relationship to Haruharu Wonder USA, Inc. requires diligence</x:v>
      </x:c>
      <x:c r="H326" s="56"/>
      <x:c r="I326" s="56"/>
      <x:c r="J326" s="56"/>
      <x:c r="K326" s="56"/>
      <x:c r="L326" s="56"/>
      <x:c r="M326" s="56" t="str">
        <x:v>U.S.-facing cosmetic assortment; no SPF category observed in scoped navigation</x:v>
      </x:c>
      <x:c r="N326" s="56"/>
      <x:c r="O326" s="56" t="str">
        <x:v>Active</x:v>
      </x:c>
      <x:c r="P326" s="56" t="str">
        <x:v>Not calculated</x:v>
      </x:c>
      <x:c r="Q326" s="56" t="str">
        <x:v>Terms identify DFS USA INC in Irvine; privacy policy groups StyleKorean and Haruharu Wonder USA Official.</x:v>
      </x:c>
      <x:c r="R326" s="56" t="str">
        <x:v>Potential U.S. operating/fulfillment route</x:v>
      </x:c>
      <x:c r="S326" s="56" t="str">
        <x:v>Multiple entity names, different addresses and relationship to global DTC remain unresolved.</x:v>
      </x:c>
      <x:c r="T326" s="56" t="str">
        <x:v>Medium-High</x:v>
      </x:c>
      <x:c r="U326" s="56" t="str">
        <x:v>2026-08-01</x:v>
      </x:c>
      <x:c r="V326" s="56" t="str">
        <x:v>SRC-HHW-006,SRC-HHW-007</x:v>
      </x:c>
      <x:c r="W326" s="56" t="str">
        <x:v>Obtain corporate chart, contracts, importer/responsible-person evidence and authorized channel map.</x:v>
      </x:c>
    </x:row>
    <x:row r="327" ht="166" customHeight="1">
      <x:c r="A327" s="56" t="str">
        <x:v>CH-HHW-003</x:v>
      </x:c>
      <x:c r="B327" s="56" t="str">
        <x:v>KB020</x:v>
      </x:c>
      <x:c r="C327" s="56"/>
      <x:c r="D327" s="56" t="str">
        <x:v>Amazon U.S. Brand Store</x:v>
      </x:c>
      <x:c r="E327" s="56" t="str">
        <x:v>https://www.amazon.com/stores/HARUHARU/page/</x:v>
      </x:c>
      <x:c r="F327" s="56" t="str">
        <x:v>Mixed by SKU</x:v>
      </x:c>
      <x:c r="G327" s="56" t="str">
        <x:v>Official Linktree identifies Amazon U.S.; seller must be checked per offer</x:v>
      </x:c>
      <x:c r="H327" s="56"/>
      <x:c r="I327" s="56"/>
      <x:c r="J327" s="56"/>
      <x:c r="K327" s="56"/>
      <x:c r="L327" s="56"/>
      <x:c r="M327" s="56" t="str">
        <x:v>Broad HARUHARU storefront and product pages</x:v>
      </x:c>
      <x:c r="N327" s="56"/>
      <x:c r="O327" s="56" t="str">
        <x:v>Active / dynamic</x:v>
      </x:c>
      <x:c r="P327" s="56" t="str">
        <x:v>Not calculated</x:v>
      </x:c>
      <x:c r="Q327" s="56" t="str">
        <x:v>Official Linktree points to Amazon U.S., but individual offers can rotate to third-party sellers.</x:v>
      </x:c>
      <x:c r="R327" s="56" t="str">
        <x:v>Exceptional demand and replenishment reach</x:v>
      </x:c>
      <x:c r="S327" s="56" t="str">
        <x:v>Storefront affiliation does not establish the offer seller, authorization or authenticity per SKU.</x:v>
      </x:c>
      <x:c r="T327" s="56" t="str">
        <x:v>High</x:v>
      </x:c>
      <x:c r="U327" s="56" t="str">
        <x:v>2026-08-01</x:v>
      </x:c>
      <x:c r="V327" s="56" t="str">
        <x:v>SRC-HHW-009,SRC-HHW-020,SRC-HHW-040</x:v>
      </x:c>
      <x:c r="W327" s="56" t="str">
        <x:v>Require seller-level controls, UPC/lot verification and brand letters.</x:v>
      </x:c>
    </x:row>
    <x:row r="328" ht="166" customHeight="1">
      <x:c r="A328" s="56" t="str">
        <x:v>CH-HHW-004</x:v>
      </x:c>
      <x:c r="B328" s="56" t="str">
        <x:v>KB020</x:v>
      </x:c>
      <x:c r="C328" s="56" t="str">
        <x:v>HHW-P001</x:v>
      </x:c>
      <x:c r="D328" s="56" t="str">
        <x:v>Amazon U.S.</x:v>
      </x:c>
      <x:c r="E328" s="56" t="str">
        <x:v>https://www.amazon.com/dp/B0D95M72BF</x:v>
      </x:c>
      <x:c r="F328" s="56" t="str">
        <x:v>Haruharu wonder</x:v>
      </x:c>
      <x:c r="G328" s="56" t="str">
        <x:v>Seller displayed as Haruharu wonder; Amazon fulfilled</x:v>
      </x:c>
      <x:c r="H328" s="56"/>
      <x:c r="I328" s="56" t="n">
        <x:v>19.99</x:v>
      </x:c>
      <x:c r="J328" s="56"/>
      <x:c r="K328" s="56"/>
      <x:c r="L328" s="56"/>
      <x:c r="M328" s="56" t="str">
        <x:v>10K+ bought/month; #21 Facial Toners</x:v>
      </x:c>
      <x:c r="N328" s="56"/>
      <x:c r="O328" s="56" t="str">
        <x:v>Active</x:v>
      </x:c>
      <x:c r="P328" s="56" t="str">
        <x:v>At least $199,900/month gross proxy</x:v>
      </x:c>
      <x:c r="Q328" s="56" t="str">
        <x:v>Direct page showed official-seller identity, 10K+ purchase badge, $19.99 one-time and #2,360 Beauty.</x:v>
      </x:c>
      <x:c r="R328" s="56" t="str">
        <x:v>Largest current official-seller sampled hero</x:v>
      </x:c>
      <x:c r="S328" s="56" t="str">
        <x:v>Dynamic badge/rank/price; brand ownership of seller account still requires documentary proof.</x:v>
      </x:c>
      <x:c r="T328" s="56" t="str">
        <x:v>High</x:v>
      </x:c>
      <x:c r="U328" s="56" t="str">
        <x:v>2026-08-01</x:v>
      </x:c>
      <x:c r="V328" s="56" t="str">
        <x:v>SRC-HHW-021,SRC-HHW-026</x:v>
      </x:c>
      <x:c r="W328" s="56" t="str">
        <x:v>Rounded minimum, not audited revenue.</x:v>
      </x:c>
    </x:row>
    <x:row r="329" ht="166" customHeight="1">
      <x:c r="A329" s="56" t="str">
        <x:v>CH-HHW-005</x:v>
      </x:c>
      <x:c r="B329" s="56" t="str">
        <x:v>KB020</x:v>
      </x:c>
      <x:c r="C329" s="56" t="str">
        <x:v>HHW-P002</x:v>
      </x:c>
      <x:c r="D329" s="56" t="str">
        <x:v>Amazon U.S.</x:v>
      </x:c>
      <x:c r="E329" s="56" t="str">
        <x:v>https://www.amazon.com/dp/B08W1ZHTL3</x:v>
      </x:c>
      <x:c r="F329" s="56" t="str">
        <x:v>Haruharu wonder</x:v>
      </x:c>
      <x:c r="G329" s="56" t="str">
        <x:v>Seller displayed as Haruharu wonder; Amazon fulfilled</x:v>
      </x:c>
      <x:c r="H329" s="56"/>
      <x:c r="I329" s="56" t="n">
        <x:v>15.99</x:v>
      </x:c>
      <x:c r="J329" s="56"/>
      <x:c r="K329" s="56" t="n">
        <x:v>4381</x:v>
      </x:c>
      <x:c r="L329" s="56" t="n">
        <x:v>4.4</x:v>
      </x:c>
      <x:c r="M329" s="56" t="str">
        <x:v>8K+ bought/month; 800+ bought/week; #6 Makeup Cleansing Oils</x:v>
      </x:c>
      <x:c r="N329" s="56"/>
      <x:c r="O329" s="56" t="str">
        <x:v>Active</x:v>
      </x:c>
      <x:c r="P329" s="56" t="str">
        <x:v>At least $127,920/month gross proxy</x:v>
      </x:c>
      <x:c r="Q329" s="56" t="str">
        <x:v>Direct page showed current seller, one-time price, review aggregate and category rank.</x:v>
      </x:c>
      <x:c r="R329" s="56" t="str">
        <x:v>High-velocity replenishment and strong review depth</x:v>
      </x:c>
      <x:c r="S329" s="56" t="str">
        <x:v>Eye irritation/breakout reports; dynamic page modules and discounting.</x:v>
      </x:c>
      <x:c r="T329" s="56" t="str">
        <x:v>High</x:v>
      </x:c>
      <x:c r="U329" s="56" t="str">
        <x:v>2026-08-01</x:v>
      </x:c>
      <x:c r="V329" s="56" t="str">
        <x:v>SRC-HHW-022,SRC-HHW-027,SRC-HHW-039</x:v>
      </x:c>
      <x:c r="W329" s="56" t="str">
        <x:v>Rounded minimum, not audited revenue.</x:v>
      </x:c>
    </x:row>
    <x:row r="330" ht="166" customHeight="1">
      <x:c r="A330" s="56" t="str">
        <x:v>CH-HHW-006</x:v>
      </x:c>
      <x:c r="B330" s="56" t="str">
        <x:v>KB020</x:v>
      </x:c>
      <x:c r="C330" s="56" t="str">
        <x:v>HHW-P003</x:v>
      </x:c>
      <x:c r="D330" s="56" t="str">
        <x:v>Amazon U.S.</x:v>
      </x:c>
      <x:c r="E330" s="56" t="str">
        <x:v>https://www.amazon.com/dp/B0971YC8W1</x:v>
      </x:c>
      <x:c r="F330" s="56" t="str">
        <x:v>Haruharu wonder</x:v>
      </x:c>
      <x:c r="G330" s="56" t="str">
        <x:v>Seller displayed as Haruharu wonder; Amazon fulfilled</x:v>
      </x:c>
      <x:c r="H330" s="56"/>
      <x:c r="I330" s="56" t="n">
        <x:v>13.99</x:v>
      </x:c>
      <x:c r="J330" s="56"/>
      <x:c r="K330" s="56"/>
      <x:c r="L330" s="56"/>
      <x:c r="M330" s="56" t="str">
        <x:v>3K+ bought/month; #41 Facial Toners</x:v>
      </x:c>
      <x:c r="N330" s="56"/>
      <x:c r="O330" s="56" t="str">
        <x:v>Active</x:v>
      </x:c>
      <x:c r="P330" s="56" t="str">
        <x:v>At least $41,970/month gross proxy</x:v>
      </x:c>
      <x:c r="Q330" s="56" t="str">
        <x:v>Direct page showed current seller, one-time price, purchase badge and rank.</x:v>
      </x:c>
      <x:c r="R330" s="56" t="str">
        <x:v>Legacy hero replenishment and low price</x:v>
      </x:c>
      <x:c r="S330" s="56" t="str">
        <x:v>Original/unscented variant confusion and strong price compression.</x:v>
      </x:c>
      <x:c r="T330" s="56" t="str">
        <x:v>High</x:v>
      </x:c>
      <x:c r="U330" s="56" t="str">
        <x:v>2026-08-01</x:v>
      </x:c>
      <x:c r="V330" s="56" t="str">
        <x:v>SRC-HHW-023,SRC-HHW-028</x:v>
      </x:c>
      <x:c r="W330" s="56" t="str">
        <x:v>Rounded minimum, not audited revenue.</x:v>
      </x:c>
    </x:row>
    <x:row r="331" ht="166" customHeight="1">
      <x:c r="A331" s="56" t="str">
        <x:v>CH-HHW-007</x:v>
      </x:c>
      <x:c r="B331" s="56" t="str">
        <x:v>KB020</x:v>
      </x:c>
      <x:c r="C331" s="56" t="str">
        <x:v>HHW-P005</x:v>
      </x:c>
      <x:c r="D331" s="56" t="str">
        <x:v>Amazon U.S.</x:v>
      </x:c>
      <x:c r="E331" s="56" t="str">
        <x:v>https://www.amazon.com/dp/B0BZ3G9GKL</x:v>
      </x:c>
      <x:c r="F331" s="56" t="str">
        <x:v>Breezesun</x:v>
      </x:c>
      <x:c r="G331" s="56" t="str">
        <x:v>Third-party offer; authorization not verified</x:v>
      </x:c>
      <x:c r="H331" s="56"/>
      <x:c r="I331" s="56"/>
      <x:c r="J331" s="56"/>
      <x:c r="K331" s="56"/>
      <x:c r="L331" s="56"/>
      <x:c r="M331" s="56" t="str">
        <x:v>30K+ bought/month; Amazon's Choice; #11 Facial Sunscreens</x:v>
      </x:c>
      <x:c r="N331" s="56"/>
      <x:c r="O331" s="56" t="str">
        <x:v>Active / Regulatory Hold</x:v>
      </x:c>
      <x:c r="P331" s="56" t="str">
        <x:v>Not calculated</x:v>
      </x:c>
      <x:c r="Q331" s="56" t="str">
        <x:v>Direct page showed exceptional velocity but seller Breezesun and a global-style ingredient list.</x:v>
      </x:c>
      <x:c r="R331" s="56" t="str">
        <x:v>Major awareness signal only</x:v>
      </x:c>
      <x:c r="S331" s="56" t="str">
        <x:v>Third-party seller, authenticity/version complaints and unresolved U.S. OTC status make it unsuitable for sourcing.</x:v>
      </x:c>
      <x:c r="T331" s="56" t="str">
        <x:v>High for display / Low for authorization</x:v>
      </x:c>
      <x:c r="U331" s="56" t="str">
        <x:v>2026-08-01</x:v>
      </x:c>
      <x:c r="V331" s="56" t="str">
        <x:v>SRC-HHW-020,SRC-HHW-024,SRC-HHW-040,SRC-HHW-053</x:v>
      </x:c>
      <x:c r="W331" s="56" t="str">
        <x:v>Do not use the 30K badge as official brand sales or source this SKU without written authorization and FDA counsel.</x:v>
      </x:c>
    </x:row>
    <x:row r="332" ht="166" customHeight="1">
      <x:c r="A332" s="56" t="str">
        <x:v>CH-HHW-008</x:v>
      </x:c>
      <x:c r="B332" s="56" t="str">
        <x:v>KB020</x:v>
      </x:c>
      <x:c r="C332" s="56"/>
      <x:c r="D332" s="56" t="str">
        <x:v>Target</x:v>
      </x:c>
      <x:c r="E332" s="56" t="str">
        <x:v>https://www.target.com/b/haruharu-wonder/-/N-q643lerulhy</x:v>
      </x:c>
      <x:c r="F332" s="56" t="str">
        <x:v>Target</x:v>
      </x:c>
      <x:c r="G332" s="56" t="str">
        <x:v>Verified nationwide brand launch and first-party Target assortment</x:v>
      </x:c>
      <x:c r="H332" s="56"/>
      <x:c r="I332" s="56"/>
      <x:c r="J332" s="56"/>
      <x:c r="K332" s="56"/>
      <x:c r="L332" s="56"/>
      <x:c r="M332" s="56" t="str">
        <x:v>12 products; multiple 4K-6K+ monthly purchase badges</x:v>
      </x:c>
      <x:c r="N332" s="56"/>
      <x:c r="O332" s="56" t="str">
        <x:v>Active</x:v>
      </x:c>
      <x:c r="P332" s="56" t="str">
        <x:v>Not calculated</x:v>
      </x:c>
      <x:c r="Q332" s="56" t="str">
        <x:v>Brand announcement launched five core products nationwide in January 2026; Target currently displays 12 items.</x:v>
      </x:c>
      <x:c r="R332" s="56" t="str">
        <x:v>Mainstream U.S. validation and offline discovery</x:v>
      </x:c>
      <x:c r="S332" s="56" t="str">
        <x:v>Target price anchors materially compress specialty margin; exact store count and replenishment terms were not public.</x:v>
      </x:c>
      <x:c r="T332" s="56" t="str">
        <x:v>High</x:v>
      </x:c>
      <x:c r="U332" s="56" t="str">
        <x:v>2026-08-01</x:v>
      </x:c>
      <x:c r="V332" s="56" t="str">
        <x:v>SRC-HHW-010,SRC-HHW-011,SRC-HHW-025</x:v>
      </x:c>
      <x:c r="W332" s="56" t="str">
        <x:v>Treat Target as incumbent strategic account; require channel carve-outs.</x:v>
      </x:c>
    </x:row>
    <x:row r="333" ht="166" customHeight="1">
      <x:c r="A333" s="56" t="str">
        <x:v>CH-HHW-009</x:v>
      </x:c>
      <x:c r="B333" s="56" t="str">
        <x:v>KB020</x:v>
      </x:c>
      <x:c r="C333" s="56" t="str">
        <x:v>HHW-P001</x:v>
      </x:c>
      <x:c r="D333" s="56" t="str">
        <x:v>Target</x:v>
      </x:c>
      <x:c r="E333" s="56" t="str">
        <x:v>https://www.target.com/p/-/A-94776501</x:v>
      </x:c>
      <x:c r="F333" s="56" t="str">
        <x:v>Target</x:v>
      </x:c>
      <x:c r="G333" s="56" t="str">
        <x:v>Verified first-party Target listing</x:v>
      </x:c>
      <x:c r="H333" s="56"/>
      <x:c r="I333" s="56" t="n">
        <x:v>19.99</x:v>
      </x:c>
      <x:c r="J333" s="56" t="n">
        <x:v>28</x:v>
      </x:c>
      <x:c r="K333" s="56" t="n">
        <x:v>90</x:v>
      </x:c>
      <x:c r="L333" s="56" t="n">
        <x:v>4.78</x:v>
      </x:c>
      <x:c r="M333" s="56" t="str">
        <x:v>6K+ bought/month across 30/120 mL sizes</x:v>
      </x:c>
      <x:c r="N333" s="56"/>
      <x:c r="O333" s="56" t="str">
        <x:v>Active</x:v>
      </x:c>
      <x:c r="P333" s="56" t="str">
        <x:v>Not calculated</x:v>
      </x:c>
      <x:c r="Q333" s="56" t="str">
        <x:v>Target brand page showed $6.99-$19.99, 6K+ bought/month and high review average.</x:v>
      </x:c>
      <x:c r="R333" s="56" t="str">
        <x:v>Exceptional launch traction</x:v>
      </x:c>
      <x:c r="S333" s="56" t="str">
        <x:v>Variant-level badge may combine sizes; Target full-size price is 29% below global list.</x:v>
      </x:c>
      <x:c r="T333" s="56" t="str">
        <x:v>High</x:v>
      </x:c>
      <x:c r="U333" s="56" t="str">
        <x:v>2026-08-01</x:v>
      </x:c>
      <x:c r="V333" s="56" t="str">
        <x:v>SRC-HHW-016,SRC-HHW-025</x:v>
      </x:c>
      <x:c r="W333" s="56" t="str">
        <x:v>Use full-size $19.99 MSRP anchor only with account-specific economics.</x:v>
      </x:c>
    </x:row>
    <x:row r="334" ht="166" customHeight="1">
      <x:c r="A334" s="56" t="str">
        <x:v>CH-HHW-010</x:v>
      </x:c>
      <x:c r="B334" s="56" t="str">
        <x:v>KB020</x:v>
      </x:c>
      <x:c r="C334" s="56"/>
      <x:c r="D334" s="56" t="str">
        <x:v>Target Core Assortment</x:v>
      </x:c>
      <x:c r="E334" s="56" t="str">
        <x:v>https://www.target.com/b/haruharu-wonder/-/N-q643lerulhy</x:v>
      </x:c>
      <x:c r="F334" s="56" t="str">
        <x:v>Target</x:v>
      </x:c>
      <x:c r="G334" s="56" t="str">
        <x:v>Verified first-party assortment</x:v>
      </x:c>
      <x:c r="H334" s="56"/>
      <x:c r="I334" s="56"/>
      <x:c r="J334" s="56"/>
      <x:c r="K334" s="56"/>
      <x:c r="L334" s="56"/>
      <x:c r="M334" s="56" t="str">
        <x:v>5 Ceramide Cream 6K+; Eye Cream 4K+; toner, oil, cleanser and new PDRN/centella items</x:v>
      </x:c>
      <x:c r="N334" s="56"/>
      <x:c r="O334" s="56" t="str">
        <x:v>Active</x:v>
      </x:c>
      <x:c r="P334" s="56" t="str">
        <x:v>Not calculated</x:v>
      </x:c>
      <x:c r="Q334" s="56" t="str">
        <x:v>Target displayed strong purchase badges for Barrier Cream and Eye Cream plus current 12-product breadth.</x:v>
      </x:c>
      <x:c r="R334" s="56" t="str">
        <x:v>Broad basket-building and mass awareness</x:v>
      </x:c>
      <x:c r="S334" s="56" t="str">
        <x:v>Price competition and potential account exclusivity must be understood before distributor outreach.</x:v>
      </x:c>
      <x:c r="T334" s="56" t="str">
        <x:v>High</x:v>
      </x:c>
      <x:c r="U334" s="56" t="str">
        <x:v>2026-08-01</x:v>
      </x:c>
      <x:c r="V334" s="56" t="str">
        <x:v>SRC-HHW-017,SRC-HHW-019,SRC-HHW-025</x:v>
      </x:c>
      <x:c r="W334" s="56" t="str">
        <x:v>No Target sell-through or store-level inventory was available.</x:v>
      </x:c>
    </x:row>
    <x:row r="335" ht="166" customHeight="1">
      <x:c r="A335" s="56" t="str">
        <x:v>CH-HHW-011</x:v>
      </x:c>
      <x:c r="B335" s="56" t="str">
        <x:v>KB020</x:v>
      </x:c>
      <x:c r="C335" s="56"/>
      <x:c r="D335" s="56" t="str">
        <x:v>TikTok Shop U.S.</x:v>
      </x:c>
      <x:c r="E335" s="56" t="str">
        <x:v>https://shop.tiktok.com/us/store/haruharu-wonder-official-us/7495510336228329611</x:v>
      </x:c>
      <x:c r="F335" s="56" t="str">
        <x:v>haruharu wonder Official US</x:v>
      </x:c>
      <x:c r="G335" s="56" t="str">
        <x:v>Verified platform-labelled official shop</x:v>
      </x:c>
      <x:c r="H335" s="56"/>
      <x:c r="I335" s="56"/>
      <x:c r="J335" s="56"/>
      <x:c r="K335" s="56"/>
      <x:c r="L335" s="56"/>
      <x:c r="M335" s="56" t="str">
        <x:v>11.1K+ followers; 8,227 cumulative sold; 319 videos</x:v>
      </x:c>
      <x:c r="N335" s="56"/>
      <x:c r="O335" s="56" t="str">
        <x:v>Active</x:v>
      </x:c>
      <x:c r="P335" s="56" t="str">
        <x:v>Not calculated</x:v>
      </x:c>
      <x:c r="Q335" s="56" t="str">
        <x:v>Official shop crawl displayed follower, sold and video counts.</x:v>
      </x:c>
      <x:c r="R335" s="56" t="str">
        <x:v>Creator-led education, bundles and launch amplification</x:v>
      </x:c>
      <x:c r="S335" s="56" t="str">
        <x:v>Cumulative sold count lacks period and may overlap bundles/affiliates.</x:v>
      </x:c>
      <x:c r="T335" s="56" t="str">
        <x:v>Medium-High</x:v>
      </x:c>
      <x:c r="U335" s="56" t="str">
        <x:v>2026-08-01</x:v>
      </x:c>
      <x:c r="V335" s="56" t="str">
        <x:v>SRC-HHW-030</x:v>
      </x:c>
      <x:c r="W335" s="56" t="str">
        <x:v>Use platform-native analytics for campaigns.</x:v>
      </x:c>
    </x:row>
    <x:row r="336" ht="166" customHeight="1">
      <x:c r="A336" s="56" t="str">
        <x:v>CH-HHW-012</x:v>
      </x:c>
      <x:c r="B336" s="56" t="str">
        <x:v>KB020</x:v>
      </x:c>
      <x:c r="C336" s="56" t="str">
        <x:v>HHW-P001</x:v>
      </x:c>
      <x:c r="D336" s="56" t="str">
        <x:v>TikTok Shop U.S.</x:v>
      </x:c>
      <x:c r="E336" s="56" t="str">
        <x:v>https://shop.tiktok.com/us/k/life-of-wonder</x:v>
      </x:c>
      <x:c r="F336" s="56" t="str">
        <x:v>Official-shop bundle display</x:v>
      </x:c>
      <x:c r="G336" s="56" t="str">
        <x:v>Official product label displayed; seller context should be rechecked</x:v>
      </x:c>
      <x:c r="H336" s="56"/>
      <x:c r="I336" s="56" t="n">
        <x:v>40.74</x:v>
      </x:c>
      <x:c r="J336" s="56"/>
      <x:c r="K336" s="56"/>
      <x:c r="L336" s="56" t="n">
        <x:v>4.8</x:v>
      </x:c>
      <x:c r="M336" s="56" t="str">
        <x:v>Toner + Barrier Essence bundle about 1.1K sold</x:v>
      </x:c>
      <x:c r="N336" s="56"/>
      <x:c r="O336" s="56" t="str">
        <x:v>Active / dynamic</x:v>
      </x:c>
      <x:c r="P336" s="56" t="str">
        <x:v>Not calculated</x:v>
      </x:c>
      <x:c r="Q336" s="56" t="str">
        <x:v>Search result displayed an official-shop branded bundle with 1.1K sold.</x:v>
      </x:c>
      <x:c r="R336" s="56" t="str">
        <x:v>High-intent routine bundle</x:v>
      </x:c>
      <x:c r="S336" s="56" t="str">
        <x:v>Search pages may mix products and sellers; exact current official offer requires live recheck.</x:v>
      </x:c>
      <x:c r="T336" s="56" t="str">
        <x:v>Medium</x:v>
      </x:c>
      <x:c r="U336" s="56" t="str">
        <x:v>2026-08-01</x:v>
      </x:c>
      <x:c r="V336" s="56" t="str">
        <x:v>SRC-HHW-030,SRC-HHW-034</x:v>
      </x:c>
      <x:c r="W336" s="56" t="str">
        <x:v>Do not add bundle count to store total.</x:v>
      </x:c>
    </x:row>
    <x:row r="337" ht="166" customHeight="1">
      <x:c r="A337" s="56" t="str">
        <x:v>CH-HHW-013</x:v>
      </x:c>
      <x:c r="B337" s="56" t="str">
        <x:v>KB020</x:v>
      </x:c>
      <x:c r="C337" s="56"/>
      <x:c r="D337" s="56" t="str">
        <x:v>TikTok Marketplace / Other Sellers</x:v>
      </x:c>
      <x:c r="E337" s="56" t="str">
        <x:v>https://shop.tiktok.com/us/k/haruharu-wonder-reviews</x:v>
      </x:c>
      <x:c r="F337" s="56" t="str">
        <x:v>StyleKorean US, iHerb and other sellers</x:v>
      </x:c>
      <x:c r="G337" s="56" t="str">
        <x:v>Mixed; some recognized retailers, authorization per offer not verified</x:v>
      </x:c>
      <x:c r="H337" s="56"/>
      <x:c r="I337" s="56"/>
      <x:c r="J337" s="56"/>
      <x:c r="K337" s="56"/>
      <x:c r="L337" s="56"/>
      <x:c r="M337" s="56" t="str">
        <x:v>Multiple sellers and product listings</x:v>
      </x:c>
      <x:c r="N337" s="56"/>
      <x:c r="O337" s="56" t="str">
        <x:v>Active / dynamic</x:v>
      </x:c>
      <x:c r="P337" s="56" t="str">
        <x:v>Not calculated</x:v>
      </x:c>
      <x:c r="Q337" s="56" t="str">
        <x:v>TikTok results surfaced official and third-party listings, including StyleKorean US and iHerb.</x:v>
      </x:c>
      <x:c r="R337" s="56" t="str">
        <x:v>Incremental reach</x:v>
      </x:c>
      <x:c r="S337" s="56" t="str">
        <x:v>Seller-count inflation, discounting, authenticity and authorization ambiguity.</x:v>
      </x:c>
      <x:c r="T337" s="56" t="str">
        <x:v>Medium</x:v>
      </x:c>
      <x:c r="U337" s="56" t="str">
        <x:v>2026-08-01</x:v>
      </x:c>
      <x:c r="V337" s="56" t="str">
        <x:v>SRC-HHW-031</x:v>
      </x:c>
      <x:c r="W337" s="56" t="str">
        <x:v>Audit each seller and do not mix third-party sales with official shop metrics.</x:v>
      </x:c>
    </x:row>
    <x:row r="338" ht="166" customHeight="1">
      <x:c r="A338" s="56" t="str">
        <x:v>CH-HHW-014</x:v>
      </x:c>
      <x:c r="B338" s="56" t="str">
        <x:v>KB020</x:v>
      </x:c>
      <x:c r="C338" s="56"/>
      <x:c r="D338" s="56" t="str">
        <x:v>StyleKorean</x:v>
      </x:c>
      <x:c r="E338" s="56" t="str">
        <x:v>https://www.stylekorean.com/brands/345/</x:v>
      </x:c>
      <x:c r="F338" s="56" t="str">
        <x:v>StyleKorean / SILICON2 CO., LTD.</x:v>
      </x:c>
      <x:c r="G338" s="56" t="str">
        <x:v>Cross-border retailer; U.S. portal privacy policy indicates StyleKorean affiliation</x:v>
      </x:c>
      <x:c r="H338" s="56"/>
      <x:c r="I338" s="56"/>
      <x:c r="J338" s="56"/>
      <x:c r="K338" s="56"/>
      <x:c r="L338" s="56"/>
      <x:c r="M338" s="56" t="str">
        <x:v>47 items; frequent 40% discounts</x:v>
      </x:c>
      <x:c r="N338" s="56"/>
      <x:c r="O338" s="56" t="str">
        <x:v>Active</x:v>
      </x:c>
      <x:c r="P338" s="56" t="str">
        <x:v>Not calculated</x:v>
      </x:c>
      <x:c r="Q338" s="56" t="str">
        <x:v>Current brand page displayed broad assortment, substantial review counts and frequent 40% discounts.</x:v>
      </x:c>
      <x:c r="R338" s="56" t="str">
        <x:v>Demand visibility and assortment reference</x:v>
      </x:c>
      <x:c r="S338" s="56" t="str">
        <x:v>Persistent cross-border discounting creates MAP/margin conflict; U.S. authorization scope requires documents.</x:v>
      </x:c>
      <x:c r="T338" s="56" t="str">
        <x:v>Medium-High</x:v>
      </x:c>
      <x:c r="U338" s="56" t="str">
        <x:v>2026-08-01</x:v>
      </x:c>
      <x:c r="V338" s="56" t="str">
        <x:v>SRC-HHW-007,SRC-HHW-032</x:v>
      </x:c>
      <x:c r="W338" s="56" t="str">
        <x:v>Barrier Essence $16.80, toner $10.80 and Airyfit $13.20 were dynamic promotional examples.</x:v>
      </x:c>
    </x:row>
    <x:row r="339" ht="166" customHeight="1">
      <x:c r="A339" s="56" t="str">
        <x:v>CH-HHW-015</x:v>
      </x:c>
      <x:c r="B339" s="56" t="str">
        <x:v>KB020</x:v>
      </x:c>
      <x:c r="C339" s="56"/>
      <x:c r="D339" s="56" t="str">
        <x:v>iHerb</x:v>
      </x:c>
      <x:c r="E339" s="56" t="str">
        <x:v>https://www.iherb.com/c/haruharu</x:v>
      </x:c>
      <x:c r="F339" s="56" t="str">
        <x:v>iHerb</x:v>
      </x:c>
      <x:c r="G339" s="56" t="str">
        <x:v>Large retailer; exact current brand authorization not independently confirmed</x:v>
      </x:c>
      <x:c r="H339" s="56"/>
      <x:c r="I339" s="56"/>
      <x:c r="J339" s="56"/>
      <x:c r="K339" s="56"/>
      <x:c r="L339" s="56"/>
      <x:c r="M339" s="56" t="str">
        <x:v>13 products; cleansing oil 500+, eye cream 400+, toner 300+ sold/30 days</x:v>
      </x:c>
      <x:c r="N339" s="56"/>
      <x:c r="O339" s="56" t="str">
        <x:v>Active</x:v>
      </x:c>
      <x:c r="P339" s="56" t="str">
        <x:v>Not calculated</x:v>
      </x:c>
      <x:c r="Q339" s="56" t="str">
        <x:v>iHerb displayed current prices, review totals and 30-day sold badges.</x:v>
      </x:c>
      <x:c r="R339" s="56" t="str">
        <x:v>Large repeat-purchase/review channel</x:v>
      </x:c>
      <x:c r="S339" s="56" t="str">
        <x:v>Global review mix, retailer-driven prices and authorization terms are not public.</x:v>
      </x:c>
      <x:c r="T339" s="56" t="str">
        <x:v>Medium-High</x:v>
      </x:c>
      <x:c r="U339" s="56" t="str">
        <x:v>2026-08-01</x:v>
      </x:c>
      <x:c r="V339" s="56" t="str">
        <x:v>SRC-HHW-033</x:v>
      </x:c>
      <x:c r="W339" s="56" t="str">
        <x:v>Do not add iHerb sold badges to U.S.-only estimates without geography confirmation.</x:v>
      </x:c>
    </x:row>
    <x:row r="340" ht="166" customHeight="1">
      <x:c r="A340" s="56" t="str">
        <x:v>CH-HHW-016</x:v>
      </x:c>
      <x:c r="B340" s="56" t="str">
        <x:v>KB020</x:v>
      </x:c>
      <x:c r="C340" s="56" t="str">
        <x:v>HHW-P003</x:v>
      </x:c>
      <x:c r="D340" s="56" t="str">
        <x:v>Walmart Marketplace</x:v>
      </x:c>
      <x:c r="E340" s="56" t="str">
        <x:v>https://www.walmart.com/ip/270388504</x:v>
      </x:c>
      <x:c r="F340" s="56" t="str">
        <x:v>The Glowest / other rotating sellers</x:v>
      </x:c>
      <x:c r="G340" s="56" t="str">
        <x:v>Marketplace seller; authorization not verified</x:v>
      </x:c>
      <x:c r="H340" s="56"/>
      <x:c r="I340" s="56" t="n">
        <x:v>15.99</x:v>
      </x:c>
      <x:c r="J340" s="56"/>
      <x:c r="K340" s="56" t="n">
        <x:v>97</x:v>
      </x:c>
      <x:c r="L340" s="56" t="n">
        <x:v>4.8</x:v>
      </x:c>
      <x:c r="M340" s="56" t="str">
        <x:v>10.1 oz toner listing; 5.1 oz alternative $13.39</x:v>
      </x:c>
      <x:c r="N340" s="56"/>
      <x:c r="O340" s="56" t="str">
        <x:v>Active / dynamic</x:v>
      </x:c>
      <x:c r="P340" s="56" t="str">
        <x:v>Not calculated</x:v>
      </x:c>
      <x:c r="Q340" s="56" t="str">
        <x:v>Walmart page displayed strong ratings but a third-party seller, not Walmart retail.</x:v>
      </x:c>
      <x:c r="R340" s="56" t="str">
        <x:v>Visibility and value signal</x:v>
      </x:c>
      <x:c r="S340" s="56" t="str">
        <x:v>Seller rotation, old/variant reviews and gray-market/authenticity risk.</x:v>
      </x:c>
      <x:c r="T340" s="56" t="str">
        <x:v>Medium</x:v>
      </x:c>
      <x:c r="U340" s="56" t="str">
        <x:v>2026-08-01</x:v>
      </x:c>
      <x:c r="V340" s="56" t="str">
        <x:v>SRC-HHW-035</x:v>
      </x:c>
      <x:c r="W340" s="56" t="str">
        <x:v>Audit seller, UPC, lot, expiry and authorization per offer.</x:v>
      </x:c>
    </x:row>
    <x:row r="341" ht="166" customHeight="1">
      <x:c r="A341" s="56" t="str">
        <x:v>CH-HHW-017</x:v>
      </x:c>
      <x:c r="B341" s="56" t="str">
        <x:v>KB020</x:v>
      </x:c>
      <x:c r="C341" s="56"/>
      <x:c r="D341" s="56" t="str">
        <x:v>Official Social</x:v>
      </x:c>
      <x:c r="E341" s="56" t="str">
        <x:v>https://linktr.ee/haruharuwonder_official</x:v>
      </x:c>
      <x:c r="F341" s="56" t="str">
        <x:v>@haruharuwonder_official / @haruharuwonder_us_official</x:v>
      </x:c>
      <x:c r="G341" s="56" t="str">
        <x:v>Official Linktree and Target launch announcement</x:v>
      </x:c>
      <x:c r="H341" s="56"/>
      <x:c r="I341" s="56"/>
      <x:c r="J341" s="56"/>
      <x:c r="K341" s="56"/>
      <x:c r="L341" s="56"/>
      <x:c r="M341" s="56" t="str">
        <x:v>Instagram, TikTok, Pinterest, X, Facebook and U.S. social handles</x:v>
      </x:c>
      <x:c r="N341" s="56"/>
      <x:c r="O341" s="56" t="str">
        <x:v>Active</x:v>
      </x:c>
      <x:c r="P341" s="56" t="str">
        <x:v>Not calculated</x:v>
      </x:c>
      <x:c r="Q341" s="56" t="str">
        <x:v>Official directories connect social accounts, Target, Amazon and wholesale contacts.</x:v>
      </x:c>
      <x:c r="R341" s="56" t="str">
        <x:v>Strong visual/creator platform fit</x:v>
      </x:c>
      <x:c r="S341" s="56" t="str">
        <x:v>Reliable current Instagram follower count was not captured.</x:v>
      </x:c>
      <x:c r="T341" s="56" t="str">
        <x:v>High for presence / Medium for scale</x:v>
      </x:c>
      <x:c r="U341" s="56" t="str">
        <x:v>2026-08-01</x:v>
      </x:c>
      <x:c r="V341" s="56" t="str">
        <x:v>SRC-HHW-009,SRC-HHW-010,SRC-HHW-034</x:v>
      </x:c>
      <x:c r="W341" s="56" t="str">
        <x:v>Use native analytics before budgeting influencer campaigns.</x:v>
      </x:c>
    </x:row>
    <x:row r="342" ht="166" customHeight="1">
      <x:c r="A342" s="56" t="str">
        <x:v>CH-HHW-018</x:v>
      </x:c>
      <x:c r="B342" s="56" t="str">
        <x:v>KB020</x:v>
      </x:c>
      <x:c r="C342" s="56"/>
      <x:c r="D342" s="56" t="str">
        <x:v>Wholesale / Distribution Contact</x:v>
      </x:c>
      <x:c r="E342" s="56" t="str">
        <x:v>https://haruharuwonder.com/policies/contact-information</x:v>
      </x:c>
      <x:c r="F342" s="56" t="str">
        <x:v>DFS Company / Haruharu Wonder</x:v>
      </x:c>
      <x:c r="G342" s="56" t="str">
        <x:v>Official inquiry route overseas@thedfs.co.kr</x:v>
      </x:c>
      <x:c r="H342" s="56"/>
      <x:c r="I342" s="56"/>
      <x:c r="J342" s="56"/>
      <x:c r="K342" s="56"/>
      <x:c r="L342" s="56"/>
      <x:c r="M342" s="56" t="str">
        <x:v>Wholesale and distribution requests accepted</x:v>
      </x:c>
      <x:c r="N342" s="56"/>
      <x:c r="O342" s="56" t="str">
        <x:v>Active inquiry route</x:v>
      </x:c>
      <x:c r="P342" s="56" t="str">
        <x:v>Not calculated</x:v>
      </x:c>
      <x:c r="Q342" s="56" t="str">
        <x:v>Official contact page and Linktree publish the same wholesale email.</x:v>
      </x:c>
      <x:c r="R342" s="56" t="str">
        <x:v>Direct commercial diligence is possible</x:v>
      </x:c>
      <x:c r="S342" s="56" t="str">
        <x:v>No MOQ, price list, rights, U.S. warehouse, credit or MAP terms are public.</x:v>
      </x:c>
      <x:c r="T342" s="56" t="str">
        <x:v>High</x:v>
      </x:c>
      <x:c r="U342" s="56" t="str">
        <x:v>2026-08-01</x:v>
      </x:c>
      <x:c r="V342" s="56" t="str">
        <x:v>SRC-HHW-008,SRC-HHW-009</x:v>
      </x:c>
      <x:c r="W342" s="56" t="str">
        <x:v>Do not contact without separate user authorization.</x:v>
      </x:c>
    </x:row>
    <x:row r="343" ht="166" customHeight="1">
      <x:c r="A343" s="56" t="str">
        <x:v>CH-HHW-019</x:v>
      </x:c>
      <x:c r="B343" s="56" t="str">
        <x:v>KB020</x:v>
      </x:c>
      <x:c r="C343" s="56"/>
      <x:c r="D343" s="56" t="str">
        <x:v>Other U.S. Retail / Gap Check</x:v>
      </x:c>
      <x:c r="E343" s="56" t="str">
        <x:v>https://haruharuwonder.com</x:v>
      </x:c>
      <x:c r="F343" s="56" t="str">
        <x:v>No current authorized seller established</x:v>
      </x:c>
      <x:c r="G343" s="56" t="str">
        <x:v>No current Haruharu Wonder U.S. assortment verified at Sephora, Ulta or Costco in scoped searches</x:v>
      </x:c>
      <x:c r="H343" s="56"/>
      <x:c r="I343" s="56"/>
      <x:c r="J343" s="56"/>
      <x:c r="K343" s="56"/>
      <x:c r="L343" s="56"/>
      <x:c r="M343" s="56"/>
      <x:c r="N343" s="56"/>
      <x:c r="O343" s="56" t="str">
        <x:v>Not verified as current channels</x:v>
      </x:c>
      <x:c r="P343" s="56" t="str">
        <x:v>Not calculated</x:v>
      </x:c>
      <x:c r="Q343" s="56" t="str">
        <x:v>Target is the verified mass-retail launch; Walmart results were marketplace sellers.</x:v>
      </x:c>
      <x:c r="R343" s="56" t="str">
        <x:v>Potential white space in selected specialty/prestige accounts</x:v>
      </x:c>
      <x:c r="S343" s="56" t="str">
        <x:v>Scoped negative evidence is not proof of no relationship; confirm with current account list and restrictions.</x:v>
      </x:c>
      <x:c r="T343" s="56" t="str">
        <x:v>Medium</x:v>
      </x:c>
      <x:c r="U343" s="56" t="str">
        <x:v>2026-08-01</x:v>
      </x:c>
      <x:c r="V343" s="56" t="str">
        <x:v>SRC-HHW-056</x:v>
      </x:c>
      <x:c r="W343" s="56" t="str">
        <x:v>Do not pursue named retailers without brand/account authorization.</x:v>
      </x:c>
    </x:row>
  </x:sheetData>
  <x:dataValidations count="4">
    <x:dataValidation type="list" sqref="D2:D201">
      <x:formula1>"Amazon US,Walmart,TikTok Shop US,Instagram,Official Brand Store,Target,Ulta,Sephora,CVS,Walgreens,Costco,iHerb,YesStyle,Olive Young Global,StyleKorean,Other"</x:formula1>
    </x:dataValidation>
    <x:dataValidation type="list" sqref="G2:G201">
      <x:formula1>"Official,Likely Official,Third Party,Possible Gray Market,Unable to Verify"</x:formula1>
    </x:dataValidation>
    <x:dataValidation type="list" sqref="O2:O201">
      <x:formula1>"In Stock,Out of Stock,Not Listed,Unable to Verify"</x:formula1>
    </x:dataValidation>
    <x:dataValidation type="list" sqref="T2:T201">
      <x:formula1>"High,Medium,Low"</x:formula1>
    </x:dataValidation>
  </x:dataValidations>
  <x:pageMargins left="0.7" right="0.7" top="0.75" bottom="0.75" header="0.3" footer="0.3"/>
  <x:tableParts count="1">
    <x:tablePart xmlns:r="http://schemas.openxmlformats.org/officeDocument/2006/relationships" r:id="R73f296c0bd95493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28" hidden="0" customWidth="1"/>
    <x:col min="5" max="5" width="28" hidden="0" customWidth="1"/>
    <x:col min="6" max="6" width="20" hidden="0" customWidth="1"/>
    <x:col min="7" max="7" width="20" hidden="0" customWidth="1"/>
    <x:col min="8" max="8" width="14" hidden="0" customWidth="1"/>
    <x:col min="9" max="9" width="14" hidden="0" customWidth="1"/>
    <x:col min="10" max="10" width="14" hidden="0" customWidth="1"/>
    <x:col min="11" max="11" width="24" hidden="0" customWidth="1"/>
    <x:col min="12" max="12" width="14" hidden="0" customWidth="1"/>
    <x:col min="13" max="13" width="14" hidden="0" customWidth="1"/>
    <x:col min="14" max="14" width="34" hidden="0" customWidth="1"/>
    <x:col min="15" max="15" width="34" hidden="0" customWidth="1"/>
    <x:col min="16" max="16" width="34" hidden="0" customWidth="1"/>
    <x:col min="17" max="17" width="34" hidden="0" customWidth="1"/>
    <x:col min="18" max="18" width="18" hidden="0" customWidth="1"/>
    <x:col min="19" max="19" width="18" hidden="0" customWidth="1"/>
    <x:col min="20" max="20" width="38" hidden="0" customWidth="1"/>
    <x:col min="21" max="21" width="14" hidden="0" customWidth="1"/>
    <x:col min="22" max="22" width="14" hidden="0" customWidth="1"/>
  </x:cols>
  <x:sheetData>
    <x:row r="1">
      <x:c r="A1" s="14" t="str">
        <x:v>Comparison_ID</x:v>
      </x:c>
      <x:c r="B1" s="14" t="str">
        <x:v>Brand_ID</x:v>
      </x:c>
      <x:c r="C1" s="14" t="str">
        <x:v>Own Product_ID</x:v>
      </x:c>
      <x:c r="D1" s="14" t="str">
        <x:v>Competitor Brand</x:v>
      </x:c>
      <x:c r="E1" s="14" t="str">
        <x:v>Competitor Product</x:v>
      </x:c>
      <x:c r="F1" s="14" t="str">
        <x:v>Competitive Set</x:v>
      </x:c>
      <x:c r="G1" s="14" t="str">
        <x:v>Category</x:v>
      </x:c>
      <x:c r="H1" s="14" t="str">
        <x:v>Size</x:v>
      </x:c>
      <x:c r="I1" s="14" t="str">
        <x:v>U.S. Price</x:v>
      </x:c>
      <x:c r="J1" s="14" t="str">
        <x:v>Unit Price</x:v>
      </x:c>
      <x:c r="K1" s="14" t="str">
        <x:v>Key Channels</x:v>
      </x:c>
      <x:c r="L1" s="14" t="str">
        <x:v>Review Count</x:v>
      </x:c>
      <x:c r="M1" s="14" t="str">
        <x:v>Rating</x:v>
      </x:c>
      <x:c r="N1" s="14" t="str">
        <x:v>Awareness Evidence</x:v>
      </x:c>
      <x:c r="O1" s="14" t="str">
        <x:v>Popularity Drivers</x:v>
      </x:c>
      <x:c r="P1" s="14" t="str">
        <x:v>Similarities</x:v>
      </x:c>
      <x:c r="Q1" s="14" t="str">
        <x:v>Differentiation</x:v>
      </x:c>
      <x:c r="R1" s="14" t="str">
        <x:v>Price Difference</x:v>
      </x:c>
      <x:c r="S1" s="14" t="str">
        <x:v>Competitive Intensity</x:v>
      </x:c>
      <x:c r="T1" s="14" t="str">
        <x:v>Product URL</x:v>
      </x:c>
      <x:c r="U1" s="14" t="str">
        <x:v>Check Date</x:v>
      </x:c>
      <x:c r="V1" s="14" t="str">
        <x:v>Source_ID</x:v>
      </x:c>
    </x:row>
    <x:row r="2" ht="96" customHeight="1">
      <x:c r="A2" s="20" t="str">
        <x:v>CMP-COSRX-001</x:v>
      </x:c>
      <x:c r="B2" s="20" t="str">
        <x:v>KB001</x:v>
      </x:c>
      <x:c r="C2" s="20" t="str">
        <x:v>COSRX-P001</x:v>
      </x:c>
      <x:c r="D2" s="20" t="str">
        <x:v>Peach Slices</x:v>
      </x:c>
      <x:c r="E2" s="20" t="str">
        <x:v>Snail Rescue Blemish Busting Toner</x:v>
      </x:c>
      <x:c r="F2" s="20" t="str">
        <x:v>Value K-Beauty snail-mucin hydration/blemish care</x:v>
      </x:c>
      <x:c r="G2" s="20" t="str">
        <x:v>Toner</x:v>
      </x:c>
      <x:c r="H2" s="20" t="str">
        <x:v>120 mL / 4.0 oz</x:v>
      </x:c>
      <x:c r="I2" s="51" t="n">
        <x:v>13.99</x:v>
      </x:c>
      <x:c r="J2" s="51" t="n">
        <x:v>0.1166</x:v>
      </x:c>
      <x:c r="K2" s="20" t="str">
        <x:v>Ulta; Walmart; Peach &amp; Lily ecosystem</x:v>
      </x:c>
      <x:c r="L2" s="32" t="n">
        <x:v>1259</x:v>
      </x:c>
      <x:c r="M2" s="26" t="n">
        <x:v>4.5</x:v>
      </x:c>
      <x:c r="N2" s="20" t="str">
        <x:v>Ulta displayed 1,259 reviews and 4.5 rating.</x:v>
      </x:c>
      <x:c r="O2" s="20" t="str">
        <x:v>Lower price, U.S.-native retail access, acne/blemish positioning.</x:v>
      </x:c>
      <x:c r="P2" s="20" t="str">
        <x:v>Both use snail mucin, hydration/glow and acne-prone consumer language.</x:v>
      </x:c>
      <x:c r="Q2" s="20" t="str">
        <x:v>COSRX is an essence with 96% snail filtrate and much larger hero awareness; Peach Slices is a toner with a lower price.</x:v>
      </x:c>
      <x:c r="R2" s="20" t="str">
        <x:v>-$11.01 vs COSRX official list</x:v>
      </x:c>
      <x:c r="S2" s="20" t="str">
        <x:v>High</x:v>
      </x:c>
      <x:c r="T2" s="20" t="str">
        <x:v>https://www.ulta.com/p/snail-rescue-blemish-busting-toner-pimprod2018400</x:v>
      </x:c>
      <x:c r="U2" s="24" t="str">
        <x:v>2026-07-29</x:v>
      </x:c>
      <x:c r="V2" s="20" t="str">
        <x:v>SRC-COSRX-038</x:v>
      </x:c>
    </x:row>
    <x:row r="3" ht="96" customHeight="1">
      <x:c r="A3" s="21" t="str">
        <x:v>CMP-COSRX-002</x:v>
      </x:c>
      <x:c r="B3" s="21" t="str">
        <x:v>KB001</x:v>
      </x:c>
      <x:c r="C3" s="21" t="str">
        <x:v>COSRX-P002</x:v>
      </x:c>
      <x:c r="D3" s="21" t="str">
        <x:v>Hero Cosmetics</x:v>
      </x:c>
      <x:c r="E3" s="21" t="str">
        <x:v>Mighty Patch Original 36 ct</x:v>
      </x:c>
      <x:c r="F3" s="21" t="str">
        <x:v>Mainstream hydrocolloid acne patch</x:v>
      </x:c>
      <x:c r="G3" s="21" t="str">
        <x:v>Spot patch</x:v>
      </x:c>
      <x:c r="H3" s="21" t="str">
        <x:v>36 patches</x:v>
      </x:c>
      <x:c r="I3" s="52" t="n">
        <x:v>12.99</x:v>
      </x:c>
      <x:c r="J3" s="52" t="n">
        <x:v>0.3608</x:v>
      </x:c>
      <x:c r="K3" s="21" t="str">
        <x:v>Ulta; Target; Amazon; mass retail</x:v>
      </x:c>
      <x:c r="L3" s="33" t="n">
        <x:v>5621</x:v>
      </x:c>
      <x:c r="M3" s="27" t="n">
        <x:v>4.7</x:v>
      </x:c>
      <x:c r="N3" s="21" t="str">
        <x:v>Ulta displayed 5,621 reviews and 4.7 rating.</x:v>
      </x:c>
      <x:c r="O3" s="21" t="str">
        <x:v>Medical-grade positioning, strong adhesive narrative, high mainstream awareness.</x:v>
      </x:c>
      <x:c r="P3" s="21" t="str">
        <x:v>Single-ingredient hydrocolloid patches for surface blemishes.</x:v>
      </x:c>
      <x:c r="Q3" s="21" t="str">
        <x:v>COSRX has lower pack price and K-Beauty heritage; Hero has larger U.S. patch-category authority and higher price per patch.</x:v>
      </x:c>
      <x:c r="R3" s="21" t="str">
        <x:v>+$6.99 per pack; Hero about $0.36/patch vs COSRX $0.25/patch</x:v>
      </x:c>
      <x:c r="S3" s="21" t="str">
        <x:v>Very High</x:v>
      </x:c>
      <x:c r="T3" s="21" t="str">
        <x:v>https://www.ulta.com/p/mighty-patch-original-acne-pimple-patches-pimprod2030348?sku=2591987</x:v>
      </x:c>
      <x:c r="U3" s="25" t="str">
        <x:v>2026-07-29</x:v>
      </x:c>
      <x:c r="V3" s="21" t="str">
        <x:v>SRC-COSRX-039</x:v>
      </x:c>
    </x:row>
    <x:row r="4" ht="96" customHeight="1">
      <x:c r="A4" s="21" t="str">
        <x:v>CMP-COSRX-003</x:v>
      </x:c>
      <x:c r="B4" s="21" t="str">
        <x:v>KB001</x:v>
      </x:c>
      <x:c r="C4" s="21" t="str">
        <x:v>COSRX-P003</x:v>
      </x:c>
      <x:c r="D4" s="21" t="str">
        <x:v>CeraVe</x:v>
      </x:c>
      <x:c r="E4" s="21" t="str">
        <x:v>Foaming Facial Cleanser 12 oz</x:v>
      </x:c>
      <x:c r="F4" s="21" t="str">
        <x:v>Mass derm-style daily cleanser</x:v>
      </x:c>
      <x:c r="G4" s="21" t="str">
        <x:v>Facial cleanser</x:v>
      </x:c>
      <x:c r="H4" s="21" t="str">
        <x:v>355 mL / 12.0 oz</x:v>
      </x:c>
      <x:c r="I4" s="52" t="n">
        <x:v>16.99</x:v>
      </x:c>
      <x:c r="J4" s="52" t="n">
        <x:v>0.0479</x:v>
      </x:c>
      <x:c r="K4" s="21" t="str">
        <x:v>Ulta; Target; Walmart; pharmacies; Amazon</x:v>
      </x:c>
      <x:c r="L4" s="33" t="n">
        <x:v>19248</x:v>
      </x:c>
      <x:c r="M4" s="27" t="n">
        <x:v>4.6</x:v>
      </x:c>
      <x:c r="N4" s="21" t="str">
        <x:v>Ulta displayed 19,248 reviews and 4.6 rating.</x:v>
      </x:c>
      <x:c r="O4" s="21" t="str">
        <x:v>Mass availability, dermatologist-associated brand equity, large size and low unit cost.</x:v>
      </x:c>
      <x:c r="P4" s="21" t="str">
        <x:v>Daily foaming cleansers aimed at combination/oily skin and value shoppers.</x:v>
      </x:c>
      <x:c r="Q4" s="21" t="str">
        <x:v>COSRX offers K-Beauty low-pH/tea-tree positioning and lower absolute price; CeraVe has greater U.S. scale and lower price per mL.</x:v>
      </x:c>
      <x:c r="R4" s="21" t="str">
        <x:v>+$2.99 per pack; CeraVe materially cheaper per mL</x:v>
      </x:c>
      <x:c r="S4" s="21" t="str">
        <x:v>Very High</x:v>
      </x:c>
      <x:c r="T4" s="21" t="str">
        <x:v>https://www.ulta.com/p/foaming-facial-cleanser-xlsImpprod5140065</x:v>
      </x:c>
      <x:c r="U4" s="25" t="str">
        <x:v>2026-07-29</x:v>
      </x:c>
      <x:c r="V4" s="21" t="str">
        <x:v>SRC-COSRX-040</x:v>
      </x:c>
    </x:row>
    <x:row r="5" ht="96" customHeight="1">
      <x:c r="A5" s="21" t="str">
        <x:v>CMP-COSRX-004</x:v>
      </x:c>
      <x:c r="B5" s="21" t="str">
        <x:v>KB001</x:v>
      </x:c>
      <x:c r="C5" s="21" t="str">
        <x:v>COSRX-P004</x:v>
      </x:c>
      <x:c r="D5" s="21" t="str">
        <x:v>The Ordinary</x:v>
      </x:c>
      <x:c r="E5" s="21" t="str">
        <x:v>Multi-Peptide + Hyaluronic Acid Serum</x:v>
      </x:c>
      <x:c r="F5" s="21" t="str">
        <x:v>Value peptide treatment serum</x:v>
      </x:c>
      <x:c r="G5" s="21" t="str">
        <x:v>Serum</x:v>
      </x:c>
      <x:c r="H5" s="21" t="str">
        <x:v>30 mL / 1.0 oz</x:v>
      </x:c>
      <x:c r="I5" s="52" t="n">
        <x:v>19.9</x:v>
      </x:c>
      <x:c r="J5" s="52" t="n">
        <x:v>0.6633</x:v>
      </x:c>
      <x:c r="K5" s="21" t="str">
        <x:v>Ulta; Sephora; brand DTC</x:v>
      </x:c>
      <x:c r="L5" s="33" t="n">
        <x:v>103</x:v>
      </x:c>
      <x:c r="M5" s="27" t="n">
        <x:v>3.9</x:v>
      </x:c>
      <x:c r="N5" s="21" t="str">
        <x:v>Ulta displayed 103 reviews and 3.9 rating.</x:v>
      </x:c>
      <x:c r="O5" s="21" t="str">
        <x:v>Extreme ingredient transparency/value reputation and focused treatment positioning.</x:v>
      </x:c>
      <x:c r="P5" s="21" t="str">
        <x:v>Multi-peptide and hyaluronic-acid serum concepts at accessible price points.</x:v>
      </x:c>
      <x:c r="Q5" s="21" t="str">
        <x:v>COSRX provides 150 mL, niacinamide/NAG and first-step booster use; The Ordinary is cheaper in absolute dollars but much higher per mL.</x:v>
      </x:c>
      <x:c r="R5" s="21" t="str">
        <x:v>-$5.10 per pack; The Ordinary about 4.7× higher per mL</x:v>
      </x:c>
      <x:c r="S5" s="21" t="str">
        <x:v>High</x:v>
      </x:c>
      <x:c r="T5" s="21" t="str">
        <x:v>https://www.ulta.com/p/multi-peptide-hyaluronic-acid-serum-firmness-elasticity-pimprod2035079</x:v>
      </x:c>
      <x:c r="U5" s="25" t="str">
        <x:v>2026-07-29</x:v>
      </x:c>
      <x:c r="V5" s="21" t="str">
        <x:v>SRC-COSRX-041</x:v>
      </x:c>
    </x:row>
    <x:row r="6" ht="96" customHeight="1">
      <x:c r="A6" s="21" t="str">
        <x:v>CMP-COSRX-005</x:v>
      </x:c>
      <x:c r="B6" s="21" t="str">
        <x:v>KB001</x:v>
      </x:c>
      <x:c r="C6" s="21" t="str">
        <x:v>COSRX-P005</x:v>
      </x:c>
      <x:c r="D6" s="21" t="str">
        <x:v>Peach Slices</x:v>
      </x:c>
      <x:c r="E6" s="21" t="str">
        <x:v>Snail Rescue All-In-One Deep Moisture Cream</x:v>
      </x:c>
      <x:c r="F6" s="21" t="str">
        <x:v>Value K-Beauty snail moisturizer</x:v>
      </x:c>
      <x:c r="G6" s="21" t="str">
        <x:v>Face moisturizer</x:v>
      </x:c>
      <x:c r="H6" s="21" t="str">
        <x:v>80 g / 2.8 oz</x:v>
      </x:c>
      <x:c r="I6" s="52" t="n">
        <x:v>16.99</x:v>
      </x:c>
      <x:c r="J6" s="52" t="n">
        <x:v>0.2124</x:v>
      </x:c>
      <x:c r="K6" s="21" t="str">
        <x:v>Ulta; Peach &amp; Lily ecosystem</x:v>
      </x:c>
      <x:c r="L6" s="33" t="n">
        <x:v>302</x:v>
      </x:c>
      <x:c r="M6" s="27" t="n">
        <x:v>4.5</x:v>
      </x:c>
      <x:c r="N6" s="21" t="str">
        <x:v>Ulta displayed 302 reviews and 4.5 rating.</x:v>
      </x:c>
      <x:c r="O6" s="21" t="str">
        <x:v>Lower price, U.S.-native brand ecosystem, strong dry/blemish care framing.</x:v>
      </x:c>
      <x:c r="P6" s="21" t="str">
        <x:v>Snail-mucin moisturizers at accessible prices.</x:v>
      </x:c>
      <x:c r="Q6" s="21" t="str">
        <x:v>COSRX has 92% snail filtrate, larger review/awareness base and larger 100 g size; Peach Slices is lower in absolute price.</x:v>
      </x:c>
      <x:c r="R6" s="21" t="str">
        <x:v>-$9.01 per pack; similar price per gram</x:v>
      </x:c>
      <x:c r="S6" s="21" t="str">
        <x:v>High</x:v>
      </x:c>
      <x:c r="T6" s="21" t="str">
        <x:v>https://www.ulta.com/p/snail-rescue-all-in-one-deep-moisture-cream-pimprod2033309</x:v>
      </x:c>
      <x:c r="U6" s="25" t="str">
        <x:v>2026-07-29</x:v>
      </x:c>
      <x:c r="V6" s="21" t="str">
        <x:v>SRC-COSRX-042</x:v>
      </x:c>
    </x:row>
    <x:row r="7" ht="96" customHeight="1">
      <x:c r="A7" s="21" t="str">
        <x:v>CMP-BOJ-001</x:v>
      </x:c>
      <x:c r="B7" s="21" t="str">
        <x:v>KB002</x:v>
      </x:c>
      <x:c r="C7" s="21" t="str">
        <x:v>BOJ-P001</x:v>
      </x:c>
      <x:c r="D7" s="21" t="str">
        <x:v>e.l.f. Cosmetics</x:v>
      </x:c>
      <x:c r="E7" s="21" t="str">
        <x:v>Suntouchable Invisible Sunscreen SPF 35</x:v>
      </x:c>
      <x:c r="F7" s="21" t="str">
        <x:v>Affordable U.S. broad-spectrum face sunscreen / primer</x:v>
      </x:c>
      <x:c r="G7" s="21" t="str">
        <x:v>OTC Sunscreen</x:v>
      </x:c>
      <x:c r="H7" s="21" t="str">
        <x:v>1.7 oz</x:v>
      </x:c>
      <x:c r="I7" s="52" t="n">
        <x:v>15</x:v>
      </x:c>
      <x:c r="J7" s="52" t="n">
        <x:v>8.8235</x:v>
      </x:c>
      <x:c r="K7" s="21" t="str">
        <x:v>Ulta; e.l.f.; mass retail</x:v>
      </x:c>
      <x:c r="L7" s="33" t="n">
        <x:v>11794</x:v>
      </x:c>
      <x:c r="M7" s="27" t="n">
        <x:v>4.6</x:v>
      </x:c>
      <x:c r="N7" s="21" t="str">
        <x:v>Ulta displayed 11,794 reviews and 4.6 rating.</x:v>
      </x:c>
      <x:c r="O7" s="21" t="str">
        <x:v>$15 mass price, invisible gel/primer positioning, zero-white-cast and water-resistant claims, broad retail access.</x:v>
      </x:c>
      <x:c r="P7" s="21" t="str">
        <x:v>Both are affordable broad-spectrum daily face sunscreens using avobenzone/homosalate/octisalate/octocrylene.</x:v>
      </x:c>
      <x:c r="Q7" s="21" t="str">
        <x:v>Beauty of Joseon adds rice/Hanbang and K-Beauty awareness; e.l.f. is $3 cheaper and much more broadly distributed.</x:v>
      </x:c>
      <x:c r="R7" s="21" t="str">
        <x:v>-$3.00 versus Daily Relief list</x:v>
      </x:c>
      <x:c r="S7" s="21" t="str">
        <x:v>Very High</x:v>
      </x:c>
      <x:c r="T7" s="21" t="str">
        <x:v>https://www.ulta.com/p/suntouchable-invisible-sunscreen-spf-35-pimprod2039942?sku=2611369</x:v>
      </x:c>
      <x:c r="U7" s="25" t="str">
        <x:v>2026-07-29</x:v>
      </x:c>
      <x:c r="V7" s="21" t="str">
        <x:v>SRC-BOJ-032</x:v>
      </x:c>
    </x:row>
    <x:row r="8" ht="96" customHeight="1">
      <x:c r="A8" s="21" t="str">
        <x:v>CMP-BOJ-002</x:v>
      </x:c>
      <x:c r="B8" s="21" t="str">
        <x:v>KB002</x:v>
      </x:c>
      <x:c r="C8" s="21" t="str">
        <x:v>BOJ-P002</x:v>
      </x:c>
      <x:c r="D8" s="21" t="str">
        <x:v>RoC</x:v>
      </x:c>
      <x:c r="E8" s="21" t="str">
        <x:v>Retinol Line Smoothing Anti-Wrinkle Eye Cream</x:v>
      </x:c>
      <x:c r="F8" s="21" t="str">
        <x:v>Mass-premium retinol eye care</x:v>
      </x:c>
      <x:c r="G8" s="21" t="str">
        <x:v>Eye Cream</x:v>
      </x:c>
      <x:c r="H8" s="21" t="str">
        <x:v>0.5 oz</x:v>
      </x:c>
      <x:c r="I8" s="52" t="n">
        <x:v>29.99</x:v>
      </x:c>
      <x:c r="J8" s="52" t="n">
        <x:v>59.98</x:v>
      </x:c>
      <x:c r="K8" s="21" t="str">
        <x:v>Ulta; drugstores; mass retail</x:v>
      </x:c>
      <x:c r="L8" s="33" t="n">
        <x:v>5142</x:v>
      </x:c>
      <x:c r="M8" s="27" t="n">
        <x:v>4.5</x:v>
      </x:c>
      <x:c r="N8" s="21" t="str">
        <x:v>Ulta displayed 5,142 reviews and 4.5 rating.</x:v>
      </x:c>
      <x:c r="O8" s="21" t="str">
        <x:v>Long-established retinol brand, dark-circle/puffiness/fine-line positioning and mass retail reach.</x:v>
      </x:c>
      <x:c r="P8" s="21" t="str">
        <x:v>Both position retinoids for visible aging concerns around the eyes.</x:v>
      </x:c>
      <x:c r="Q8" s="21" t="str">
        <x:v>Beauty of Joseon offers twice the approximate volume at $17 with ginseng/Hanbang; RoC has longer U.S. retinol equity.</x:v>
      </x:c>
      <x:c r="R8" s="21" t="str">
        <x:v>+$12.99 versus Revive Eye Serum list</x:v>
      </x:c>
      <x:c r="S8" s="21" t="str">
        <x:v>High</x:v>
      </x:c>
      <x:c r="T8" s="21" t="str">
        <x:v>https://www.ulta.com/p/retinol-correxion-anti-wrinkle-firming-eye-cream-dark-circles-puffy-eyes-pimprod2033457</x:v>
      </x:c>
      <x:c r="U8" s="25" t="str">
        <x:v>2026-07-29</x:v>
      </x:c>
      <x:c r="V8" s="21" t="str">
        <x:v>SRC-BOJ-033</x:v>
      </x:c>
    </x:row>
    <x:row r="9" ht="96" customHeight="1">
      <x:c r="A9" s="21" t="str">
        <x:v>CMP-BOJ-003</x:v>
      </x:c>
      <x:c r="B9" s="21" t="str">
        <x:v>KB002</x:v>
      </x:c>
      <x:c r="C9" s="21" t="str">
        <x:v>BOJ-P003</x:v>
      </x:c>
      <x:c r="D9" s="21" t="str">
        <x:v>Anua</x:v>
      </x:c>
      <x:c r="E9" s="21" t="str">
        <x:v>Niacinamide 10 + TXA 4 Serum</x:v>
      </x:c>
      <x:c r="F9" s="21" t="str">
        <x:v>Viral K-Beauty brightening / dark-spot serum</x:v>
      </x:c>
      <x:c r="G9" s="21" t="str">
        <x:v>Facial Serum</x:v>
      </x:c>
      <x:c r="H9" s="21" t="str">
        <x:v>30 mL / 1.01 fl oz</x:v>
      </x:c>
      <x:c r="I9" s="52" t="n">
        <x:v>21.85</x:v>
      </x:c>
      <x:c r="J9" s="52" t="n">
        <x:v>0.7283</x:v>
      </x:c>
      <x:c r="K9" s="21" t="str">
        <x:v>Amazon U.S.; TikTok Shop; K-Beauty retailers</x:v>
      </x:c>
      <x:c r="L9" s="33" t="n">
        <x:v>16300</x:v>
      </x:c>
      <x:c r="M9" s="27" t="n">
        <x:v>4.5</x:v>
      </x:c>
      <x:c r="N9" s="21" t="str">
        <x:v>Amazon displayed 16.3K reviews, 30K+ bought/month and a $21.85 price.</x:v>
      </x:c>
      <x:c r="O9" s="21" t="str">
        <x:v>Higher-active dark-spot story, strong viral awareness and substantially higher current Amazon velocity.</x:v>
      </x:c>
      <x:c r="P9" s="21" t="str">
        <x:v>Both are affordable K-Beauty serums using niacinamide for tone/texture concerns.</x:v>
      </x:c>
      <x:c r="Q9" s="21" t="str">
        <x:v>Beauty of Joseon is $4.85 cheaper with 60% propolis and gentler 2% niacinamide; Anua has stronger TXA/high-niacinamide treatment framing.</x:v>
      </x:c>
      <x:c r="R9" s="21" t="str">
        <x:v>+$4.85 versus Glow Serum list</x:v>
      </x:c>
      <x:c r="S9" s="21" t="str">
        <x:v>Very High</x:v>
      </x:c>
      <x:c r="T9" s="21" t="str">
        <x:v>https://www.amazon.com/dp/B0CLLV2T1P</x:v>
      </x:c>
      <x:c r="U9" s="25" t="str">
        <x:v>2026-07-29</x:v>
      </x:c>
      <x:c r="V9" s="21" t="str">
        <x:v>SRC-BOJ-034</x:v>
      </x:c>
    </x:row>
    <x:row r="10" ht="96" customHeight="1">
      <x:c r="A10" s="21" t="str">
        <x:v>CMP-BOJ-004</x:v>
      </x:c>
      <x:c r="B10" s="21" t="str">
        <x:v>KB002</x:v>
      </x:c>
      <x:c r="C10" s="21" t="str">
        <x:v>BOJ-P004</x:v>
      </x:c>
      <x:c r="D10" s="21" t="str">
        <x:v>COSRX</x:v>
      </x:c>
      <x:c r="E10" s="21" t="str">
        <x:v>Advanced Snail 92 All In One Cream</x:v>
      </x:c>
      <x:c r="F10" s="21" t="str">
        <x:v>Viral value K-Beauty moisturizer</x:v>
      </x:c>
      <x:c r="G10" s="21" t="str">
        <x:v>Face Moisturizer</x:v>
      </x:c>
      <x:c r="H10" s="21" t="str">
        <x:v>100 g / 3.52 oz</x:v>
      </x:c>
      <x:c r="I10" s="52" t="n">
        <x:v>19.99</x:v>
      </x:c>
      <x:c r="J10" s="52" t="n">
        <x:v>0.1999</x:v>
      </x:c>
      <x:c r="K10" s="21" t="str">
        <x:v>Amazon U.S.; Ulta; TikTok Shop; mass/specialty retail</x:v>
      </x:c>
      <x:c r="L10" s="33" t="n">
        <x:v>61500</x:v>
      </x:c>
      <x:c r="M10" s="27" t="n">
        <x:v>4.5</x:v>
      </x:c>
      <x:c r="N10" s="21" t="str">
        <x:v>Amazon displayed 61.5K reviews, 10K+ bought/month and a $19.99 current price.</x:v>
      </x:c>
      <x:c r="O10" s="21" t="str">
        <x:v>Iconic snail-mucin awareness, twice the format and broad mass/specialty reach.</x:v>
      </x:c>
      <x:c r="P10" s="21" t="str">
        <x:v>Both are dewy, hydrating K-Beauty moisturizers with strong social proof.</x:v>
      </x:c>
      <x:c r="Q10" s="21" t="str">
        <x:v>Dynasty Cream uses rice/ginseng/squalane/niacinamide in a richer heritage story; COSRX is cheaper and larger.</x:v>
      </x:c>
      <x:c r="R10" s="21" t="str">
        <x:v>-$4.01 versus Dynasty Cream list</x:v>
      </x:c>
      <x:c r="S10" s="21" t="str">
        <x:v>Very High</x:v>
      </x:c>
      <x:c r="T10" s="21" t="str">
        <x:v>https://www.amazon.com/dp/B01LEJ5MSK</x:v>
      </x:c>
      <x:c r="U10" s="25" t="str">
        <x:v>2026-07-29</x:v>
      </x:c>
      <x:c r="V10" s="21" t="str">
        <x:v>SRC-BOJ-035</x:v>
      </x:c>
    </x:row>
    <x:row r="11" ht="96" customHeight="1">
      <x:c r="A11" s="21" t="str">
        <x:v>CMP-BOJ-005</x:v>
      </x:c>
      <x:c r="B11" s="21" t="str">
        <x:v>KB002</x:v>
      </x:c>
      <x:c r="C11" s="21" t="str">
        <x:v>BOJ-P005</x:v>
      </x:c>
      <x:c r="D11" s="21" t="str">
        <x:v>COSRX</x:v>
      </x:c>
      <x:c r="E11" s="21" t="str">
        <x:v>Low pH Good Morning Gel Cleanser</x:v>
      </x:c>
      <x:c r="F11" s="21" t="str">
        <x:v>Iconic value K-Beauty low-pH cleanser</x:v>
      </x:c>
      <x:c r="G11" s="21" t="str">
        <x:v>Facial Cleanser</x:v>
      </x:c>
      <x:c r="H11" s="21" t="str">
        <x:v>150 mL / 5.07 fl oz</x:v>
      </x:c>
      <x:c r="I11" s="52" t="n">
        <x:v>11.9</x:v>
      </x:c>
      <x:c r="J11" s="52" t="n">
        <x:v>0.0793</x:v>
      </x:c>
      <x:c r="K11" s="21" t="str">
        <x:v>Amazon U.S.; Ulta; TikTok Shop; mass/specialty retail</x:v>
      </x:c>
      <x:c r="L11" s="33" t="n">
        <x:v>21100</x:v>
      </x:c>
      <x:c r="M11" s="27" t="n">
        <x:v>4.5</x:v>
      </x:c>
      <x:c r="N11" s="21" t="str">
        <x:v>Amazon displayed 21.1K reviews, 10K+ bought/month and an $11.90 price.</x:v>
      </x:c>
      <x:c r="O11" s="21" t="str">
        <x:v>Established low-pH category equity, larger format and lower current price.</x:v>
      </x:c>
      <x:c r="P11" s="21" t="str">
        <x:v>Both are gentle gel cleansers intended for daily K-Beauty routines.</x:v>
      </x:c>
      <x:c r="Q11" s="21" t="str">
        <x:v>Green Plum uses plum/mung bean and fragrance-free Hanbang positioning; COSRX has larger scale and size.</x:v>
      </x:c>
      <x:c r="R11" s="21" t="str">
        <x:v>-$1.10 versus Green Plum list</x:v>
      </x:c>
      <x:c r="S11" s="21" t="str">
        <x:v>Very High</x:v>
      </x:c>
      <x:c r="T11" s="21" t="str">
        <x:v>https://www.amazon.com/dp/B016NRXO06</x:v>
      </x:c>
      <x:c r="U11" s="25" t="str">
        <x:v>2026-07-29</x:v>
      </x:c>
      <x:c r="V11" s="21" t="str">
        <x:v>SRC-BOJ-036</x:v>
      </x:c>
    </x:row>
    <x:row r="12" ht="100" customHeight="1">
      <x:c r="A12" s="21" t="str">
        <x:v>CMP-ANUA-001</x:v>
      </x:c>
      <x:c r="B12" s="21" t="str">
        <x:v>KB003</x:v>
      </x:c>
      <x:c r="C12" s="21" t="str">
        <x:v>ANUA-P001</x:v>
      </x:c>
      <x:c r="D12" s="21" t="str">
        <x:v>COSRX</x:v>
      </x:c>
      <x:c r="E12" s="21" t="str">
        <x:v>Low pH Good Morning Gel Cleanser</x:v>
      </x:c>
      <x:c r="F12" s="21" t="str">
        <x:v>Iconic value K-Beauty daily cleanser</x:v>
      </x:c>
      <x:c r="G12" s="21" t="str">
        <x:v>Facial Cleanser</x:v>
      </x:c>
      <x:c r="H12" s="21" t="str">
        <x:v>150 mL / 5.07 fl oz</x:v>
      </x:c>
      <x:c r="I12" s="52" t="n">
        <x:v>11.9</x:v>
      </x:c>
      <x:c r="J12" s="52" t="n">
        <x:v>0.0793</x:v>
      </x:c>
      <x:c r="K12" s="21" t="str">
        <x:v>Amazon U.S.; Ulta; TikTok Shop; mass/specialty retail</x:v>
      </x:c>
      <x:c r="L12" s="33" t="n">
        <x:v>21100</x:v>
      </x:c>
      <x:c r="M12" s="27" t="n">
        <x:v>4.5</x:v>
      </x:c>
      <x:c r="N12" s="21" t="str">
        <x:v>Amazon displayed about 21.1K reviews, 10K+ bought/month and an $11.90 price.</x:v>
      </x:c>
      <x:c r="O12" s="21" t="str">
        <x:v>Long-established low-pH equity, lower price and broad retail access.</x:v>
      </x:c>
      <x:c r="P12" s="21" t="str">
        <x:v>Both are affordable 150 mL K-Beauty second cleansers for oily/pore-conscious routines.</x:v>
      </x:c>
      <x:c r="Q12" s="21" t="str">
        <x:v>Anua has a stronger current 60K+ monthly purchase signal and heartleaf/pore story; COSRX is cheaper and has deeper category history.</x:v>
      </x:c>
      <x:c r="R12" s="21" t="str">
        <x:v>-$1.10 versus Anua current Amazon price</x:v>
      </x:c>
      <x:c r="S12" s="21" t="str">
        <x:v>Very High</x:v>
      </x:c>
      <x:c r="T12" s="21" t="str">
        <x:v>https://www.amazon.com/dp/B016NRXO06</x:v>
      </x:c>
      <x:c r="U12" s="25" t="str">
        <x:v>2026-07-29</x:v>
      </x:c>
      <x:c r="V12" s="21" t="str">
        <x:v>SRC-ANUA-041</x:v>
      </x:c>
    </x:row>
    <x:row r="13" ht="100" customHeight="1">
      <x:c r="A13" s="21" t="str">
        <x:v>CMP-ANUA-002</x:v>
      </x:c>
      <x:c r="B13" s="21" t="str">
        <x:v>KB003</x:v>
      </x:c>
      <x:c r="C13" s="21" t="str">
        <x:v>ANUA-P002</x:v>
      </x:c>
      <x:c r="D13" s="21" t="str">
        <x:v>The Ordinary</x:v>
      </x:c>
      <x:c r="E13" s="21" t="str">
        <x:v>Azelaic Acid Suspension 10%</x:v>
      </x:c>
      <x:c r="F13" s="21" t="str">
        <x:v>Global value active-led redness/blemish care</x:v>
      </x:c>
      <x:c r="G13" s="21" t="str">
        <x:v>Azelaic Acid Treatment</x:v>
      </x:c>
      <x:c r="H13" s="21" t="str">
        <x:v>30 mL / 1.0 oz</x:v>
      </x:c>
      <x:c r="I13" s="52" t="n">
        <x:v>12.2</x:v>
      </x:c>
      <x:c r="J13" s="52" t="n">
        <x:v>0.4067</x:v>
      </x:c>
      <x:c r="K13" s="21" t="str">
        <x:v>Ulta; Sephora; The Ordinary; specialty retail</x:v>
      </x:c>
      <x:c r="L13" s="33" t="n">
        <x:v>2511</x:v>
      </x:c>
      <x:c r="M13" s="27" t="n">
        <x:v>4.2</x:v>
      </x:c>
      <x:c r="N13" s="21" t="str">
        <x:v>Ulta displayed 2,511 reviews, 4.2 rating and $12.20 list price.</x:v>
      </x:c>
      <x:c r="O13" s="21" t="str">
        <x:v>Very low price, global ingredient authority and broad specialty access.</x:v>
      </x:c>
      <x:c r="P13" s="21" t="str">
        <x:v>Both use 10% azelaic acid for uneven-looking tone/redness/blemish-prone routines.</x:v>
      </x:c>
      <x:c r="Q13" s="21" t="str">
        <x:v>Anua offers a lighter hydrating serum and much stronger current Amazon purchase badge; The Ordinary costs $9.80 less.</x:v>
      </x:c>
      <x:c r="R13" s="21" t="str">
        <x:v>-$9.80 versus Anua current Amazon price</x:v>
      </x:c>
      <x:c r="S13" s="21" t="str">
        <x:v>Very High</x:v>
      </x:c>
      <x:c r="T13" s="21" t="str">
        <x:v>https://www.ulta.com/p/azelaic-acid-suspension-10-cream-redness-blemish-prone-skin-pimprod2007104</x:v>
      </x:c>
      <x:c r="U13" s="25" t="str">
        <x:v>2026-07-29</x:v>
      </x:c>
      <x:c r="V13" s="21" t="str">
        <x:v>SRC-ANUA-042</x:v>
      </x:c>
    </x:row>
    <x:row r="14" ht="100" customHeight="1">
      <x:c r="A14" s="21" t="str">
        <x:v>CMP-ANUA-003</x:v>
      </x:c>
      <x:c r="B14" s="21" t="str">
        <x:v>KB003</x:v>
      </x:c>
      <x:c r="C14" s="21" t="str">
        <x:v>ANUA-P003</x:v>
      </x:c>
      <x:c r="D14" s="21" t="str">
        <x:v>SKIN1004</x:v>
      </x:c>
      <x:c r="E14" s="21" t="str">
        <x:v>Madagascar Centella Light Cleansing Oil</x:v>
      </x:c>
      <x:c r="F14" s="21" t="str">
        <x:v>Viral K-Beauty botanical cleansing oil</x:v>
      </x:c>
      <x:c r="G14" s="21" t="str">
        <x:v>Cleansing Oil</x:v>
      </x:c>
      <x:c r="H14" s="21" t="str">
        <x:v>200 mL / 6.76 oz</x:v>
      </x:c>
      <x:c r="I14" s="52" t="n">
        <x:v>25</x:v>
      </x:c>
      <x:c r="J14" s="52" t="n">
        <x:v>0.125</x:v>
      </x:c>
      <x:c r="K14" s="21" t="str">
        <x:v>Ulta; Amazon; TikTok Shop; K-Beauty retailers</x:v>
      </x:c>
      <x:c r="L14" s="33" t="n">
        <x:v>980</x:v>
      </x:c>
      <x:c r="M14" s="27" t="n">
        <x:v>4.5</x:v>
      </x:c>
      <x:c r="N14" s="21" t="str">
        <x:v>Ulta displayed 980 reviews, 4.5 rating and $25 price.</x:v>
      </x:c>
      <x:c r="O14" s="21" t="str">
        <x:v>Centella authority, lightweight botanical-oil story and Ulta visibility.</x:v>
      </x:c>
      <x:c r="P14" s="21" t="str">
        <x:v>Both are 200 mL Korean first cleansers designed for makeup, sunscreen and excess sebum.</x:v>
      </x:c>
      <x:c r="Q14" s="21" t="str">
        <x:v>Anua is $3 cheaper at list and has far larger Amazon velocity/reviews; SKIN1004 provides centella differentiation and newer Ulta social proof.</x:v>
      </x:c>
      <x:c r="R14" s="21" t="str">
        <x:v> +$8.00 versus Anua current Amazon price</x:v>
      </x:c>
      <x:c r="S14" s="21" t="str">
        <x:v>Very High</x:v>
      </x:c>
      <x:c r="T14" s="21" t="str">
        <x:v>https://www.ulta.com/p/madagascar-centella-light-cleansing-oil-pimprod2045884</x:v>
      </x:c>
      <x:c r="U14" s="25" t="str">
        <x:v>2026-07-29</x:v>
      </x:c>
      <x:c r="V14" s="21" t="str">
        <x:v>SRC-ANUA-043</x:v>
      </x:c>
    </x:row>
    <x:row r="15" ht="100" customHeight="1">
      <x:c r="A15" s="21" t="str">
        <x:v>CMP-ANUA-004</x:v>
      </x:c>
      <x:c r="B15" s="21" t="str">
        <x:v>KB003</x:v>
      </x:c>
      <x:c r="C15" s="21" t="str">
        <x:v>ANUA-P004</x:v>
      </x:c>
      <x:c r="D15" s="21" t="str">
        <x:v>Good Molecules</x:v>
      </x:c>
      <x:c r="E15" s="21" t="str">
        <x:v>Discoloration Correcting Serum</x:v>
      </x:c>
      <x:c r="F15" s="21" t="str">
        <x:v>U.S. value dark-spot / uneven-tone serum</x:v>
      </x:c>
      <x:c r="G15" s="21" t="str">
        <x:v>Facial Serum</x:v>
      </x:c>
      <x:c r="H15" s="21" t="str">
        <x:v>30 mL / 1.0 oz</x:v>
      </x:c>
      <x:c r="I15" s="52" t="n">
        <x:v>12</x:v>
      </x:c>
      <x:c r="J15" s="52" t="n">
        <x:v>0.4</x:v>
      </x:c>
      <x:c r="K15" s="21" t="str">
        <x:v>Ulta; Target; Good Molecules</x:v>
      </x:c>
      <x:c r="L15" s="33" t="n">
        <x:v>4538</x:v>
      </x:c>
      <x:c r="M15" s="27" t="n">
        <x:v>4.2</x:v>
      </x:c>
      <x:c r="N15" s="21" t="str">
        <x:v>Ulta displayed 4,538 reviews, 4.2 rating and $12 price.</x:v>
      </x:c>
      <x:c r="O15" s="21" t="str">
        <x:v>Very low price, U.S. retail accessibility and simple TXA-derivative/niacinamide story.</x:v>
      </x:c>
      <x:c r="P15" s="21" t="str">
        <x:v>Both combine niacinamide and tranexamic-acid-related ingredients for uneven-looking tone.</x:v>
      </x:c>
      <x:c r="Q15" s="21" t="str">
        <x:v>Anua has higher disclosed active levels, far larger Amazon demand and viral K-Beauty awareness; Good Molecules is $9.85 cheaper.</x:v>
      </x:c>
      <x:c r="R15" s="21" t="str">
        <x:v>-$9.85 versus Anua current Amazon price</x:v>
      </x:c>
      <x:c r="S15" s="21" t="str">
        <x:v>Very High</x:v>
      </x:c>
      <x:c r="T15" s="21" t="str">
        <x:v>https://www.ulta.com/p/discoloration-correcting-serum-pimprod2023928</x:v>
      </x:c>
      <x:c r="U15" s="25" t="str">
        <x:v>2026-07-29</x:v>
      </x:c>
      <x:c r="V15" s="21" t="str">
        <x:v>SRC-ANUA-044</x:v>
      </x:c>
    </x:row>
    <x:row r="16" ht="100" customHeight="1">
      <x:c r="A16" s="21" t="str">
        <x:v>CMP-ANUA-005</x:v>
      </x:c>
      <x:c r="B16" s="21" t="str">
        <x:v>KB003</x:v>
      </x:c>
      <x:c r="C16" s="21" t="str">
        <x:v>ANUA-P005</x:v>
      </x:c>
      <x:c r="D16" s="21" t="str">
        <x:v>I'm From</x:v>
      </x:c>
      <x:c r="E16" s="21" t="str">
        <x:v>Rice Toner</x:v>
      </x:c>
      <x:c r="F16" s="21" t="str">
        <x:v>K-Beauty hydration/brightening toner</x:v>
      </x:c>
      <x:c r="G16" s="21" t="str">
        <x:v>Facial Toner</x:v>
      </x:c>
      <x:c r="H16" s="21" t="str">
        <x:v>150 mL / 5.07 oz</x:v>
      </x:c>
      <x:c r="I16" s="52" t="n">
        <x:v>28</x:v>
      </x:c>
      <x:c r="J16" s="52" t="n">
        <x:v>0.1867</x:v>
      </x:c>
      <x:c r="K16" s="21" t="str">
        <x:v>Ulta; Wishtrend; K-Beauty retailers</x:v>
      </x:c>
      <x:c r="L16" s="33" t="n">
        <x:v>522</x:v>
      </x:c>
      <x:c r="M16" s="27" t="n">
        <x:v>4.9</x:v>
      </x:c>
      <x:c r="N16" s="21" t="str">
        <x:v>Ulta displayed 522 reviews, 4.9 rating and $28 price.</x:v>
      </x:c>
      <x:c r="O16" s="21" t="str">
        <x:v>Rice/niacinamide hydration story, very high retailer rating and premium K-Beauty positioning.</x:v>
      </x:c>
      <x:c r="P16" s="21" t="str">
        <x:v>Both are gentle Korean toners positioned for hydration, comfort and more even-looking skin.</x:v>
      </x:c>
      <x:c r="Q16" s="21" t="str">
        <x:v>Anua is larger and $5 cheaper at list with much larger marketplace awareness; I'm From has a rice/emulsion differentiation and stronger Ulta aggregate rating.</x:v>
      </x:c>
      <x:c r="R16" s="21" t="str">
        <x:v> +$8.31 versus Anua current Amazon price</x:v>
      </x:c>
      <x:c r="S16" s="21" t="str">
        <x:v>High</x:v>
      </x:c>
      <x:c r="T16" s="21" t="str">
        <x:v>https://www.ulta.com/p/rice-toner-pimprod2051769</x:v>
      </x:c>
      <x:c r="U16" s="25" t="str">
        <x:v>2026-07-29</x:v>
      </x:c>
      <x:c r="V16" s="21" t="str">
        <x:v>SRC-ANUA-045</x:v>
      </x:c>
    </x:row>
    <x:row r="17" ht="102" customHeight="1">
      <x:c r="A17" s="21" t="str">
        <x:v>CMP-LAN-001</x:v>
      </x:c>
      <x:c r="B17" s="21" t="str">
        <x:v>KB005</x:v>
      </x:c>
      <x:c r="C17" s="21" t="str">
        <x:v>LAN-P001</x:v>
      </x:c>
      <x:c r="D17" s="21" t="str">
        <x:v>Tatcha</x:v>
      </x:c>
      <x:c r="E17" s="21" t="str">
        <x:v>The Kissu Lip Mask</x:v>
      </x:c>
      <x:c r="F17" s="21" t="str">
        <x:v>Premium Japanese-inspired prestige lip mask</x:v>
      </x:c>
      <x:c r="G17" s="21" t="str">
        <x:v>Lip Mask</x:v>
      </x:c>
      <x:c r="H17" s="21" t="str">
        <x:v>9 mL / 0.3 oz</x:v>
      </x:c>
      <x:c r="I17" s="52" t="n">
        <x:v>29</x:v>
      </x:c>
      <x:c r="J17" s="52" t="n">
        <x:v>3.2222</x:v>
      </x:c>
      <x:c r="K17" s="21" t="str">
        <x:v>Sephora; Tatcha; prestige retail</x:v>
      </x:c>
      <x:c r="L17" s="33" t="n">
        <x:v>1700</x:v>
      </x:c>
      <x:c r="M17" s="27" t="n">
        <x:v>4</x:v>
      </x:c>
      <x:c r="N17" s="21" t="str">
        <x:v>Sephora displayed $29, 4.0 rating and approximately 1.7K reviews.</x:v>
      </x:c>
      <x:c r="O17" s="21" t="str">
        <x:v>Premium brand equity and concentrated gel-mask ritual.</x:v>
      </x:c>
      <x:c r="P17" s="21" t="str">
        <x:v>Both are prestige leave-on lip masks positioned for softness and nourishment.</x:v>
      </x:c>
      <x:c r="Q17" s="21" t="str">
        <x:v>Laneige is larger, cheaper at the sampled Amazon price and has much higher review/velocity evidence; Tatcha provides luxury differentiation.</x:v>
      </x:c>
      <x:c r="R17" s="21" t="str">
        <x:v> +$9.80 versus Laneige current Amazon price</x:v>
      </x:c>
      <x:c r="S17" s="21" t="str">
        <x:v>Very High</x:v>
      </x:c>
      <x:c r="T17" s="21" t="str">
        <x:v>https://www.sephora.com/product/tatcha-the-kissu-lip-mask-P453225</x:v>
      </x:c>
      <x:c r="U17" s="25" t="str">
        <x:v>2026-07-30</x:v>
      </x:c>
      <x:c r="V17" s="21" t="str">
        <x:v>SRC-LAN-043</x:v>
      </x:c>
    </x:row>
    <x:row r="18" ht="102" customHeight="1">
      <x:c r="A18" s="21" t="str">
        <x:v>CMP-LAN-002</x:v>
      </x:c>
      <x:c r="B18" s="21" t="str">
        <x:v>KB005</x:v>
      </x:c>
      <x:c r="C18" s="21" t="str">
        <x:v>LAN-P002</x:v>
      </x:c>
      <x:c r="D18" s="21" t="str">
        <x:v>Summer Fridays</x:v>
      </x:c>
      <x:c r="E18" s="21" t="str">
        <x:v>Lip Butter Balm</x:v>
      </x:c>
      <x:c r="F18" s="21" t="str">
        <x:v>Viral U.S. prestige flavored lip balm</x:v>
      </x:c>
      <x:c r="G18" s="21" t="str">
        <x:v>Lip Balm</x:v>
      </x:c>
      <x:c r="H18" s="21" t="str">
        <x:v>15 g / 0.5 oz</x:v>
      </x:c>
      <x:c r="I18" s="52" t="n">
        <x:v>24</x:v>
      </x:c>
      <x:c r="J18" s="52" t="n">
        <x:v>1.6</x:v>
      </x:c>
      <x:c r="K18" s="21" t="str">
        <x:v>Sephora; Summer Fridays; prestige retail</x:v>
      </x:c>
      <x:c r="L18" s="33" t="n">
        <x:v>17700</x:v>
      </x:c>
      <x:c r="M18" s="27" t="n">
        <x:v>4.5</x:v>
      </x:c>
      <x:c r="N18" s="21" t="str">
        <x:v>Sephora displayed $24, 4.5 rating and approximately 17.7K reviews.</x:v>
      </x:c>
      <x:c r="O18" s="21" t="str">
        <x:v>Large U.S. social following, flavor/color launches and squeeze-tube format.</x:v>
      </x:c>
      <x:c r="P18" s="21" t="str">
        <x:v>Both are prestige flavored glossy balms with gifting and collectible appeal.</x:v>
      </x:c>
      <x:c r="Q18" s="21" t="str">
        <x:v>Laneige is $8.80 cheaper at sampled Amazon price and has larger Amazon reviews; Summer Fridays offers a larger format and strong domestic prestige relevance.</x:v>
      </x:c>
      <x:c r="R18" s="21" t="str">
        <x:v> +$8.80 versus Laneige current Amazon price</x:v>
      </x:c>
      <x:c r="S18" s="21" t="str">
        <x:v>Very High</x:v>
      </x:c>
      <x:c r="T18" s="21" t="str">
        <x:v>https://www.sephora.com/product/summer-fridays-lip-butter-balm-P455936</x:v>
      </x:c>
      <x:c r="U18" s="25" t="str">
        <x:v>2026-07-30</x:v>
      </x:c>
      <x:c r="V18" s="21" t="str">
        <x:v>SRC-LAN-044</x:v>
      </x:c>
    </x:row>
    <x:row r="19" ht="102" customHeight="1">
      <x:c r="A19" s="21" t="str">
        <x:v>CMP-LAN-003</x:v>
      </x:c>
      <x:c r="B19" s="21" t="str">
        <x:v>KB005</x:v>
      </x:c>
      <x:c r="C19" s="21" t="str">
        <x:v>LAN-P003</x:v>
      </x:c>
      <x:c r="D19" s="21" t="str">
        <x:v>Rhode</x:v>
      </x:c>
      <x:c r="E19" s="21" t="str">
        <x:v>Glazing Milk</x:v>
      </x:c>
      <x:c r="F19" s="21" t="str">
        <x:v>Celebrity-led milky barrier-prep essence</x:v>
      </x:c>
      <x:c r="G19" s="21" t="str">
        <x:v>Milky Essence</x:v>
      </x:c>
      <x:c r="H19" s="21" t="str">
        <x:v>124 mL / 4.2 oz</x:v>
      </x:c>
      <x:c r="I19" s="52" t="n">
        <x:v>32</x:v>
      </x:c>
      <x:c r="J19" s="52" t="n">
        <x:v>0.2576</x:v>
      </x:c>
      <x:c r="K19" s="21" t="str">
        <x:v>Rhode DTC; Sephora/retail expansion</x:v>
      </x:c>
      <x:c r="L19" s="33" t="n">
        <x:v>6303</x:v>
      </x:c>
      <x:c r="M19" s="27" t="n">
        <x:v>4.7</x:v>
      </x:c>
      <x:c r="N19" s="21" t="str">
        <x:v>Official Rhode page displayed $32, 4.7 rating and 6,303 reviews.</x:v>
      </x:c>
      <x:c r="O19" s="21" t="str">
        <x:v>Celebrity founder, minimalist barrier-care positioning and high social visibility.</x:v>
      </x:c>
      <x:c r="P19" s="21" t="str">
        <x:v>Both are milky hydrating prep steps positioned for glow and barrier comfort.</x:v>
      </x:c>
      <x:c r="Q19" s="21" t="str">
        <x:v>Laneige offers 46 mL more product and mature Sephora/Amazon scale; Rhode is $4 cheaper and has strong U.S. cultural relevance.</x:v>
      </x:c>
      <x:c r="R19" s="21" t="str">
        <x:v>-$4.00 versus Laneige official price</x:v>
      </x:c>
      <x:c r="S19" s="21" t="str">
        <x:v>Very High</x:v>
      </x:c>
      <x:c r="T19" s="21" t="str">
        <x:v>https://www.rhodeskin.com/products/glazing-milk</x:v>
      </x:c>
      <x:c r="U19" s="25" t="str">
        <x:v>2026-07-30</x:v>
      </x:c>
      <x:c r="V19" s="21" t="str">
        <x:v>SRC-LAN-045</x:v>
      </x:c>
    </x:row>
    <x:row r="20" ht="102" customHeight="1">
      <x:c r="A20" s="21" t="str">
        <x:v>CMP-LAN-004</x:v>
      </x:c>
      <x:c r="B20" s="21" t="str">
        <x:v>KB005</x:v>
      </x:c>
      <x:c r="C20" s="21" t="str">
        <x:v>LAN-P004</x:v>
      </x:c>
      <x:c r="D20" s="21" t="str">
        <x:v>belif</x:v>
      </x:c>
      <x:c r="E20" s="21" t="str">
        <x:v>The True Cream Aqua Bomb</x:v>
      </x:c>
      <x:c r="F20" s="21" t="str">
        <x:v>Established Korean prestige gel moisturizer</x:v>
      </x:c>
      <x:c r="G20" s="21" t="str">
        <x:v>Face Moisturizer</x:v>
      </x:c>
      <x:c r="H20" s="21" t="str">
        <x:v>50 mL / 1.68 oz</x:v>
      </x:c>
      <x:c r="I20" s="52" t="n">
        <x:v>40</x:v>
      </x:c>
      <x:c r="J20" s="52" t="n">
        <x:v>0.8</x:v>
      </x:c>
      <x:c r="K20" s="21" t="str">
        <x:v>Ulta; belif; specialty retail</x:v>
      </x:c>
      <x:c r="L20" s="33" t="n">
        <x:v>255</x:v>
      </x:c>
      <x:c r="M20" s="27" t="n">
        <x:v>4.5</x:v>
      </x:c>
      <x:c r="N20" s="21" t="str">
        <x:v>Ulta displayed $40, 4.5 rating and 255 reviews.</x:v>
      </x:c>
      <x:c r="O20" s="21" t="str">
        <x:v>Long-established Korean hydration equity and lightweight gel texture.</x:v>
      </x:c>
      <x:c r="P20" s="21" t="str">
        <x:v>Both are 50 mL Korean prestige moisturizers focused on hydration.</x:v>
      </x:c>
      <x:c r="Q20" s="21" t="str">
        <x:v>Laneige is $2 cheaper with stronger current Amazon/Sephora scale; belif offers Aqua Bomb gel recognition and Ulta placement.</x:v>
      </x:c>
      <x:c r="R20" s="21" t="str">
        <x:v> +$2.00 versus Laneige official price</x:v>
      </x:c>
      <x:c r="S20" s="21" t="str">
        <x:v>High</x:v>
      </x:c>
      <x:c r="T20" s="21" t="str">
        <x:v>https://www.ulta.com/p/true-cream-aqua-bomb-hydrating-moisturizer-pimprod2043259</x:v>
      </x:c>
      <x:c r="U20" s="25" t="str">
        <x:v>2026-07-30</x:v>
      </x:c>
      <x:c r="V20" s="21" t="str">
        <x:v>SRC-LAN-046</x:v>
      </x:c>
    </x:row>
    <x:row r="21" ht="102" customHeight="1">
      <x:c r="A21" s="21" t="str">
        <x:v>CMP-LAN-005</x:v>
      </x:c>
      <x:c r="B21" s="21" t="str">
        <x:v>KB005</x:v>
      </x:c>
      <x:c r="C21" s="21" t="str">
        <x:v>LAN-P005</x:v>
      </x:c>
      <x:c r="D21" s="21" t="str">
        <x:v>Glow Recipe</x:v>
      </x:c>
      <x:c r="E21" s="21" t="str">
        <x:v>Watermelon Glow AHA Night Treatment</x:v>
      </x:c>
      <x:c r="F21" s="21" t="str">
        <x:v>Viral U.S. K-Beauty-inspired exfoliating overnight treatment</x:v>
      </x:c>
      <x:c r="G21" s="21" t="str">
        <x:v>Overnight Treatment</x:v>
      </x:c>
      <x:c r="H21" s="21" t="str">
        <x:v>60 mL / 2.0 oz</x:v>
      </x:c>
      <x:c r="I21" s="52" t="n">
        <x:v>54</x:v>
      </x:c>
      <x:c r="J21" s="52" t="n">
        <x:v>0.9</x:v>
      </x:c>
      <x:c r="K21" s="21" t="str">
        <x:v>Sephora; Glow Recipe; prestige retail</x:v>
      </x:c>
      <x:c r="L21" s="33" t="n">
        <x:v>990</x:v>
      </x:c>
      <x:c r="M21" s="27"/>
      <x:c r="N21" s="21" t="str">
        <x:v>Sephora displayed approximately $54 and about 990 reviews; current aggregate rating was not consistently rendered in this pass.</x:v>
      </x:c>
      <x:c r="O21" s="21" t="str">
        <x:v>Watermelon identity, AHA renewal proposition and strong social-media recognition.</x:v>
      </x:c>
      <x:c r="P21" s="21" t="str">
        <x:v>Both are 60 mL prestige overnight treatments promising a better-looking morning complexion.</x:v>
      </x:c>
      <x:c r="Q21" s="21" t="str">
        <x:v>Laneige is $18 cheaper and focuses on bounce/hydration; Glow Recipe offers an exfoliating AHA use case with different tolerance risks.</x:v>
      </x:c>
      <x:c r="R21" s="21" t="str">
        <x:v> +$18.00 versus Laneige official price</x:v>
      </x:c>
      <x:c r="S21" s="21" t="str">
        <x:v>High</x:v>
      </x:c>
      <x:c r="T21" s="21" t="str">
        <x:v>https://www.sephora.com/product/watermelon-glow-aha-night-treatment-P501254</x:v>
      </x:c>
      <x:c r="U21" s="25" t="str">
        <x:v>2026-07-30</x:v>
      </x:c>
      <x:c r="V21" s="21" t="str">
        <x:v>SRC-LAN-047</x:v>
      </x:c>
    </x:row>
    <x:row r="22" ht="106" customHeight="1">
      <x:c r="A22" s="21" t="str">
        <x:v>CMP-SKN-001</x:v>
      </x:c>
      <x:c r="B22" s="21" t="str">
        <x:v>KB004</x:v>
      </x:c>
      <x:c r="C22" s="21" t="str">
        <x:v>SKN-P001</x:v>
      </x:c>
      <x:c r="D22" s="21" t="str">
        <x:v>PURITO SEOUL</x:v>
      </x:c>
      <x:c r="E22" s="21" t="str">
        <x:v>Wonder Releaf Centella Serum Unscented</x:v>
      </x:c>
      <x:c r="F22" s="21" t="str">
        <x:v>Centella-led sensitive-skin/barrier serum</x:v>
      </x:c>
      <x:c r="G22" s="21" t="str">
        <x:v>Facial Serum</x:v>
      </x:c>
      <x:c r="H22" s="21" t="str">
        <x:v>60 mL / 2.02 fl oz</x:v>
      </x:c>
      <x:c r="I22" s="52"/>
      <x:c r="J22" s="52"/>
      <x:c r="K22" s="21" t="str">
        <x:v>PURITO; Amazon; K-Beauty specialty</x:v>
      </x:c>
      <x:c r="L22" s="33"/>
      <x:c r="M22" s="27"/>
      <x:c r="N22" s="21" t="str">
        <x:v>Official product page confirms current unscented centella-serum positioning; price and current Amazon review count were not captured consistently in this pass.</x:v>
      </x:c>
      <x:c r="O22" s="21" t="str">
        <x:v>Established sensitive-skin credibility and a more complex barrier-supporting formula.</x:v>
      </x:c>
      <x:c r="P22" s="21" t="str">
        <x:v>Both target soothing, redness-prone and barrier-compromised routines with centella and fragrance-free positioning.</x:v>
      </x:c>
      <x:c r="Q22" s="21" t="str">
        <x:v>SKIN1004 offers a larger 100 mL signature ampoule, stronger captured Amazon velocity and a simpler watery format; PURITO can appeal to consumers seeking a multi-ingredient serum.</x:v>
      </x:c>
      <x:c r="R22" s="21" t="str">
        <x:v>Price verification required</x:v>
      </x:c>
      <x:c r="S22" s="21" t="str">
        <x:v>High</x:v>
      </x:c>
      <x:c r="T22" s="21" t="str">
        <x:v>https://purito.com/product/wonder-releaf-centella-serum-unscented/</x:v>
      </x:c>
      <x:c r="U22" s="25" t="str">
        <x:v>2026-07-30</x:v>
      </x:c>
      <x:c r="V22" s="21" t="str">
        <x:v>SRC-SKN-049</x:v>
      </x:c>
    </x:row>
    <x:row r="23" ht="106" customHeight="1">
      <x:c r="A23" s="21" t="str">
        <x:v>CMP-SKN-002</x:v>
      </x:c>
      <x:c r="B23" s="21" t="str">
        <x:v>KB004</x:v>
      </x:c>
      <x:c r="C23" s="21" t="str">
        <x:v>SKN-P002</x:v>
      </x:c>
      <x:c r="D23" s="21" t="str">
        <x:v>Anua</x:v>
      </x:c>
      <x:c r="E23" s="21" t="str">
        <x:v>Heartleaf Pore Control Cleansing Oil</x:v>
      </x:c>
      <x:c r="F23" s="21" t="str">
        <x:v>Viral Korean cleansing oil</x:v>
      </x:c>
      <x:c r="G23" s="21" t="str">
        <x:v>Oil Cleanser</x:v>
      </x:c>
      <x:c r="H23" s="21" t="str">
        <x:v>200 mL / 6.7 fl oz</x:v>
      </x:c>
      <x:c r="I23" s="52" t="n">
        <x:v>14.99</x:v>
      </x:c>
      <x:c r="J23" s="52" t="n">
        <x:v>0.075</x:v>
      </x:c>
      <x:c r="K23" s="21" t="str">
        <x:v>Amazon; Ulta; Anua; mass/specialty</x:v>
      </x:c>
      <x:c r="L23" s="33" t="n">
        <x:v>28107</x:v>
      </x:c>
      <x:c r="M23" s="27" t="n">
        <x:v>4.4</x:v>
      </x:c>
      <x:c r="N23" s="21" t="str">
        <x:v>Recent Amazon/Woot-linked display showed $14.99, 4.4 and 28,107 reviews; prior direct master-workbook research captured #1 Makeup Cleansing Oils.</x:v>
      </x:c>
      <x:c r="O23" s="21" t="str">
        <x:v>Exceptional awareness, review depth and pore/double-cleansing search visibility.</x:v>
      </x:c>
      <x:c r="P23" s="21" t="str">
        <x:v>Both are 200 mL affordable K-Beauty oil cleansers marketed for makeup, sunscreen, sebum and pore care.</x:v>
      </x:c>
      <x:c r="Q23" s="21" t="str">
        <x:v>SKIN1004 was $1.82 cheaper in the sampled Amazon offers and has centella-line bundling; Anua has greater review depth and stronger #1-category recognition.</x:v>
      </x:c>
      <x:c r="R23" s="21" t="str">
        <x:v> +$1.82 versus SKIN1004 Amazon price</x:v>
      </x:c>
      <x:c r="S23" s="21" t="str">
        <x:v>Very High</x:v>
      </x:c>
      <x:c r="T23" s="21" t="str">
        <x:v>https://www.amazon.com/dp/B0BN2PX8V3</x:v>
      </x:c>
      <x:c r="U23" s="25" t="str">
        <x:v>2026-07-30</x:v>
      </x:c>
      <x:c r="V23" s="21" t="str">
        <x:v>SRC-SKN-050</x:v>
      </x:c>
    </x:row>
    <x:row r="24" ht="106" customHeight="1">
      <x:c r="A24" s="21" t="str">
        <x:v>CMP-SKN-003</x:v>
      </x:c>
      <x:c r="B24" s="21" t="str">
        <x:v>KB004</x:v>
      </x:c>
      <x:c r="C24" s="21" t="str">
        <x:v>SKN-P003</x:v>
      </x:c>
      <x:c r="D24" s="21" t="str">
        <x:v>medicube</x:v>
      </x:c>
      <x:c r="E24" s="21" t="str">
        <x:v>Zero Pore Blackhead Mud Mask</x:v>
      </x:c>
      <x:c r="F24" s="21" t="str">
        <x:v>Viral quick-dry exfoliating mud mask</x:v>
      </x:c>
      <x:c r="G24" s="21" t="str">
        <x:v>Clay / Mud Mask</x:v>
      </x:c>
      <x:c r="H24" s="21" t="str">
        <x:v>100 g / 3.52 oz</x:v>
      </x:c>
      <x:c r="I24" s="52" t="n">
        <x:v>18.9</x:v>
      </x:c>
      <x:c r="J24" s="52" t="n">
        <x:v>0.189</x:v>
      </x:c>
      <x:c r="K24" s="21" t="str">
        <x:v>Amazon; medicube; TikTok Shop; specialty</x:v>
      </x:c>
      <x:c r="L24" s="33" t="n">
        <x:v>6050</x:v>
      </x:c>
      <x:c r="M24" s="27" t="n">
        <x:v>4.5</x:v>
      </x:c>
      <x:c r="N24" s="21" t="str">
        <x:v>Current Amazon-linked sources showed about $18.90, 4.5 and roughly 6.1K reviews; product uses a three-minute AHA/BHA/PHA plus clay proposition.</x:v>
      </x:c>
      <x:c r="O24" s="21" t="str">
        <x:v>Larger format, stronger active/exfoliation story and medicube's major social-commerce presence.</x:v>
      </x:c>
      <x:c r="P24" s="21" t="str">
        <x:v>Both target sebum, blackheads, visible pores and quick social demonstrations.</x:v>
      </x:c>
      <x:c r="Q24" s="21" t="str">
        <x:v>SKIN1004's stick is cleaner and more travel-friendly with centella; medicube offers more product and a stronger acid/exfoliation proposition at a higher irritation burden.</x:v>
      </x:c>
      <x:c r="R24" s="21" t="str">
        <x:v> +$5.02 versus SKIN1004 Amazon price</x:v>
      </x:c>
      <x:c r="S24" s="21" t="str">
        <x:v>Very High</x:v>
      </x:c>
      <x:c r="T24" s="21" t="str">
        <x:v>https://www.amazon.com/dp/B0D1G7XF9X</x:v>
      </x:c>
      <x:c r="U24" s="25" t="str">
        <x:v>2026-07-30</x:v>
      </x:c>
      <x:c r="V24" s="21" t="str">
        <x:v>SRC-SKN-051</x:v>
      </x:c>
    </x:row>
    <x:row r="25" ht="106" customHeight="1">
      <x:c r="A25" s="21" t="str">
        <x:v>CMP-SKN-004</x:v>
      </x:c>
      <x:c r="B25" s="21" t="str">
        <x:v>KB004</x:v>
      </x:c>
      <x:c r="C25" s="21" t="str">
        <x:v>SKN-P001</x:v>
      </x:c>
      <x:c r="D25" s="21" t="str">
        <x:v>Anua</x:v>
      </x:c>
      <x:c r="E25" s="21" t="str">
        <x:v>Niacinamide 10% + TXA 4% Serum</x:v>
      </x:c>
      <x:c r="F25" s="21" t="str">
        <x:v>Viral Korean dark-spot and glass-skin serum</x:v>
      </x:c>
      <x:c r="G25" s="21" t="str">
        <x:v>Facial Serum</x:v>
      </x:c>
      <x:c r="H25" s="21" t="str">
        <x:v>30 mL / 1.01 fl oz</x:v>
      </x:c>
      <x:c r="I25" s="52" t="n">
        <x:v>21.85</x:v>
      </x:c>
      <x:c r="J25" s="52" t="n">
        <x:v>0.7283</x:v>
      </x:c>
      <x:c r="K25" s="21" t="str">
        <x:v>Amazon; Ulta; Anua; specialty</x:v>
      </x:c>
      <x:c r="L25" s="33" t="n">
        <x:v>16354</x:v>
      </x:c>
      <x:c r="M25" s="27" t="n">
        <x:v>4.5</x:v>
      </x:c>
      <x:c r="N25" s="21" t="str">
        <x:v>Prior direct master-workbook verification captured $21.85, 4.5/16,354 and 30K+ bought/month; current 2026 sources continue to show high visibility.</x:v>
      </x:c>
      <x:c r="O25" s="21" t="str">
        <x:v>Powerful dark-spot/brightening search proposition and celebrity/social proof.</x:v>
      </x:c>
      <x:c r="P25" s="21" t="str">
        <x:v>Competes for the same affordable viral K-Beauty serum slot, though the benefit is brightening rather than pure soothing.</x:v>
      </x:c>
      <x:c r="Q25" s="21" t="str">
        <x:v>SKIN1004 offers 3.3 times more volume and lower price; Anua offers stronger active percentages and dark-spot intent.</x:v>
      </x:c>
      <x:c r="R25" s="21" t="str">
        <x:v> +$7.00 versus SKIN1004 Amazon price</x:v>
      </x:c>
      <x:c r="S25" s="21" t="str">
        <x:v>Very High</x:v>
      </x:c>
      <x:c r="T25" s="21" t="str">
        <x:v>https://www.amazon.com/dp/B0CLLV2T1P</x:v>
      </x:c>
      <x:c r="U25" s="25" t="str">
        <x:v>2026-07-30</x:v>
      </x:c>
      <x:c r="V25" s="21" t="str">
        <x:v>SRC-SKN-047</x:v>
      </x:c>
    </x:row>
    <x:row r="26" ht="106" customHeight="1">
      <x:c r="A26" s="21" t="str">
        <x:v>CMP-SKN-005</x:v>
      </x:c>
      <x:c r="B26" s="21" t="str">
        <x:v>KB004</x:v>
      </x:c>
      <x:c r="C26" s="21" t="str">
        <x:v>SKN-P005</x:v>
      </x:c>
      <x:c r="D26" s="21" t="str">
        <x:v>Beauty of Joseon</x:v>
      </x:c>
      <x:c r="E26" s="21" t="str">
        <x:v>Daily Relief Sunscreen SPF 40</x:v>
      </x:c>
      <x:c r="F26" s="21" t="str">
        <x:v>U.S.-specific K-Beauty OTC facial sunscreen</x:v>
      </x:c>
      <x:c r="G26" s="21" t="str">
        <x:v>U.S. OTC Sunscreen</x:v>
      </x:c>
      <x:c r="H26" s="21" t="str">
        <x:v>50 mL / 1.69 fl oz</x:v>
      </x:c>
      <x:c r="I26" s="52" t="n">
        <x:v>18</x:v>
      </x:c>
      <x:c r="J26" s="52" t="n">
        <x:v>0.36</x:v>
      </x:c>
      <x:c r="K26" s="21" t="str">
        <x:v>Beauty of Joseon; official Amazon U.S.</x:v>
      </x:c>
      <x:c r="L26" s="33" t="n">
        <x:v>485</x:v>
      </x:c>
      <x:c r="M26" s="27" t="n">
        <x:v>4</x:v>
      </x:c>
      <x:c r="N26" s="21" t="str">
        <x:v>Official U.S. product page listed $18 and 485 reviews; the brand explicitly states this is the sunscreen available through its official Amazon U.S. store.</x:v>
      </x:c>
      <x:c r="O26" s="21" t="str">
        <x:v>Strong Beauty of Joseon sunscreen equity and direct education about the U.S.-specific formula.</x:v>
      </x:c>
      <x:c r="P26" s="21" t="str">
        <x:v>Both are separate U.S. OTC versions created because the Korean/global sunscreen filters cannot be marketed identically in the U.S.</x:v>
      </x:c>
      <x:c r="Q26" s="21" t="str">
        <x:v>SKIN1004 is SPF 50 and had 30K+ Amazon purchases/month but a higher $26 Ulta MSRP; BOJ is SPF 40 at $18 with a similar formula-confusion risk.</x:v>
      </x:c>
      <x:c r="R26" s="21" t="str">
        <x:v>-$0.46 versus SKIN1004 Amazon price; -$8 versus Ulta MSRP</x:v>
      </x:c>
      <x:c r="S26" s="21" t="str">
        <x:v>Very High</x:v>
      </x:c>
      <x:c r="T26" s="21" t="str">
        <x:v>https://beautyofjoseon.com/products/daily-relief-sunscreen?country=US&amp;currency=USD</x:v>
      </x:c>
      <x:c r="U26" s="25" t="str">
        <x:v>2026-07-30</x:v>
      </x:c>
      <x:c r="V26" s="21" t="str">
        <x:v>SRC-SKN-048</x:v>
      </x:c>
    </x:row>
    <x:row r="27" ht="112" customHeight="1">
      <x:c r="A27" s="21" t="str">
        <x:v>CMP-TIR-001</x:v>
      </x:c>
      <x:c r="B27" s="21" t="str">
        <x:v>KB006</x:v>
      </x:c>
      <x:c r="C27" s="21" t="str">
        <x:v>TIR-P001</x:v>
      </x:c>
      <x:c r="D27" s="21" t="str">
        <x:v>CLIO</x:v>
      </x:c>
      <x:c r="E27" s="21" t="str">
        <x:v>Kill Cover Mesh Glow Cushion Set</x:v>
      </x:c>
      <x:c r="F27" s="21" t="str">
        <x:v>K-Beauty glowy cushion with refill</x:v>
      </x:c>
      <x:c r="G27" s="21" t="str">
        <x:v>Cushion Foundation</x:v>
      </x:c>
      <x:c r="H27" s="21" t="str">
        <x:v>15 g + 15 g refill</x:v>
      </x:c>
      <x:c r="I27" s="52" t="n">
        <x:v>23.58</x:v>
      </x:c>
      <x:c r="J27" s="52" t="n">
        <x:v>0.786</x:v>
      </x:c>
      <x:c r="K27" s="21" t="str">
        <x:v>YesStyle authorized CLIO retailer; K-Beauty specialty</x:v>
      </x:c>
      <x:c r="L27" s="33" t="n">
        <x:v>3831</x:v>
      </x:c>
      <x:c r="M27" s="27"/>
      <x:c r="N27" s="21" t="str">
        <x:v>YesStyle displayed 3,831 and #56 Cushions; price $23.58 for cushion plus refill.</x:v>
      </x:c>
      <x:c r="O27" s="21" t="str">
        <x:v>Glowy glass-skin finish, refill value, long K-makeup credibility and strong cross-border reviews.</x:v>
      </x:c>
      <x:c r="P27" s="21" t="str">
        <x:v>Both are portable Korean cushions with buildable coverage and glow-focused finishes.</x:v>
      </x:c>
      <x:c r="Q27" s="21" t="str">
        <x:v>TIRTIR offers 40 shades and stronger U.S. mainstream/social proof; CLIO gives twice the product weight with refill but only a few sampled shades.</x:v>
      </x:c>
      <x:c r="R27" s="21" t="str">
        <x:v>-$1.42 versus TIRTIR MSRP; includes refill</x:v>
      </x:c>
      <x:c r="S27" s="21" t="str">
        <x:v>Very High</x:v>
      </x:c>
      <x:c r="T27" s="21" t="str">
        <x:v>https://www.yesstyle.com/en/clio-kill-cover-mesh-glow-cushion-set-fond-de-teint-cushion-recharge/info.html/pid.1119395362</x:v>
      </x:c>
      <x:c r="U27" s="25" t="str">
        <x:v>2026-07-30</x:v>
      </x:c>
      <x:c r="V27" s="21" t="str">
        <x:v>SRC-TIR-048</x:v>
      </x:c>
    </x:row>
    <x:row r="28" ht="112" customHeight="1">
      <x:c r="A28" s="21" t="str">
        <x:v>CMP-TIR-002</x:v>
      </x:c>
      <x:c r="B28" s="21" t="str">
        <x:v>KB006</x:v>
      </x:c>
      <x:c r="C28" s="21" t="str">
        <x:v>TIR-P002</x:v>
      </x:c>
      <x:c r="D28" s="21" t="str">
        <x:v>CLIO</x:v>
      </x:c>
      <x:c r="E28" s="21" t="str">
        <x:v>Kill Cover Mesh Blur Cushion Set</x:v>
      </x:c>
      <x:c r="F28" s="21" t="str">
        <x:v>Matte/blurring K-Beauty cushion with refill</x:v>
      </x:c>
      <x:c r="G28" s="21" t="str">
        <x:v>Cushion Foundation</x:v>
      </x:c>
      <x:c r="H28" s="21" t="str">
        <x:v>15 g + 15 g refill</x:v>
      </x:c>
      <x:c r="I28" s="52" t="n">
        <x:v>20.96</x:v>
      </x:c>
      <x:c r="J28" s="52" t="n">
        <x:v>0.6987</x:v>
      </x:c>
      <x:c r="K28" s="21" t="str">
        <x:v>YesStyle authorized CLIO retailer; K-Beauty specialty</x:v>
      </x:c>
      <x:c r="L28" s="33" t="n">
        <x:v>72</x:v>
      </x:c>
      <x:c r="M28" s="27"/>
      <x:c r="N28" s="21" t="str">
        <x:v>YesStyle displayed $20.96 and a #46 Cushions rank for the newer mesh-blur set.</x:v>
      </x:c>
      <x:c r="O28" s="21" t="str">
        <x:v>Centella positioning, matte pore-blur finish, refill value and established CLIO base category.</x:v>
      </x:c>
      <x:c r="P28" s="21" t="str">
        <x:v>Both target lightweight semi-matte pore blurring for oily/combination users.</x:v>
      </x:c>
      <x:c r="Q28" s="21" t="str">
        <x:v>TIRTIR has 30 shades and far stronger captured social-commerce momentum; CLIO is cheaper and includes a refill but has a much narrower visible shade set.</x:v>
      </x:c>
      <x:c r="R28" s="21" t="str">
        <x:v>-$4.04 versus TIRTIR MSRP; includes refill</x:v>
      </x:c>
      <x:c r="S28" s="21" t="str">
        <x:v>High</x:v>
      </x:c>
      <x:c r="T28" s="21" t="str">
        <x:v>https://www.yesstyle.com/en/clio-kill-cover-mesh-blur-cushion-set-5-colors-19c-light/info.html/pid.1134841902</x:v>
      </x:c>
      <x:c r="U28" s="25" t="str">
        <x:v>2026-07-30</x:v>
      </x:c>
      <x:c r="V28" s="21" t="str">
        <x:v>SRC-TIR-049</x:v>
      </x:c>
    </x:row>
    <x:row r="29" ht="112" customHeight="1">
      <x:c r="A29" s="21" t="str">
        <x:v>CMP-TIR-003</x:v>
      </x:c>
      <x:c r="B29" s="21" t="str">
        <x:v>KB006</x:v>
      </x:c>
      <x:c r="C29" s="21" t="str">
        <x:v>TIR-P003</x:v>
      </x:c>
      <x:c r="D29" s="21" t="str">
        <x:v>Urban Decay</x:v>
      </x:c>
      <x:c r="E29" s="21" t="str">
        <x:v>All Nighter Waterproof Makeup Setting Spray</x:v>
      </x:c>
      <x:c r="F29" s="21" t="str">
        <x:v>Prestige waterproof long-wear setting spray</x:v>
      </x:c>
      <x:c r="G29" s="21" t="str">
        <x:v>Setting Spray</x:v>
      </x:c>
      <x:c r="H29" s="21" t="str">
        <x:v>4.0 fl oz</x:v>
      </x:c>
      <x:c r="I29" s="52" t="n">
        <x:v>34</x:v>
      </x:c>
      <x:c r="J29" s="52" t="n">
        <x:v>8.5</x:v>
      </x:c>
      <x:c r="K29" s="21" t="str">
        <x:v>Ulta; Sephora; brand; department/specialty</x:v>
      </x:c>
      <x:c r="L29" s="33" t="n">
        <x:v>3232</x:v>
      </x:c>
      <x:c r="M29" s="27" t="n">
        <x:v>4.6</x:v>
      </x:c>
      <x:c r="N29" s="21" t="str">
        <x:v>Ulta displayed 4.6/3,232 and 95% recommendation.</x:v>
      </x:c>
      <x:c r="O29" s="21" t="str">
        <x:v>Category-defining prestige awareness, deeper review history, 24-hour positioning and broad U.S. access.</x:v>
      </x:c>
      <x:c r="P29" s="21" t="str">
        <x:v>Both emphasize waterproof, sweatproof, transfer-resistant long wear with ultra-fine mist.</x:v>
      </x:c>
      <x:c r="Q29" s="21" t="str">
        <x:v>TIRTIR costs $19 less, is ethanol-free and has exceptional Amazon/TikTok velocity; Urban Decay offers 48% more volume and stronger prestige recognition.</x:v>
      </x:c>
      <x:c r="R29" s="21" t="str">
        <x:v> +$19.00 versus TIRTIR MSRP</x:v>
      </x:c>
      <x:c r="S29" s="21" t="str">
        <x:v>Very High</x:v>
      </x:c>
      <x:c r="T29" s="21" t="str">
        <x:v>https://www.ulta.com/p/all-nighter-waterproof-makeup-setting-spray-pimprod2053044</x:v>
      </x:c>
      <x:c r="U29" s="25" t="str">
        <x:v>2026-07-30</x:v>
      </x:c>
      <x:c r="V29" s="21" t="str">
        <x:v>SRC-TIR-050</x:v>
      </x:c>
    </x:row>
    <x:row r="30" ht="112" customHeight="1">
      <x:c r="A30" s="21" t="str">
        <x:v>CMP-TIR-004</x:v>
      </x:c>
      <x:c r="B30" s="21" t="str">
        <x:v>KB006</x:v>
      </x:c>
      <x:c r="C30" s="21" t="str">
        <x:v>TIR-P004</x:v>
      </x:c>
      <x:c r="D30" s="21" t="str">
        <x:v>NYX Professional Makeup</x:v>
      </x:c>
      <x:c r="E30" s="21" t="str">
        <x:v>Bare With Me Hydrating Face &amp; Body Concealer Serum</x:v>
      </x:c>
      <x:c r="F30" s="21" t="str">
        <x:v>Affordable hydrating U.S. mass concealer</x:v>
      </x:c>
      <x:c r="G30" s="21" t="str">
        <x:v>Concealer</x:v>
      </x:c>
      <x:c r="H30" s="21" t="str">
        <x:v>0.32 oz</x:v>
      </x:c>
      <x:c r="I30" s="52" t="n">
        <x:v>12</x:v>
      </x:c>
      <x:c r="J30" s="52" t="n">
        <x:v>37.5</x:v>
      </x:c>
      <x:c r="K30" s="21" t="str">
        <x:v>Ulta; Target; Walmart; drug/mass; brand</x:v>
      </x:c>
      <x:c r="L30" s="33" t="n">
        <x:v>1575</x:v>
      </x:c>
      <x:c r="M30" s="27" t="n">
        <x:v>4.5</x:v>
      </x:c>
      <x:c r="N30" s="21" t="str">
        <x:v>Ulta displayed 4.5/1,575 at $12.</x:v>
      </x:c>
      <x:c r="O30" s="21" t="str">
        <x:v>Mass availability, hydrating serum texture, simple shade proposition and strong value awareness.</x:v>
      </x:c>
      <x:c r="P30" s="21" t="str">
        <x:v>Both are affordable flexible-coverage concealers suitable for face and under-eyes.</x:v>
      </x:c>
      <x:c r="Q30" s="21" t="str">
        <x:v>TIRTIR adds a solid balm stick and blurring/foundcealer flexibility with more social novelty; NYX is $4 cheaper and has much deeper U.S. retail history.</x:v>
      </x:c>
      <x:c r="R30" s="21" t="str">
        <x:v>-$4.00 versus TIRTIR MSRP</x:v>
      </x:c>
      <x:c r="S30" s="21" t="str">
        <x:v>High</x:v>
      </x:c>
      <x:c r="T30" s="21" t="str">
        <x:v>https://www.ulta.com/p/bare-with-me-hydrating-face-body-concealer-serum-pimprod2028567</x:v>
      </x:c>
      <x:c r="U30" s="25" t="str">
        <x:v>2026-07-30</x:v>
      </x:c>
      <x:c r="V30" s="21" t="str">
        <x:v>SRC-TIR-051</x:v>
      </x:c>
    </x:row>
    <x:row r="31" ht="112" customHeight="1">
      <x:c r="A31" s="21" t="str">
        <x:v>CMP-TIR-005</x:v>
      </x:c>
      <x:c r="B31" s="21" t="str">
        <x:v>KB006</x:v>
      </x:c>
      <x:c r="C31" s="21" t="str">
        <x:v>TIR-P005</x:v>
      </x:c>
      <x:c r="D31" s="21" t="str">
        <x:v>LANEIGE</x:v>
      </x:c>
      <x:c r="E31" s="21" t="str">
        <x:v>Cream Skin Milky Toner with Ceramides &amp; Peptides</x:v>
      </x:c>
      <x:c r="F31" s="21" t="str">
        <x:v>Prestige K-Beauty milky toner/moisturizer</x:v>
      </x:c>
      <x:c r="G31" s="21" t="str">
        <x:v>Milky Toner</x:v>
      </x:c>
      <x:c r="H31" s="21" t="str">
        <x:v>170 mL / 5.7 fl oz</x:v>
      </x:c>
      <x:c r="I31" s="52" t="n">
        <x:v>36</x:v>
      </x:c>
      <x:c r="J31" s="52" t="n">
        <x:v>0.2118</x:v>
      </x:c>
      <x:c r="K31" s="21" t="str">
        <x:v>Sephora; LANEIGE; Amazon; Kohl's</x:v>
      </x:c>
      <x:c r="L31" s="33" t="n">
        <x:v>1600</x:v>
      </x:c>
      <x:c r="M31" s="27"/>
      <x:c r="N31" s="21" t="str">
        <x:v>Sephora displayed about 1.6K reviews, strong hydration/glow tags and an Allure 2023 award.</x:v>
      </x:c>
      <x:c r="O31" s="21" t="str">
        <x:v>Prestige K-Beauty recognition, refill formats, ceramide/peptide positioning and Sephora exclusivity.</x:v>
      </x:c>
      <x:c r="P31" s="21" t="str">
        <x:v>Both deliver milky toner hydration, glow and barrier-comfort benefits in similar bottle sizes.</x:v>
      </x:c>
      <x:c r="Q31" s="21" t="str">
        <x:v>TIRTIR is $11 cheaper at MSRP and showed stronger captured Amazon/iHerb velocity; LANEIGE adds refill infrastructure and prestige-channel authority.</x:v>
      </x:c>
      <x:c r="R31" s="21" t="str">
        <x:v> +$11.00 versus TIRTIR MSRP</x:v>
      </x:c>
      <x:c r="S31" s="21" t="str">
        <x:v>Very High</x:v>
      </x:c>
      <x:c r="T31" s="21" t="str">
        <x:v>https://www.sephora.com/product/cream-skin-refillable-toner-moisturizer-with-ceramides-peptides-P505897</x:v>
      </x:c>
      <x:c r="U31" s="25" t="str">
        <x:v>2026-07-30</x:v>
      </x:c>
      <x:c r="V31" s="21" t="str">
        <x:v>SRC-TIR-052</x:v>
      </x:c>
    </x:row>
    <x:row r="32" ht="118" customHeight="1">
      <x:c r="A32" s="21" t="str">
        <x:v>CMP-VT-001</x:v>
      </x:c>
      <x:c r="B32" s="21" t="str">
        <x:v>KB007</x:v>
      </x:c>
      <x:c r="C32" s="21" t="str">
        <x:v>VT-P001</x:v>
      </x:c>
      <x:c r="D32" s="21" t="str">
        <x:v>Medicube</x:v>
      </x:c>
      <x:c r="E32" s="21" t="str">
        <x:v>One Day Exosome Shot 2000</x:v>
      </x:c>
      <x:c r="F32" s="21" t="str">
        <x:v>Direct K-Beauty spicule/exosome pore-treatment competitor</x:v>
      </x:c>
      <x:c r="G32" s="21" t="str">
        <x:v>Spicule Facial Serum</x:v>
      </x:c>
      <x:c r="H32" s="21" t="str">
        <x:v>30 mL / 1.01 oz</x:v>
      </x:c>
      <x:c r="I32" s="52" t="n">
        <x:v>23.9</x:v>
      </x:c>
      <x:c r="J32" s="52" t="n">
        <x:v>23.6634</x:v>
      </x:c>
      <x:c r="K32" s="21" t="str">
        <x:v>Ulta; Amazon; Medicube DTC</x:v>
      </x:c>
      <x:c r="L32" s="33" t="n">
        <x:v>13</x:v>
      </x:c>
      <x:c r="M32" s="27" t="n">
        <x:v>4.7</x:v>
      </x:c>
      <x:c r="N32" s="21" t="str">
        <x:v>Ulta displayed 4.7/13 at $23.90.</x:v>
      </x:c>
      <x:c r="O32" s="21" t="str">
        <x:v>Directly comparable hydrolyzed-sponge/spicule technology, pore/texture story and aggressive social marketing.</x:v>
      </x:c>
      <x:c r="P32" s="21" t="str">
        <x:v>Both use micro-sized spicules and absorption/delivery language for an at-home clinic-inspired ritual.</x:v>
      </x:c>
      <x:c r="Q32" s="21" t="str">
        <x:v>VT has substantially deeper U.S. review volume and wider current mainstream distribution; Medicube is slightly cheaper and has a closely overlapping exosome/pore narrative.</x:v>
      </x:c>
      <x:c r="R32" s="21" t="str">
        <x:v>-$2.10 versus VT Ulta MSRP</x:v>
      </x:c>
      <x:c r="S32" s="21" t="str">
        <x:v>Very High</x:v>
      </x:c>
      <x:c r="T32" s="21" t="str">
        <x:v>https://www.ulta.com/p/one-day-exosome-shot-2000-pimprod2053645</x:v>
      </x:c>
      <x:c r="U32" s="25" t="str">
        <x:v>2026-07-30</x:v>
      </x:c>
      <x:c r="V32" s="21" t="str">
        <x:v>SRC-VT-045</x:v>
      </x:c>
    </x:row>
    <x:row r="33" ht="118" customHeight="1">
      <x:c r="A33" s="21" t="str">
        <x:v>CMP-VT-002</x:v>
      </x:c>
      <x:c r="B33" s="21" t="str">
        <x:v>KB007</x:v>
      </x:c>
      <x:c r="C33" s="21" t="str">
        <x:v>VT-P002</x:v>
      </x:c>
      <x:c r="D33" s="21" t="str">
        <x:v>Medicube</x:v>
      </x:c>
      <x:c r="E33" s="21" t="str">
        <x:v>PDRN Pink Peptide Serum</x:v>
      </x:c>
      <x:c r="F33" s="21" t="str">
        <x:v>Affordable salmon-PDRN and peptide serum</x:v>
      </x:c>
      <x:c r="G33" s="21" t="str">
        <x:v>PDRN Facial Serum</x:v>
      </x:c>
      <x:c r="H33" s="21" t="str">
        <x:v>30 mL / 1.01 oz</x:v>
      </x:c>
      <x:c r="I33" s="52" t="n">
        <x:v>21</x:v>
      </x:c>
      <x:c r="J33" s="52" t="n">
        <x:v>20.7921</x:v>
      </x:c>
      <x:c r="K33" s="21" t="str">
        <x:v>Ulta; Amazon; Medicube DTC</x:v>
      </x:c>
      <x:c r="L33" s="33" t="n">
        <x:v>67</x:v>
      </x:c>
      <x:c r="M33" s="27" t="n">
        <x:v>4.2</x:v>
      </x:c>
      <x:c r="N33" s="21" t="str">
        <x:v>Ulta displayed 4.2/67 at $21.</x:v>
      </x:c>
      <x:c r="O33" s="21" t="str">
        <x:v>Lower price, strong Medicube social ecosystem, salmon PDRN plus peptides and direct pairing with its spicule serum.</x:v>
      </x:c>
      <x:c r="P33" s="21" t="str">
        <x:v>Both compete for PDRN hydration, elasticity, glow and viral anti-aging routines in the same size.</x:v>
      </x:c>
      <x:c r="Q33" s="21" t="str">
        <x:v>VT uses plant/ginseng-derived PDRN and has stronger current Ulta/Amazon evidence; Medicube is $7 cheaper and offers a conventional peptide-serum proposition.</x:v>
      </x:c>
      <x:c r="R33" s="21" t="str">
        <x:v>-$7.00 versus VT MSRP</x:v>
      </x:c>
      <x:c r="S33" s="21" t="str">
        <x:v>Very High</x:v>
      </x:c>
      <x:c r="T33" s="21" t="str">
        <x:v>https://www.ulta.com/p/pdrn-pink-peptide-serum-pimprod2053536</x:v>
      </x:c>
      <x:c r="U33" s="25" t="str">
        <x:v>2026-07-30</x:v>
      </x:c>
      <x:c r="V33" s="21" t="str">
        <x:v>SRC-VT-046</x:v>
      </x:c>
    </x:row>
    <x:row r="34" ht="118" customHeight="1">
      <x:c r="A34" s="21" t="str">
        <x:v>CMP-VT-003</x:v>
      </x:c>
      <x:c r="B34" s="21" t="str">
        <x:v>KB007</x:v>
      </x:c>
      <x:c r="C34" s="21" t="str">
        <x:v>VT-P003</x:v>
      </x:c>
      <x:c r="D34" s="21" t="str">
        <x:v>ANUA</x:v>
      </x:c>
      <x:c r="E34" s="21" t="str">
        <x:v>PDRN Hyaluronic Acid Capsule 100 Serum</x:v>
      </x:c>
      <x:c r="F34" s="21" t="str">
        <x:v>Viral PDRN/hyaluronic capsule serum</x:v>
      </x:c>
      <x:c r="G34" s="21" t="str">
        <x:v>PDRN Facial Serum</x:v>
      </x:c>
      <x:c r="H34" s="21" t="str">
        <x:v>30 mL / 1.01 oz</x:v>
      </x:c>
      <x:c r="I34" s="52" t="n">
        <x:v>28</x:v>
      </x:c>
      <x:c r="J34" s="52" t="n">
        <x:v>27.7228</x:v>
      </x:c>
      <x:c r="K34" s="21" t="str">
        <x:v>Ulta; Amazon; Anua DTC</x:v>
      </x:c>
      <x:c r="L34" s="33" t="n">
        <x:v>118</x:v>
      </x:c>
      <x:c r="M34" s="27" t="n">
        <x:v>4.8</x:v>
      </x:c>
      <x:c r="N34" s="21" t="str">
        <x:v>Ulta displayed 4.8/118 at $28.</x:v>
      </x:c>
      <x:c r="O34" s="21" t="str">
        <x:v>Anua brand scale, alcohol/fragrance-free positioning, visible capsule concept and larger early Ulta review base.</x:v>
      </x:c>
      <x:c r="P34" s="21" t="str">
        <x:v>Both use PDRN, capsule visuals, hyaluronic hydration and glass-skin outcomes.</x:v>
      </x:c>
      <x:c r="Q34" s="21" t="str">
        <x:v>VT is an $8-cheaper moisturizer with a 10K+ Amazon badge; Anua is a serum with stronger current Ulta review depth and a lower-sensation format.</x:v>
      </x:c>
      <x:c r="R34" s="21" t="str">
        <x:v> +$8.00 versus VT MSRP</x:v>
      </x:c>
      <x:c r="S34" s="21" t="str">
        <x:v>Very High</x:v>
      </x:c>
      <x:c r="T34" s="21" t="str">
        <x:v>https://www.ulta.com/p/pdrn-hyaluronic-acid-capsule-100-serum-pimprod2051435</x:v>
      </x:c>
      <x:c r="U34" s="25" t="str">
        <x:v>2026-07-30</x:v>
      </x:c>
      <x:c r="V34" s="21" t="str">
        <x:v>SRC-VT-047</x:v>
      </x:c>
    </x:row>
    <x:row r="35" ht="118" customHeight="1">
      <x:c r="A35" s="21" t="str">
        <x:v>CMP-VT-004</x:v>
      </x:c>
      <x:c r="B35" s="21" t="str">
        <x:v>KB007</x:v>
      </x:c>
      <x:c r="C35" s="21" t="str">
        <x:v>VT-P004</x:v>
      </x:c>
      <x:c r="D35" s="21" t="str">
        <x:v>NYX Professional Makeup</x:v>
      </x:c>
      <x:c r="E35" s="21" t="str">
        <x:v>Duck Plump Plumping Lip Gloss Toppers</x:v>
      </x:c>
      <x:c r="F35" s="21" t="str">
        <x:v>Affordable U.S. mass hot-sensation lip plumper</x:v>
      </x:c>
      <x:c r="G35" s="21" t="str">
        <x:v>Lip Plumper Gloss</x:v>
      </x:c>
      <x:c r="H35" s="21" t="str">
        <x:v>0.23 oz</x:v>
      </x:c>
      <x:c r="I35" s="52" t="n">
        <x:v>13</x:v>
      </x:c>
      <x:c r="J35" s="52" t="n">
        <x:v>56.5217</x:v>
      </x:c>
      <x:c r="K35" s="21" t="str">
        <x:v>Ulta; Target; Walmart; NYX and drug/mass</x:v>
      </x:c>
      <x:c r="L35" s="33" t="n">
        <x:v>23</x:v>
      </x:c>
      <x:c r="M35" s="27" t="n">
        <x:v>3.4</x:v>
      </x:c>
      <x:c r="N35" s="21" t="str">
        <x:v>Ulta displayed 3.4/23 at $13; burning/pain appeared in critical reviews.</x:v>
      </x:c>
      <x:c r="O35" s="21" t="str">
        <x:v>Mass recognition, lower price, multiple colors and broad drug/mass access.</x:v>
      </x:c>
      <x:c r="P35" s="21" t="str">
        <x:v>Both rely on a strong heat/tingle sensation and immediate glossy plumping demonstration.</x:v>
      </x:c>
      <x:c r="Q35" s="21" t="str">
        <x:v>VT has far greater captured TikTok sales and a stronger Ulta rating; NYX is $3 cheaper, larger and easier to find in mass retail.</x:v>
      </x:c>
      <x:c r="R35" s="21" t="str">
        <x:v>-$3.00 versus VT MSRP</x:v>
      </x:c>
      <x:c r="S35" s="21" t="str">
        <x:v>High</x:v>
      </x:c>
      <x:c r="T35" s="21" t="str">
        <x:v>https://www.ulta.com/p/duck-plump-plumping-lip-gloss-toppers-pimprod2049395</x:v>
      </x:c>
      <x:c r="U35" s="25" t="str">
        <x:v>2026-07-30</x:v>
      </x:c>
      <x:c r="V35" s="21" t="str">
        <x:v>SRC-VT-048</x:v>
      </x:c>
    </x:row>
    <x:row r="36" ht="118" customHeight="1">
      <x:c r="A36" s="21" t="str">
        <x:v>CMP-VT-005</x:v>
      </x:c>
      <x:c r="B36" s="21" t="str">
        <x:v>KB007</x:v>
      </x:c>
      <x:c r="C36" s="21" t="str">
        <x:v>VT-P005</x:v>
      </x:c>
      <x:c r="D36" s="21" t="str">
        <x:v>MEDIHEAL</x:v>
      </x:c>
      <x:c r="E36" s="21" t="str">
        <x:v>Madecassoside Essential Mask 4ct</x:v>
      </x:c>
      <x:c r="F36" s="21" t="str">
        <x:v>Accessible centella/madecassoside soothing sheet mask</x:v>
      </x:c>
      <x:c r="G36" s="21" t="str">
        <x:v>Sheet Mask</x:v>
      </x:c>
      <x:c r="H36" s="21" t="str">
        <x:v>4 sheets</x:v>
      </x:c>
      <x:c r="I36" s="52" t="n">
        <x:v>8.8</x:v>
      </x:c>
      <x:c r="J36" s="52" t="n">
        <x:v>2.2</x:v>
      </x:c>
      <x:c r="K36" s="21" t="str">
        <x:v>Ulta; Amazon; MEDIHEAL and K-Beauty retailers</x:v>
      </x:c>
      <x:c r="L36" s="33" t="n">
        <x:v>2355</x:v>
      </x:c>
      <x:c r="M36" s="27" t="n">
        <x:v>4.8</x:v>
      </x:c>
      <x:c r="N36" s="21" t="str">
        <x:v>Ulta displayed 4.8/2,355 at $8.80.</x:v>
      </x:c>
      <x:c r="O36" s="21" t="str">
        <x:v>Very deep U.S. retailer review history, strong soothing identity and easy four-mask trial format.</x:v>
      </x:c>
      <x:c r="P36" s="21" t="str">
        <x:v>Both target calming, hydration and accessible K-Beauty masking with centella-related stories.</x:v>
      </x:c>
      <x:c r="Q36" s="21" t="str">
        <x:v>VT offers much lower per-mask cost in a 30-sheet tub; MEDIHEAL has superior current U.S. review depth, individual sheets and lower commitment.</x:v>
      </x:c>
      <x:c r="R36" s="21" t="str">
        <x:v>VT saves about $1.50 per mask; larger commitment</x:v>
      </x:c>
      <x:c r="S36" s="21" t="str">
        <x:v>Very High</x:v>
      </x:c>
      <x:c r="T36" s="21" t="str">
        <x:v>https://www.ulta.com/p/madecassoside-essential-mask-pimprod2052788</x:v>
      </x:c>
      <x:c r="U36" s="25" t="str">
        <x:v>2026-07-30</x:v>
      </x:c>
      <x:c r="V36" s="21" t="str">
        <x:v>SRC-VT-049</x:v>
      </x:c>
    </x:row>
    <x:row r="37" ht="126" customHeight="1">
      <x:c r="A37" s="21" t="str">
        <x:v>CMP-RL-001</x:v>
      </x:c>
      <x:c r="B37" s="21" t="str">
        <x:v>KB008</x:v>
      </x:c>
      <x:c r="C37" s="21" t="str">
        <x:v>RL-P001</x:v>
      </x:c>
      <x:c r="D37" s="21" t="str">
        <x:v>Beauty of Joseon</x:v>
      </x:c>
      <x:c r="E37" s="21" t="str">
        <x:v>Daily Relief Sunscreen SPF40</x:v>
      </x:c>
      <x:c r="F37" s="21" t="str">
        <x:v>Direct U.S. OTC K-Beauty sunscreen</x:v>
      </x:c>
      <x:c r="G37" s="21" t="str">
        <x:v>Chemical broad-spectrum sunscreen</x:v>
      </x:c>
      <x:c r="H37" s="21" t="str">
        <x:v>50 mL / 1.69 fl oz</x:v>
      </x:c>
      <x:c r="I37" s="31" t="n">
        <x:v>18</x:v>
      </x:c>
      <x:c r="J37" s="31" t="n">
        <x:v>10.6509</x:v>
      </x:c>
      <x:c r="K37" s="21" t="str">
        <x:v>Official DTC; Amazon; Sephora; TikTok Shop</x:v>
      </x:c>
      <x:c r="L37" s="33" t="n">
        <x:v>485</x:v>
      </x:c>
      <x:c r="M37" s="27" t="n">
        <x:v>4.7</x:v>
      </x:c>
      <x:c r="N37" s="21" t="str">
        <x:v>Official page displayed 485 reviews and U.S.-specific SPF40 Drug Facts positioning; Beauty of Joseon has very high U.S. awareness.</x:v>
      </x:c>
      <x:c r="O37" s="21" t="str">
        <x:v>Rice-extract skincare-first story, lightweight no-white-cast texture, lower $18 MSRP and large existing K-Beauty sunscreen halo.</x:v>
      </x:c>
      <x:c r="P37" s="21" t="str">
        <x:v>Both are U.S.-specific chemical OTC sunscreens designed to emulate elegant Korean skincare textures.</x:v>
      </x:c>
      <x:c r="Q37" s="21" t="str">
        <x:v>Round Lab has higher MSRP and stronger captured Target/Ulta mass-retail breadth; BOJ is cheaper and retains a larger sunscreen-specific viral halo.</x:v>
      </x:c>
      <x:c r="R37" s="21" t="str">
        <x:v>Round Lab +$6.99 vs list</x:v>
      </x:c>
      <x:c r="S37" s="21" t="str">
        <x:v>Very High</x:v>
      </x:c>
      <x:c r="T37" s="21" t="str">
        <x:v>https://beautyofjoseon.com/products/daily-relief-sunscreen</x:v>
      </x:c>
      <x:c r="U37" s="25" t="str">
        <x:v>2026-07-30</x:v>
      </x:c>
      <x:c r="V37" s="21" t="str">
        <x:v>SRC-RL-043</x:v>
      </x:c>
    </x:row>
    <x:row r="38" ht="126" customHeight="1">
      <x:c r="A38" s="21" t="str">
        <x:v>CMP-RL-002</x:v>
      </x:c>
      <x:c r="B38" s="21" t="str">
        <x:v>KB008</x:v>
      </x:c>
      <x:c r="C38" s="21" t="str">
        <x:v>RL-P005</x:v>
      </x:c>
      <x:c r="D38" s="21" t="str">
        <x:v>SKIN1004</x:v>
      </x:c>
      <x:c r="E38" s="21" t="str">
        <x:v>Hyalu-Cica Water-Fit Sun Serum UV SPF50</x:v>
      </x:c>
      <x:c r="F38" s="21" t="str">
        <x:v>Hydrating U.S.-market K-Beauty sunscreen</x:v>
      </x:c>
      <x:c r="G38" s="21" t="str">
        <x:v>Daily sunscreen serum</x:v>
      </x:c>
      <x:c r="H38" s="21" t="str">
        <x:v>50 mL / 1.69 fl oz</x:v>
      </x:c>
      <x:c r="I38" s="31" t="n">
        <x:v>19</x:v>
      </x:c>
      <x:c r="J38" s="31" t="n">
        <x:v>11.2426</x:v>
      </x:c>
      <x:c r="K38" s="21" t="str">
        <x:v>Official DTC; Ulta; Amazon; TikTok Shop</x:v>
      </x:c>
      <x:c r="L38" s="33"/>
      <x:c r="M38" s="27"/>
      <x:c r="N38" s="21" t="str">
        <x:v>Official U.S. site displayed $19 list/$17.10 sale and positions it as a hydrating daily SPF50 sun serum.</x:v>
      </x:c>
      <x:c r="O38" s="21" t="str">
        <x:v>Serum texture, Centella/hyaluronic story, lower list price and high SKIN1004 social awareness.</x:v>
      </x:c>
      <x:c r="P38" s="21" t="str">
        <x:v>Both target K-Beauty consumers seeking hydrating, routine-friendly U.S.-market sun protection.</x:v>
      </x:c>
      <x:c r="Q38" s="21" t="str">
        <x:v>Round Lab Mild-Up uses 17% zinc oxide and tone-up/mineral positioning; SKIN1004 competes on lightweight serum feel and lower price.</x:v>
      </x:c>
      <x:c r="R38" s="21" t="str">
        <x:v>Round Lab +$5.99 vs list</x:v>
      </x:c>
      <x:c r="S38" s="21" t="str">
        <x:v>Very High</x:v>
      </x:c>
      <x:c r="T38" s="21" t="str">
        <x:v>https://www.skin1004.com/pages/sun-serum-uv</x:v>
      </x:c>
      <x:c r="U38" s="25" t="str">
        <x:v>2026-07-30</x:v>
      </x:c>
      <x:c r="V38" s="21" t="str">
        <x:v>SRC-RL-044</x:v>
      </x:c>
    </x:row>
    <x:row r="39" ht="126" customHeight="1">
      <x:c r="A39" s="21" t="str">
        <x:v>CMP-RL-003</x:v>
      </x:c>
      <x:c r="B39" s="21" t="str">
        <x:v>KB008</x:v>
      </x:c>
      <x:c r="C39" s="21" t="str">
        <x:v>RL-P002</x:v>
      </x:c>
      <x:c r="D39" s="21" t="str">
        <x:v>Anua</x:v>
      </x:c>
      <x:c r="E39" s="21" t="str">
        <x:v>Rice 70 Glow Milky Toner</x:v>
      </x:c>
      <x:c r="F39" s="21" t="str">
        <x:v>Hydrating K-Beauty toner</x:v>
      </x:c>
      <x:c r="G39" s="21" t="str">
        <x:v>Milky brightening/barrier toner</x:v>
      </x:c>
      <x:c r="H39" s="21" t="str">
        <x:v>250 mL / 8.45 fl oz</x:v>
      </x:c>
      <x:c r="I39" s="31" t="n">
        <x:v>21</x:v>
      </x:c>
      <x:c r="J39" s="31" t="n">
        <x:v>2.4852</x:v>
      </x:c>
      <x:c r="K39" s="21" t="str">
        <x:v>Ulta; official U.S. DTC; Amazon; TikTok Shop</x:v>
      </x:c>
      <x:c r="L39" s="33" t="n">
        <x:v>213</x:v>
      </x:c>
      <x:c r="M39" s="27" t="n">
        <x:v>4.4</x:v>
      </x:c>
      <x:c r="N39" s="21" t="str">
        <x:v>Ulta displayed 4.4/213 and Only-at-Ulta labeling; official Anua U.S. displayed $23 and 4.9/156.</x:v>
      </x:c>
      <x:c r="O39" s="21" t="str">
        <x:v>70% rice-water, niacinamide, ceramide and glass-skin positioning with a richer milky texture.</x:v>
      </x:c>
      <x:c r="P39" s="21" t="str">
        <x:v>Both are daily hydrating K-Beauty toners with sensitive-skin-friendly, fragrance-free positioning.</x:v>
      </x:c>
      <x:c r="Q39" s="21" t="str">
        <x:v>Round Lab is watery/mineral and lower-priced; Anua is richer, larger and more actively brightening/barrier-oriented.</x:v>
      </x:c>
      <x:c r="R39" s="21" t="str">
        <x:v>Round Lab -$4.01 vs Ulta list</x:v>
      </x:c>
      <x:c r="S39" s="21" t="str">
        <x:v>High</x:v>
      </x:c>
      <x:c r="T39" s="21" t="str">
        <x:v>https://www.ulta.com/p/rice-70-glow-milky-toner-pimprod2048932?sku=2634193</x:v>
      </x:c>
      <x:c r="U39" s="25" t="str">
        <x:v>2026-07-30</x:v>
      </x:c>
      <x:c r="V39" s="21" t="str">
        <x:v>SRC-RL-045</x:v>
      </x:c>
    </x:row>
    <x:row r="40" ht="126" customHeight="1">
      <x:c r="A40" s="21" t="str">
        <x:v>CMP-RL-004</x:v>
      </x:c>
      <x:c r="B40" s="21" t="str">
        <x:v>KB008</x:v>
      </x:c>
      <x:c r="C40" s="21" t="str">
        <x:v>RL-P003</x:v>
      </x:c>
      <x:c r="D40" s="21" t="str">
        <x:v>COSRX</x:v>
      </x:c>
      <x:c r="E40" s="21" t="str">
        <x:v>Low pH Good Morning Gel Cleanser</x:v>
      </x:c>
      <x:c r="F40" s="21" t="str">
        <x:v>Affordable low-pH K-Beauty cleanser</x:v>
      </x:c>
      <x:c r="G40" s="21" t="str">
        <x:v>Gel facial cleanser</x:v>
      </x:c>
      <x:c r="H40" s="21" t="str">
        <x:v>150 mL / 5.07 fl oz</x:v>
      </x:c>
      <x:c r="I40" s="31" t="n">
        <x:v>14</x:v>
      </x:c>
      <x:c r="J40" s="31" t="n">
        <x:v>2.7613</x:v>
      </x:c>
      <x:c r="K40" s="21" t="str">
        <x:v>Ulta; official DTC; Amazon; Walmart; TikTok Shop</x:v>
      </x:c>
      <x:c r="L40" s="33" t="n">
        <x:v>191</x:v>
      </x:c>
      <x:c r="M40" s="27" t="n">
        <x:v>4.2</x:v>
      </x:c>
      <x:c r="N40" s="21" t="str">
        <x:v>Ulta displayed 4.2/191, $14 list and a temporary $9.80 sale.</x:v>
      </x:c>
      <x:c r="O40" s="21" t="str">
        <x:v>Long-running K-Beauty hero, low price, tea-tree/betaine-salicylate identity and broad awareness.</x:v>
      </x:c>
      <x:c r="P40" s="21" t="str">
        <x:v>Both are 150 mL low-pH daily cleansers with high U.S. visibility and value positioning.</x:v>
      </x:c>
      <x:c r="Q40" s="21" t="str">
        <x:v>Round Lab uses a creamier Dokdo/deep-water and fragrance-free story; COSRX is a gel with a more active/oily-skin identity.</x:v>
      </x:c>
      <x:c r="R40" s="21" t="str">
        <x:v>Round Lab +$3.00 vs list</x:v>
      </x:c>
      <x:c r="S40" s="21" t="str">
        <x:v>High</x:v>
      </x:c>
      <x:c r="T40" s="21" t="str">
        <x:v>https://www.ulta.com/p/low-ph-good-morning-gel-cleanser-xlsImpprod16661017?sku=2517358</x:v>
      </x:c>
      <x:c r="U40" s="25" t="str">
        <x:v>2026-07-30</x:v>
      </x:c>
      <x:c r="V40" s="21" t="str">
        <x:v>SRC-RL-046</x:v>
      </x:c>
    </x:row>
    <x:row r="41" ht="126" customHeight="1">
      <x:c r="A41" s="21" t="str">
        <x:v>CMP-RL-005</x:v>
      </x:c>
      <x:c r="B41" s="21" t="str">
        <x:v>KB008</x:v>
      </x:c>
      <x:c r="C41" s="21" t="str">
        <x:v>RL-P004</x:v>
      </x:c>
      <x:c r="D41" s="21" t="str">
        <x:v>Dr.G</x:v>
      </x:c>
      <x:c r="E41" s="21" t="str">
        <x:v>R.E.D Blemish Clear Soothing Cream</x:v>
      </x:c>
      <x:c r="F41" s="21" t="str">
        <x:v>Korean soothing gel-cream moisturizer</x:v>
      </x:c>
      <x:c r="G41" s="21" t="str">
        <x:v>Cica soothing moisturizer</x:v>
      </x:c>
      <x:c r="H41" s="21" t="str">
        <x:v>70 mL / 2.36 fl oz</x:v>
      </x:c>
      <x:c r="I41" s="31" t="n">
        <x:v>34.95</x:v>
      </x:c>
      <x:c r="J41" s="31" t="n">
        <x:v>14.8093</x:v>
      </x:c>
      <x:c r="K41" s="21" t="str">
        <x:v>Dr.G Global; Amazon U.S.; iHerb; YesStyle and cross-border retailers</x:v>
      </x:c>
      <x:c r="L41" s="33" t="n">
        <x:v>167</x:v>
      </x:c>
      <x:c r="M41" s="27" t="n">
        <x:v>4.9</x:v>
      </x:c>
      <x:c r="N41" s="21" t="str">
        <x:v>Official Dr.G page displayed $34.95 and 4.9/167.</x:v>
      </x:c>
      <x:c r="O41" s="21" t="str">
        <x:v>Strong Korean soothing-cream reputation, cica complex, acne-prone testing and 100-hour hydration story.</x:v>
      </x:c>
      <x:c r="P41" s="21" t="str">
        <x:v>Both are lightweight Korean soothing moisturizers near the mid-$30 range for sensitive/dehydrated routines.</x:v>
      </x:c>
      <x:c r="Q41" s="21" t="str">
        <x:v>Round Lab centers birch hydration and has strong Target/Ulta evidence; Dr.G centers cica/redness and acne-prone testing.</x:v>
      </x:c>
      <x:c r="R41" s="21" t="str">
        <x:v>Round Lab +$1.05 vs list</x:v>
      </x:c>
      <x:c r="S41" s="21" t="str">
        <x:v>High</x:v>
      </x:c>
      <x:c r="T41" s="21" t="str">
        <x:v>https://dr-g.com/collections/moisturizer-hydration/products/dr-g-red-blemish-clear-soothing-cream</x:v>
      </x:c>
      <x:c r="U41" s="25" t="str">
        <x:v>2026-07-30</x:v>
      </x:c>
      <x:c r="V41" s="21" t="str">
        <x:v>SRC-RL-047</x:v>
      </x:c>
    </x:row>
    <x:row r="42" ht="134" customHeight="1">
      <x:c r="A42" s="21" t="str">
        <x:v>CMP-MED-001</x:v>
      </x:c>
      <x:c r="B42" s="21" t="str">
        <x:v>KB009</x:v>
      </x:c>
      <x:c r="C42" s="21" t="str">
        <x:v>MED-P001</x:v>
      </x:c>
      <x:c r="D42" s="21" t="str">
        <x:v>Medicube</x:v>
      </x:c>
      <x:c r="E42" s="21" t="str">
        <x:v>Zero Pore Pad 2.0</x:v>
      </x:c>
      <x:c r="F42" s="21" t="str">
        <x:v>High-velocity exfoliating toner pads</x:v>
      </x:c>
      <x:c r="G42" s="21" t="str">
        <x:v>AHA/BHA dual-textured pore-care pads</x:v>
      </x:c>
      <x:c r="H42" s="21" t="str">
        <x:v>70 pads</x:v>
      </x:c>
      <x:c r="I42" s="31" t="n">
        <x:v>24.8</x:v>
      </x:c>
      <x:c r="J42" s="31" t="n">
        <x:v>0.3543</x:v>
      </x:c>
      <x:c r="K42" s="21" t="str">
        <x:v>Official DTC; Amazon; TikTok Shop; major K-Beauty retailers</x:v>
      </x:c>
      <x:c r="L42" s="33" t="n">
        <x:v>28600</x:v>
      </x:c>
      <x:c r="M42" s="27" t="n">
        <x:v>4.6</x:v>
      </x:c>
      <x:c r="N42" s="21" t="str">
        <x:v>Amazon displayed 100K+ bought/month and 28.6K reviews at a $15.12 Prime price; official DTC listed $24.80/$31.</x:v>
      </x:c>
      <x:c r="O42" s="21" t="str">
        <x:v>Category-leading marketplace velocity, strong pore/exfoliation claim architecture, enormous review depth and aggressive performance marketing.</x:v>
      </x:c>
      <x:c r="P42" s="21" t="str">
        <x:v>Both are convenient Korean pre-soaked pad systems used after cleansing.</x:v>
      </x:c>
      <x:c r="Q42" s="21" t="str">
        <x:v>Medicube is far larger on captured Amazon volume and more exfoliation/pore focused; Mediheal offers 100 pads, gentler Madecassoside mini-mask use and broader Target/Ulta pad architecture.</x:v>
      </x:c>
      <x:c r="R42" s="21" t="str">
        <x:v>Mediheal +$1.60 vs current official list, but lower per pad</x:v>
      </x:c>
      <x:c r="S42" s="21" t="str">
        <x:v>Exceptional</x:v>
      </x:c>
      <x:c r="T42" s="21" t="str">
        <x:v>https://medicube.us/collections/all/products/zero-pore-pad-1</x:v>
      </x:c>
      <x:c r="U42" s="25" t="str">
        <x:v>2026-07-30</x:v>
      </x:c>
      <x:c r="V42" s="21" t="str">
        <x:v>SRC-MED-043</x:v>
      </x:c>
    </x:row>
    <x:row r="43" ht="134" customHeight="1">
      <x:c r="A43" s="21" t="str">
        <x:v>CMP-MED-002</x:v>
      </x:c>
      <x:c r="B43" s="21" t="str">
        <x:v>KB009</x:v>
      </x:c>
      <x:c r="C43" s="21" t="str">
        <x:v>MED-P001</x:v>
      </x:c>
      <x:c r="D43" s="21" t="str">
        <x:v>Anua</x:v>
      </x:c>
      <x:c r="E43" s="21" t="str">
        <x:v>Heartleaf 77 Clear Pad</x:v>
      </x:c>
      <x:c r="F43" s="21" t="str">
        <x:v>Soothing / gentle exfoliating toner pads</x:v>
      </x:c>
      <x:c r="G43" s="21" t="str">
        <x:v>Heartleaf/PHA daily toner pads</x:v>
      </x:c>
      <x:c r="H43" s="21" t="str">
        <x:v>70 pads</x:v>
      </x:c>
      <x:c r="I43" s="31" t="n">
        <x:v>22</x:v>
      </x:c>
      <x:c r="J43" s="31" t="n">
        <x:v>0.3143</x:v>
      </x:c>
      <x:c r="K43" s="21" t="str">
        <x:v>Ulta; Amazon; TikTok Shop; official/cross-border</x:v>
      </x:c>
      <x:c r="L43" s="33" t="n">
        <x:v>145</x:v>
      </x:c>
      <x:c r="M43" s="27" t="n">
        <x:v>4.7</x:v>
      </x:c>
      <x:c r="N43" s="21" t="str">
        <x:v>Ulta displayed $22, 4.7/145 and Only at Ulta; consumer reviews emphasize soothing hydration, convenience and occasional tackiness/irritation.</x:v>
      </x:c>
      <x:c r="O43" s="21" t="str">
        <x:v>Strong heartleaf equity, sensitive-skin recognition, lower entry price and broad Anua awareness.</x:v>
      </x:c>
      <x:c r="P43" s="21" t="str">
        <x:v>Both target redness-prone, acne-prone and convenience-oriented users with toner-pad/treatment-mask use.</x:v>
      </x:c>
      <x:c r="Q43" s="21" t="str">
        <x:v>Mediheal has 30 more pads and much deeper captured Amazon and retailer evidence; Anua is cheaper and uses heartleaf/PHA instead of Madecassoside/niacinamide.</x:v>
      </x:c>
      <x:c r="R43" s="21" t="str">
        <x:v>Mediheal +$4.40 list; lower per-pad cost</x:v>
      </x:c>
      <x:c r="S43" s="21" t="str">
        <x:v>Very High</x:v>
      </x:c>
      <x:c r="T43" s="21" t="str">
        <x:v>https://www.ulta.com/p/heartleaf-77-clear-pad-pimprod2048930?sku=2634909</x:v>
      </x:c>
      <x:c r="U43" s="25" t="str">
        <x:v>2026-07-30</x:v>
      </x:c>
      <x:c r="V43" s="21" t="str">
        <x:v>SRC-MED-044</x:v>
      </x:c>
    </x:row>
    <x:row r="44" ht="134" customHeight="1">
      <x:c r="A44" s="21" t="str">
        <x:v>CMP-MED-003</x:v>
      </x:c>
      <x:c r="B44" s="21" t="str">
        <x:v>KB009</x:v>
      </x:c>
      <x:c r="C44" s="21" t="str">
        <x:v>MED-P002</x:v>
      </x:c>
      <x:c r="D44" s="21" t="str">
        <x:v>COSRX</x:v>
      </x:c>
      <x:c r="E44" s="21" t="str">
        <x:v>One Step Original Blemish Pore Clear Pad</x:v>
      </x:c>
      <x:c r="F44" s="21" t="str">
        <x:v>Blemish / pore toner pads</x:v>
      </x:c>
      <x:c r="G44" s="21" t="str">
        <x:v>Dual-sided exfoliating and post-breakout pads</x:v>
      </x:c>
      <x:c r="H44" s="21" t="str">
        <x:v>100 pads</x:v>
      </x:c>
      <x:c r="I44" s="31" t="n">
        <x:v>26</x:v>
      </x:c>
      <x:c r="J44" s="31" t="n">
        <x:v>0.26</x:v>
      </x:c>
      <x:c r="K44" s="21" t="str">
        <x:v>Ulta; Amazon; official/cross-border</x:v>
      </x:c>
      <x:c r="L44" s="33" t="n">
        <x:v>47</x:v>
      </x:c>
      <x:c r="M44" s="27" t="n">
        <x:v>4.8</x:v>
      </x:c>
      <x:c r="N44" s="21" t="str">
        <x:v>Ulta displayed $26, 4.8/47 and a 100-count renewed formula with pore/texture and excess-sebum positioning.</x:v>
      </x:c>
      <x:c r="O44" s="21" t="str">
        <x:v>Long-running COSRX credibility, exact 100-pad count and clear exfoliating/pore role.</x:v>
      </x:c>
      <x:c r="P44" s="21" t="str">
        <x:v>Both sit near $26 list and target blemish-prone routines in a 100-pad jar.</x:v>
      </x:c>
      <x:c r="Q44" s="21" t="str">
        <x:v>Mediheal has much larger captured review/velocity and tea-tree mini-mask differentiation; COSRX has a more explicit dual-sided exfoliation and pore-clear proposition.</x:v>
      </x:c>
      <x:c r="R44" s="21" t="str">
        <x:v>Mediheal +$0.40 list</x:v>
      </x:c>
      <x:c r="S44" s="21" t="str">
        <x:v>High</x:v>
      </x:c>
      <x:c r="T44" s="21" t="str">
        <x:v>https://www.ulta.com/p/one-step-original-blemish-pore-clear-pad-pimprod2059453?sku=2658650</x:v>
      </x:c>
      <x:c r="U44" s="25" t="str">
        <x:v>2026-07-30</x:v>
      </x:c>
      <x:c r="V44" s="21" t="str">
        <x:v>SRC-MED-045</x:v>
      </x:c>
    </x:row>
    <x:row r="45" ht="134" customHeight="1">
      <x:c r="A45" s="21" t="str">
        <x:v>CMP-MED-004</x:v>
      </x:c>
      <x:c r="B45" s="21" t="str">
        <x:v>KB009</x:v>
      </x:c>
      <x:c r="C45" s="21" t="str">
        <x:v>MED-P004</x:v>
      </x:c>
      <x:c r="D45" s="21" t="str">
        <x:v>Biodance</x:v>
      </x:c>
      <x:c r="E45" s="21" t="str">
        <x:v>Bio-Collagen Real Deep Mask</x:v>
      </x:c>
      <x:c r="F45" s="21" t="str">
        <x:v>Premium viral hydrogel mask</x:v>
      </x:c>
      <x:c r="G45" s="21" t="str">
        <x:v>Multi-hour collagen hydrogel mask</x:v>
      </x:c>
      <x:c r="H45" s="21" t="str">
        <x:v>4 masks</x:v>
      </x:c>
      <x:c r="I45" s="31" t="n">
        <x:v>19</x:v>
      </x:c>
      <x:c r="J45" s="31" t="n">
        <x:v>4.75</x:v>
      </x:c>
      <x:c r="K45" s="21" t="str">
        <x:v>Official DTC; Amazon; Sephora; Ulta; Target; iHerb</x:v>
      </x:c>
      <x:c r="L45" s="33"/>
      <x:c r="M45" s="27"/>
      <x:c r="N45" s="21" t="str">
        <x:v>Official brand pricing anchors the four-pack near $19; the franchise has strong viral, retailer and Amazon visibility.</x:v>
      </x:c>
      <x:c r="O45" s="21" t="str">
        <x:v>Distinctive transparent hydrogel transformation, premium before/after social content, Sephora reach and high perceived treatment value.</x:v>
      </x:c>
      <x:c r="P45" s="21" t="str">
        <x:v>Both are Korean single-use mask franchises sold across U.S. mainstream and e-commerce channels.</x:v>
      </x:c>
      <x:c r="Q45" s="21" t="str">
        <x:v>Mediheal is far cheaper per use, faster and soothing-focused; Biodance is more premium, time-intensive and visually viral.</x:v>
      </x:c>
      <x:c r="R45" s="21" t="str">
        <x:v>Mediheal about $2.20/sheet vs Biodance $4.75</x:v>
      </x:c>
      <x:c r="S45" s="21" t="str">
        <x:v>Very High</x:v>
      </x:c>
      <x:c r="T45" s="21" t="str">
        <x:v>https://biodance.com/products/bio-collagen-real-deep-mask</x:v>
      </x:c>
      <x:c r="U45" s="25" t="str">
        <x:v>2026-07-30</x:v>
      </x:c>
      <x:c r="V45" s="21" t="str">
        <x:v>SRC-MED-046</x:v>
      </x:c>
    </x:row>
    <x:row r="46" ht="134" customHeight="1">
      <x:c r="A46" s="21" t="str">
        <x:v>CMP-MED-005</x:v>
      </x:c>
      <x:c r="B46" s="21" t="str">
        <x:v>KB009</x:v>
      </x:c>
      <x:c r="C46" s="21" t="str">
        <x:v>MED-P005</x:v>
      </x:c>
      <x:c r="D46" s="21" t="str">
        <x:v>Beauty of Joseon</x:v>
      </x:c>
      <x:c r="E46" s="21" t="str">
        <x:v>Daily Relief Sunscreen SPF40</x:v>
      </x:c>
      <x:c r="F46" s="21" t="str">
        <x:v>U.S.-specific K-Beauty OTC sunscreen</x:v>
      </x:c>
      <x:c r="G46" s="21" t="str">
        <x:v>Lightweight chemical broad-spectrum sunscreen</x:v>
      </x:c>
      <x:c r="H46" s="21" t="str">
        <x:v>50 mL / 1.69 fl oz</x:v>
      </x:c>
      <x:c r="I46" s="31" t="n">
        <x:v>18</x:v>
      </x:c>
      <x:c r="J46" s="31" t="n">
        <x:v>0.36</x:v>
      </x:c>
      <x:c r="K46" s="21" t="str">
        <x:v>Official DTC; Amazon; Sephora; TikTok Shop</x:v>
      </x:c>
      <x:c r="L46" s="33" t="n">
        <x:v>482</x:v>
      </x:c>
      <x:c r="M46" s="27" t="n">
        <x:v>4.7</x:v>
      </x:c>
      <x:c r="N46" s="21" t="str">
        <x:v>Official page displayed $18 list/$13.50 sale and 4.7/482 for a U.S.-specific SPF40 rice-extract sunscreen.</x:v>
      </x:c>
      <x:c r="O46" s="21" t="str">
        <x:v>Lower MSRP, large official review base, strong K-Beauty sunscreen halo and direct U.S. Drug Facts positioning.</x:v>
      </x:c>
      <x:c r="P46" s="21" t="str">
        <x:v>Both are U.S.-market chemical sunscreens designed to feel like lightweight skincare without white cast.</x:v>
      </x:c>
      <x:c r="Q46" s="21" t="str">
        <x:v>Mediheal offers SPF50+ and Ulta exclusivity at $22; Beauty of Joseon is $4 cheaper with stronger captured official review depth.</x:v>
      </x:c>
      <x:c r="R46" s="21" t="str">
        <x:v>Mediheal +$4.00 list</x:v>
      </x:c>
      <x:c r="S46" s="21" t="str">
        <x:v>Very High</x:v>
      </x:c>
      <x:c r="T46" s="21" t="str">
        <x:v>https://beautyofjoseon.com/products/daily-relief-sunscreen</x:v>
      </x:c>
      <x:c r="U46" s="25" t="str">
        <x:v>2026-07-30</x:v>
      </x:c>
      <x:c r="V46" s="21" t="str">
        <x:v>SRC-MED-047</x:v>
      </x:c>
    </x:row>
    <x:row r="47" ht="140" customHeight="1">
      <x:c r="A47" s="21" t="str">
        <x:v>CMP-DJ-001</x:v>
      </x:c>
      <x:c r="B47" s="21" t="str">
        <x:v>KB010</x:v>
      </x:c>
      <x:c r="C47" s="21" t="str">
        <x:v>DJ-P001</x:v>
      </x:c>
      <x:c r="D47" s="21" t="str">
        <x:v>Erborian</x:v>
      </x:c>
      <x:c r="E47" s="21" t="str">
        <x:v>CC Red Correct SPF 25</x:v>
      </x:c>
      <x:c r="F47" s="21" t="str">
        <x:v>Prestige Korean-French redness color corrector</x:v>
      </x:c>
      <x:c r="G47" s="21" t="str">
        <x:v>Green-to-beige CC cream with centella and SPF 25</x:v>
      </x:c>
      <x:c r="H47" s="21" t="str">
        <x:v>45 mL</x:v>
      </x:c>
      <x:c r="I47" s="31" t="n">
        <x:v>46</x:v>
      </x:c>
      <x:c r="J47" s="31" t="n">
        <x:v>1.0222</x:v>
      </x:c>
      <x:c r="K47" s="21" t="str">
        <x:v>Official DTC; Sephora; Amazon; prestige retailers</x:v>
      </x:c>
      <x:c r="L47" s="33" t="n">
        <x:v>413</x:v>
      </x:c>
      <x:c r="M47" s="27"/>
      <x:c r="N47" s="21" t="str">
        <x:v>Sephora displayed $26-$46 and 413 reviews; official U.S. page listed 45 mL at $46.</x:v>
      </x:c>
      <x:c r="O47" s="21" t="str">
        <x:v>Direct red-correction proposition, centella, prestige CC identity and strong Sephora access.</x:v>
      </x:c>
      <x:c r="P47" s="21" t="str">
        <x:v>Both transform from green pigments to complexion tint and combine redness correction with sunscreen.</x:v>
      </x:c>
      <x:c r="Q47" s="21" t="str">
        <x:v>Dr.Jart+ has a lower $25 mini entry and stronger K-Beauty franchise awareness; Erborian's full size is $8 below Dr.Jart+'s $54 value size and is more explicitly makeup-led.</x:v>
      </x:c>
      <x:c r="R47" s="21" t="str">
        <x:v>Dr.Jart+ value size +$8; mini -$21 entry</x:v>
      </x:c>
      <x:c r="S47" s="21" t="str">
        <x:v>Very High</x:v>
      </x:c>
      <x:c r="T47" s="21" t="str">
        <x:v>https://usa.erborian.com/cc-red-correct---color-correcting-cream-6AA10670.html</x:v>
      </x:c>
      <x:c r="U47" s="25" t="str">
        <x:v>2026-07-31</x:v>
      </x:c>
      <x:c r="V47" s="21" t="str">
        <x:v>SRC-DJ-044</x:v>
      </x:c>
    </x:row>
    <x:row r="48" ht="140" customHeight="1">
      <x:c r="A48" s="21" t="str">
        <x:v>CMP-DJ-002</x:v>
      </x:c>
      <x:c r="B48" s="21" t="str">
        <x:v>KB010</x:v>
      </x:c>
      <x:c r="C48" s="21" t="str">
        <x:v>DJ-P002</x:v>
      </x:c>
      <x:c r="D48" s="21" t="str">
        <x:v>AESTURA</x:v>
      </x:c>
      <x:c r="E48" s="21" t="str">
        <x:v>ATOBARRIER365 Cream</x:v>
      </x:c>
      <x:c r="F48" s="21" t="str">
        <x:v>Korean ceramide barrier moisturizer</x:v>
      </x:c>
      <x:c r="G48" s="21" t="str">
        <x:v>Ceramide and niacinamide barrier cream</x:v>
      </x:c>
      <x:c r="H48" s="21" t="str">
        <x:v>80 mL</x:v>
      </x:c>
      <x:c r="I48" s="31" t="n">
        <x:v>32</x:v>
      </x:c>
      <x:c r="J48" s="31" t="n">
        <x:v>0.4</x:v>
      </x:c>
      <x:c r="K48" s="21" t="str">
        <x:v>Sephora; Amazon; Amorepacific channels</x:v>
      </x:c>
      <x:c r="L48" s="33"/>
      <x:c r="M48" s="27"/>
      <x:c r="N48" s="21" t="str">
        <x:v>Sephora U.S. listed the 80 mL cream near $32; recent Reddit discussions show strong barrier-care awareness and some reformulation polarization.</x:v>
      </x:c>
      <x:c r="O48" s="21" t="str">
        <x:v>Much lower price per mL, clinical barrier positioning and growing Sephora K-Beauty visibility.</x:v>
      </x:c>
      <x:c r="P48" s="21" t="str">
        <x:v>Both target dry, sensitive and barrier-compromised users with Korean ceramide formulas.</x:v>
      </x:c>
      <x:c r="Q48" s="21" t="str">
        <x:v>Dr.Jart+ has deeper U.S. heritage, more Amazon reviews and prestige icon status; AESTURA provides 60% more product for $20 less.</x:v>
      </x:c>
      <x:c r="R48" s="21" t="str">
        <x:v>AESTURA -$20 and much lower per mL</x:v>
      </x:c>
      <x:c r="S48" s="21" t="str">
        <x:v>Very High</x:v>
      </x:c>
      <x:c r="T48" s="21" t="str">
        <x:v>https://www.sephora.com/product/atobarrier365-cream-with-ceramides-niacinamide-for-skin-moisture-barrier-repair-P515494</x:v>
      </x:c>
      <x:c r="U48" s="25" t="str">
        <x:v>2026-07-31</x:v>
      </x:c>
      <x:c r="V48" s="21" t="str">
        <x:v>SRC-DJ-046</x:v>
      </x:c>
    </x:row>
    <x:row r="49" ht="140" customHeight="1">
      <x:c r="A49" s="21" t="str">
        <x:v>CMP-DJ-003</x:v>
      </x:c>
      <x:c r="B49" s="21" t="str">
        <x:v>KB010</x:v>
      </x:c>
      <x:c r="C49" s="21" t="str">
        <x:v>DJ-P003</x:v>
      </x:c>
      <x:c r="D49" s="21" t="str">
        <x:v>Hero Cosmetics</x:v>
      </x:c>
      <x:c r="E49" s="21" t="str">
        <x:v>Rescue Balm +Red Correct</x:v>
      </x:c>
      <x:c r="F49" s="21" t="str">
        <x:v>Mass-market post-blemish redness corrector</x:v>
      </x:c>
      <x:c r="G49" s="21" t="str">
        <x:v>Tinted non-comedogenic green-to-beige recovery balm</x:v>
      </x:c>
      <x:c r="H49" s="21" t="str">
        <x:v>15 mL</x:v>
      </x:c>
      <x:c r="I49" s="31" t="n">
        <x:v>12.89</x:v>
      </x:c>
      <x:c r="J49" s="31" t="n">
        <x:v>0.8593</x:v>
      </x:c>
      <x:c r="K49" s="21" t="str">
        <x:v>Target; Ulta; CVS; Walmart; Amazon</x:v>
      </x:c>
      <x:c r="L49" s="33" t="n">
        <x:v>1746</x:v>
      </x:c>
      <x:c r="M49" s="27" t="n">
        <x:v>3.9</x:v>
      </x:c>
      <x:c r="N49" s="21" t="str">
        <x:v>Target displayed $12.89 and 3.9/1,746 with very broad mass access and a 2026 formula rollout.</x:v>
      </x:c>
      <x:c r="O49" s="21" t="str">
        <x:v>Low entry price, acne-prone positioning, Target/Ulta reach and inclusive fair-to-medium value proposition.</x:v>
      </x:c>
      <x:c r="P49" s="21" t="str">
        <x:v>Both target visible redness and use green pigments/soothing ingredients in an easy makeup-adjacent step.</x:v>
      </x:c>
      <x:c r="Q49" s="21" t="str">
        <x:v>Hero is a tinted 15 mL post-blemish corrector under $13; Dr.Jart+ moisturizer is untinted, 50 mL, prestige and four times the ticket price.</x:v>
      </x:c>
      <x:c r="R49" s="21" t="str">
        <x:v>Hero -$39.11 ticket; Dr.Jart+ lower per mL</x:v>
      </x:c>
      <x:c r="S49" s="21" t="str">
        <x:v>High</x:v>
      </x:c>
      <x:c r="T49" s="21" t="str">
        <x:v>https://www.target.com/p/-/A-94569157</x:v>
      </x:c>
      <x:c r="U49" s="25" t="str">
        <x:v>2026-07-31</x:v>
      </x:c>
      <x:c r="V49" s="21" t="str">
        <x:v>SRC-DJ-045</x:v>
      </x:c>
    </x:row>
    <x:row r="50" ht="140" customHeight="1">
      <x:c r="A50" s="21" t="str">
        <x:v>CMP-DJ-004</x:v>
      </x:c>
      <x:c r="B50" s="21" t="str">
        <x:v>KB010</x:v>
      </x:c>
      <x:c r="C50" s="21" t="str">
        <x:v>DJ-P004</x:v>
      </x:c>
      <x:c r="D50" s="21" t="str">
        <x:v>Biodance</x:v>
      </x:c>
      <x:c r="E50" s="21" t="str">
        <x:v>Bio-Collagen Real Deep Mask</x:v>
      </x:c>
      <x:c r="F50" s="21" t="str">
        <x:v>Viral premium Korean hydrogel mask</x:v>
      </x:c>
      <x:c r="G50" s="21" t="str">
        <x:v>Multi-hour collagen hydrogel mask</x:v>
      </x:c>
      <x:c r="H50" s="21" t="str">
        <x:v>4 masks</x:v>
      </x:c>
      <x:c r="I50" s="31" t="n">
        <x:v>19</x:v>
      </x:c>
      <x:c r="J50" s="31" t="n">
        <x:v>4.75</x:v>
      </x:c>
      <x:c r="K50" s="21" t="str">
        <x:v>Official DTC; Amazon; Sephora; Ulta; Target; iHerb</x:v>
      </x:c>
      <x:c r="L50" s="33"/>
      <x:c r="M50" s="27"/>
      <x:c r="N50" s="21" t="str">
        <x:v>Biodance has broad viral and Amazon awareness; official U.S. pricing anchors a four-pack near $19.</x:v>
      </x:c>
      <x:c r="O50" s="21" t="str">
        <x:v>Distinct transparent-mask transformation, overnight ritual, strong social content and dramatically lower per-use cost.</x:v>
      </x:c>
      <x:c r="P50" s="21" t="str">
        <x:v>Both are Korean single-use intensive masks with visually demonstrable treatment rituals.</x:v>
      </x:c>
      <x:c r="Q50" s="21" t="str">
        <x:v>Cryo Rubber is a short two-step cooling mask at $16.50 each; Biodance is a multi-hour hydrogel system at about $4.75 per mask.</x:v>
      </x:c>
      <x:c r="R50" s="21" t="str">
        <x:v>Biodance about -$11.75 per use</x:v>
      </x:c>
      <x:c r="S50" s="21" t="str">
        <x:v>Very High</x:v>
      </x:c>
      <x:c r="T50" s="21" t="str">
        <x:v>https://biodance.com/products/bio-collagen-real-deep-mask</x:v>
      </x:c>
      <x:c r="U50" s="25" t="str">
        <x:v>2026-07-31</x:v>
      </x:c>
      <x:c r="V50" s="21" t="str">
        <x:v>SRC-DJ-047</x:v>
      </x:c>
    </x:row>
    <x:row r="51" ht="140" customHeight="1">
      <x:c r="A51" s="21" t="str">
        <x:v>CMP-DJ-005</x:v>
      </x:c>
      <x:c r="B51" s="21" t="str">
        <x:v>KB010</x:v>
      </x:c>
      <x:c r="C51" s="21" t="str">
        <x:v>DJ-P005</x:v>
      </x:c>
      <x:c r="D51" s="21" t="str">
        <x:v>IT Cosmetics</x:v>
      </x:c>
      <x:c r="E51" s="21" t="str">
        <x:v>CC+ Cream Full Coverage Color Correcting Foundation SPF 50+</x:v>
      </x:c>
      <x:c r="F51" s="21" t="str">
        <x:v>Prestige SPF complexion hybrid</x:v>
      </x:c>
      <x:c r="G51" s="21" t="str">
        <x:v>Full-coverage CC foundation with SPF 50+</x:v>
      </x:c>
      <x:c r="H51" s="21" t="str">
        <x:v>32 mL</x:v>
      </x:c>
      <x:c r="I51" s="31" t="n">
        <x:v>39</x:v>
      </x:c>
      <x:c r="J51" s="31" t="n">
        <x:v>1.2188</x:v>
      </x:c>
      <x:c r="K51" s="21" t="str">
        <x:v>Sephora; Ulta; official DTC; Amazon; department stores</x:v>
      </x:c>
      <x:c r="L51" s="33" t="n">
        <x:v>8700</x:v>
      </x:c>
      <x:c r="M51" s="27"/>
      <x:c r="N51" s="21" t="str">
        <x:v>Sephora displayed $39, about 8.7K reviews and 556K loves; current editorial coverage cites 30 shades.</x:v>
      </x:c>
      <x:c r="O51" s="21" t="str">
        <x:v>Much broader shade range, full coverage, high SPF, massive review depth and established U.S. complexion authority.</x:v>
      </x:c>
      <x:c r="P51" s="21" t="str">
        <x:v>Both combine complexion coverage, skincare ingredients and high broad-spectrum SPF in prestige retail.</x:v>
      </x:c>
      <x:c r="Q51" s="21" t="str">
        <x:v>Dr.Jart+ offers lighter BB coverage and Korean skincare heritage but only six shades and a $10 higher ticket; IT offers 30 shades and deeper social proof.</x:v>
      </x:c>
      <x:c r="R51" s="21" t="str">
        <x:v>IT Cosmetics -$10 ticket; similar per mL</x:v>
      </x:c>
      <x:c r="S51" s="21" t="str">
        <x:v>Very High</x:v>
      </x:c>
      <x:c r="T51" s="21" t="str">
        <x:v>https://www.sephora.com/product/your-skin-but-better-cc-cream-spf-50-P411885</x:v>
      </x:c>
      <x:c r="U51" s="25" t="str">
        <x:v>2026-07-31</x:v>
      </x:c>
      <x:c r="V51" s="21" t="str">
        <x:v>SRC-DJ-048</x:v>
      </x:c>
    </x:row>
    <x:row r="52" ht="156" customHeight="1">
      <x:c r="A52" s="21" t="str">
        <x:v>CMP-TOR-001</x:v>
      </x:c>
      <x:c r="B52" s="21" t="str">
        <x:v>KB011</x:v>
      </x:c>
      <x:c r="C52" s="21" t="str">
        <x:v>TOR-P001</x:v>
      </x:c>
      <x:c r="D52" s="21" t="str">
        <x:v>The Ordinary</x:v>
      </x:c>
      <x:c r="E52" s="21" t="str">
        <x:v>Hyaluronic Acid 2% + B5 Hydrating Serum</x:v>
      </x:c>
      <x:c r="F52" s="21" t="str">
        <x:v>Mass/value hydrating serum</x:v>
      </x:c>
      <x:c r="G52" s="21" t="str">
        <x:v>Hyaluronic-acid serum</x:v>
      </x:c>
      <x:c r="H52" s="21" t="str">
        <x:v>30 mL</x:v>
      </x:c>
      <x:c r="I52" s="31" t="n">
        <x:v>12</x:v>
      </x:c>
      <x:c r="J52" s="31" t="n">
        <x:v>0.4</x:v>
      </x:c>
      <x:c r="K52" s="21" t="str">
        <x:v>Sephora; Ulta; Target; Amazon; official DTC</x:v>
      </x:c>
      <x:c r="L52" s="33" t="n">
        <x:v>1600</x:v>
      </x:c>
      <x:c r="M52" s="27"/>
      <x:c r="N52" s="21" t="str">
        <x:v>Sephora displayed about 1.6K reviews and a $12 price.</x:v>
      </x:c>
      <x:c r="O52" s="21" t="str">
        <x:v>Extreme value, ingredient transparency, broad retail reach and long-standing awareness.</x:v>
      </x:c>
      <x:c r="P52" s="21" t="str">
        <x:v>Both are lightweight HA/B5-style hydration serums positioned for plumping and layering.</x:v>
      </x:c>
      <x:c r="Q52" s="21" t="str">
        <x:v>Torriden offers 50 mL, five HA sizes, panthenol/allantoin and stronger current Amazon hero velocity; The Ordinary is half the ticket and lower per mL.</x:v>
      </x:c>
      <x:c r="R52" s="21" t="str">
        <x:v>The Ordinary -$12 ticket; -$0.08/mL</x:v>
      </x:c>
      <x:c r="S52" s="21" t="str">
        <x:v>Very High</x:v>
      </x:c>
      <x:c r="T52" s="21" t="str">
        <x:v>https://www.sephora.com/product/the-ordinary-hyaluronic-acid-2-b5-hydrating-serum-P427419/</x:v>
      </x:c>
      <x:c r="U52" s="25" t="str">
        <x:v>2026-08-01</x:v>
      </x:c>
      <x:c r="V52" s="21" t="str">
        <x:v>SRC-TOR-044</x:v>
      </x:c>
    </x:row>
    <x:row r="53" ht="156" customHeight="1">
      <x:c r="A53" s="21" t="str">
        <x:v>CMP-TOR-002</x:v>
      </x:c>
      <x:c r="B53" s="21" t="str">
        <x:v>KB011</x:v>
      </x:c>
      <x:c r="C53" s="21" t="str">
        <x:v>TOR-P002</x:v>
      </x:c>
      <x:c r="D53" s="21" t="str">
        <x:v>Beauty of Joseon</x:v>
      </x:c>
      <x:c r="E53" s="21" t="str">
        <x:v>Red Bean Water Gel</x:v>
      </x:c>
      <x:c r="F53" s="21" t="str">
        <x:v>Value Korean lightweight gel moisturizer</x:v>
      </x:c>
      <x:c r="G53" s="21" t="str">
        <x:v>Gel moisturizer</x:v>
      </x:c>
      <x:c r="H53" s="21" t="str">
        <x:v>100 mL</x:v>
      </x:c>
      <x:c r="I53" s="31" t="n">
        <x:v>18</x:v>
      </x:c>
      <x:c r="J53" s="31" t="n">
        <x:v>0.18</x:v>
      </x:c>
      <x:c r="K53" s="21" t="str">
        <x:v>Official DTC; Amazon; TikTok Shop; K-Beauty retailers</x:v>
      </x:c>
      <x:c r="L53" s="33" t="n">
        <x:v>886</x:v>
      </x:c>
      <x:c r="M53" s="27" t="n">
        <x:v>4.9</x:v>
      </x:c>
      <x:c r="N53" s="21" t="str">
        <x:v>Official page displayed 4.9/886 at $18.</x:v>
      </x:c>
      <x:c r="O53" s="21" t="str">
        <x:v>Lower price, oily/combination-skin fit, red-bean/peptide story and strong K-Beauty awareness.</x:v>
      </x:c>
      <x:c r="P53" s="21" t="str">
        <x:v>Both are 100 mL lightweight Korean gel moisturizers for hydration without heaviness.</x:v>
      </x:c>
      <x:c r="Q53" s="21" t="str">
        <x:v>Torriden emphasizes 5D HA and soothing ingredients with Sephora access; Beauty of Joseon is $9 cheaper and more sebum/oily-skin focused.</x:v>
      </x:c>
      <x:c r="R53" s="21" t="str">
        <x:v>Beauty of Joseon -$9; -$0.09/mL</x:v>
      </x:c>
      <x:c r="S53" s="21" t="str">
        <x:v>Very High</x:v>
      </x:c>
      <x:c r="T53" s="21" t="str">
        <x:v>https://beautyofjoseon.com/products/red-bean-water-gel/</x:v>
      </x:c>
      <x:c r="U53" s="25" t="str">
        <x:v>2026-08-01</x:v>
      </x:c>
      <x:c r="V53" s="21" t="str">
        <x:v>SRC-TOR-045</x:v>
      </x:c>
    </x:row>
    <x:row r="54" ht="156" customHeight="1">
      <x:c r="A54" s="21" t="str">
        <x:v>CMP-TOR-003</x:v>
      </x:c>
      <x:c r="B54" s="21" t="str">
        <x:v>KB011</x:v>
      </x:c>
      <x:c r="C54" s="21" t="str">
        <x:v>TOR-P003</x:v>
      </x:c>
      <x:c r="D54" s="21" t="str">
        <x:v>ANUA</x:v>
      </x:c>
      <x:c r="E54" s="21" t="str">
        <x:v>Rice 70 Glow Milky Toner</x:v>
      </x:c>
      <x:c r="F54" s="21" t="str">
        <x:v>Accessible Korean glow/barrier toner</x:v>
      </x:c>
      <x:c r="G54" s="21" t="str">
        <x:v>Milky toner</x:v>
      </x:c>
      <x:c r="H54" s="21" t="str">
        <x:v>250 mL</x:v>
      </x:c>
      <x:c r="I54" s="31" t="n">
        <x:v>21</x:v>
      </x:c>
      <x:c r="J54" s="31" t="n">
        <x:v>0.084</x:v>
      </x:c>
      <x:c r="K54" s="21" t="str">
        <x:v>Ulta; Amazon; TikTok Shop; K-Beauty retailers</x:v>
      </x:c>
      <x:c r="L54" s="33" t="n">
        <x:v>213</x:v>
      </x:c>
      <x:c r="M54" s="27" t="n">
        <x:v>4.4</x:v>
      </x:c>
      <x:c r="N54" s="21" t="str">
        <x:v>Ulta displayed $21 and 4.4/213.</x:v>
      </x:c>
      <x:c r="O54" s="21" t="str">
        <x:v>Ulta exclusivity, rice/niacinamide/ceramide story, glow positioning and strong ANUA social awareness.</x:v>
      </x:c>
      <x:c r="P54" s="21" t="str">
        <x:v>Both are large-format Korean toners for hydration and routine preparation near the low-$20 range.</x:v>
      </x:c>
      <x:c r="Q54" s="21" t="str">
        <x:v>Torriden is 300 mL and clear/HA-led at $23; ANUA is richer, 250 mL and barrier/brightening-led at $21.</x:v>
      </x:c>
      <x:c r="R54" s="21" t="str">
        <x:v>ANUA -$2 ticket; Torriden lower per mL</x:v>
      </x:c>
      <x:c r="S54" s="21" t="str">
        <x:v>Very High</x:v>
      </x:c>
      <x:c r="T54" s="21" t="str">
        <x:v>https://www.ulta.com/p/rice-70-glow-milky-toner-pimprod2048932?sku=2634193</x:v>
      </x:c>
      <x:c r="U54" s="25" t="str">
        <x:v>2026-08-01</x:v>
      </x:c>
      <x:c r="V54" s="21" t="str">
        <x:v>SRC-TOR-046</x:v>
      </x:c>
    </x:row>
    <x:row r="55" ht="156" customHeight="1">
      <x:c r="A55" s="21" t="str">
        <x:v>CMP-TOR-004</x:v>
      </x:c>
      <x:c r="B55" s="21" t="str">
        <x:v>KB011</x:v>
      </x:c>
      <x:c r="C55" s="21" t="str">
        <x:v>TOR-P004</x:v>
      </x:c>
      <x:c r="D55" s="21" t="str">
        <x:v>Beauty of Joseon</x:v>
      </x:c>
      <x:c r="E55" s="21" t="str">
        <x:v>Centella Asiatica Calming Mask</x:v>
      </x:c>
      <x:c r="F55" s="21" t="str">
        <x:v>Value Korean soothing sheet-mask pack</x:v>
      </x:c>
      <x:c r="G55" s="21" t="str">
        <x:v>Sheet mask</x:v>
      </x:c>
      <x:c r="H55" s="21" t="str">
        <x:v>10 sheets</x:v>
      </x:c>
      <x:c r="I55" s="31" t="n">
        <x:v>25</x:v>
      </x:c>
      <x:c r="J55" s="31" t="n">
        <x:v>2.5</x:v>
      </x:c>
      <x:c r="K55" s="21" t="str">
        <x:v>Official DTC; Amazon; TikTok Shop; K-Beauty retailers</x:v>
      </x:c>
      <x:c r="L55" s="33" t="n">
        <x:v>593</x:v>
      </x:c>
      <x:c r="M55" s="27" t="n">
        <x:v>4.9</x:v>
      </x:c>
      <x:c r="N55" s="21" t="str">
        <x:v>Official product collection displayed a 10-pack near $25 with a large positive review base.</x:v>
      </x:c>
      <x:c r="O55" s="21" t="str">
        <x:v>Lower per-use cost, centella soothing story and strong Beauty of Joseon awareness.</x:v>
      </x:c>
      <x:c r="P55" s="21" t="str">
        <x:v>Both are Korean 10-pack sheet masks positioned for gentle soothing hydration.</x:v>
      </x:c>
      <x:c r="Q55" s="21" t="str">
        <x:v>Torriden is HA/panthenol-led and $33; Beauty of Joseon is centella-led and about $8 cheaper per pack.</x:v>
      </x:c>
      <x:c r="R55" s="21" t="str">
        <x:v>Beauty of Joseon -$8 pack; -$0.80/use</x:v>
      </x:c>
      <x:c r="S55" s="21" t="str">
        <x:v>High</x:v>
      </x:c>
      <x:c r="T55" s="21" t="str">
        <x:v>https://beautyofjoseon.com/products</x:v>
      </x:c>
      <x:c r="U55" s="25" t="str">
        <x:v>2026-08-01</x:v>
      </x:c>
      <x:c r="V55" s="21" t="str">
        <x:v>SRC-TOR-047</x:v>
      </x:c>
    </x:row>
    <x:row r="56" ht="156" customHeight="1">
      <x:c r="A56" s="21" t="str">
        <x:v>CMP-TOR-005</x:v>
      </x:c>
      <x:c r="B56" s="21" t="str">
        <x:v>KB011</x:v>
      </x:c>
      <x:c r="C56" s="21" t="str">
        <x:v>TOR-P005</x:v>
      </x:c>
      <x:c r="D56" s="21" t="str">
        <x:v>LANEIGE</x:v>
      </x:c>
      <x:c r="E56" s="21" t="str">
        <x:v>Lip Glowy Balm</x:v>
      </x:c>
      <x:c r="F56" s="21" t="str">
        <x:v>Prestige Korean glossy lip hydration</x:v>
      </x:c>
      <x:c r="G56" s="21" t="str">
        <x:v>Lip balm/treatment</x:v>
      </x:c>
      <x:c r="H56" s="21" t="str">
        <x:v>10 g</x:v>
      </x:c>
      <x:c r="I56" s="31" t="n">
        <x:v>19</x:v>
      </x:c>
      <x:c r="J56" s="31" t="n">
        <x:v>1.9</x:v>
      </x:c>
      <x:c r="K56" s="21" t="str">
        <x:v>Sephora; Target; Amazon; official DTC</x:v>
      </x:c>
      <x:c r="L56" s="33" t="n">
        <x:v>7852</x:v>
      </x:c>
      <x:c r="M56" s="27"/>
      <x:c r="N56" s="21" t="str">
        <x:v>Sephora displayed $19, about 7.8K reviews and very large consumer interest.</x:v>
      </x:c>
      <x:c r="O56" s="21" t="str">
        <x:v>Category-leading U.S. lip awareness, many flavors/shades, prestige placement and deep review volume.</x:v>
      </x:c>
      <x:c r="P56" s="21" t="str">
        <x:v>Both are glossy Korean on-the-go lip hydrators with strong texture and gift/add-on appeal.</x:v>
      </x:c>
      <x:c r="Q56" s="21" t="str">
        <x:v>Torriden is $8 cheaper and adds a five-ceramide barrier story; LANEIGE has far deeper U.S. lip equity, flavor breadth and review proof.</x:v>
      </x:c>
      <x:c r="R56" s="21" t="str">
        <x:v>LANEIGE +$8 ticket</x:v>
      </x:c>
      <x:c r="S56" s="21" t="str">
        <x:v>Very High</x:v>
      </x:c>
      <x:c r="T56" s="21" t="str">
        <x:v>https://www.sephora.com/product/glowy-lip-balm-P443563</x:v>
      </x:c>
      <x:c r="U56" s="25" t="str">
        <x:v>2026-08-01</x:v>
      </x:c>
      <x:c r="V56" s="21" t="str">
        <x:v>SRC-TOR-048</x:v>
      </x:c>
    </x:row>
    <x:row r="57" ht="116" customHeight="1">
      <x:c r="A57" s="21" t="str">
        <x:v>CMP-NBZ-001</x:v>
      </x:c>
      <x:c r="B57" s="21" t="str">
        <x:v>KB012</x:v>
      </x:c>
      <x:c r="C57" s="21" t="str">
        <x:v>NBZ-P002</x:v>
      </x:c>
      <x:c r="D57" s="21" t="str">
        <x:v>ANUA</x:v>
      </x:c>
      <x:c r="E57" s="21" t="str">
        <x:v>Niacinamide 10% + TXA 4% Serum</x:v>
      </x:c>
      <x:c r="F57" s="21" t="str">
        <x:v>Brightening / Post-Blemish</x:v>
      </x:c>
      <x:c r="G57" s="21" t="str">
        <x:v>Serum</x:v>
      </x:c>
      <x:c r="H57" s="21" t="str">
        <x:v>30 mL</x:v>
      </x:c>
      <x:c r="I57" s="31" t="n">
        <x:v>24</x:v>
      </x:c>
      <x:c r="J57" s="31" t="n">
        <x:v>0.8</x:v>
      </x:c>
      <x:c r="K57" s="21" t="str">
        <x:v>Official DTC; Amazon; Ulta; Target</x:v>
      </x:c>
      <x:c r="L57" s="33"/>
      <x:c r="M57" s="27"/>
      <x:c r="N57" s="21" t="str">
        <x:v>High U.S. social and retail visibility; simple percentage-led proposition.</x:v>
      </x:c>
      <x:c r="O57" s="21" t="str">
        <x:v>Clear 10% niacinamide + 4% TXA story, pink texture and wide retail access.</x:v>
      </x:c>
      <x:c r="P57" s="21" t="str">
        <x:v>Both target uneven tone and post-blemish marks with niacinamide and TXA.</x:v>
      </x:c>
      <x:c r="Q57" s="21" t="str">
        <x:v>Numbuzin uses a broader brightening stack and much lower observed Amazon price; ANUA offers higher niacinamide and simpler communication.</x:v>
      </x:c>
      <x:c r="R57" s="21" t="n">
        <x:v>-11.26</x:v>
      </x:c>
      <x:c r="S57" s="21" t="str">
        <x:v>Very High</x:v>
      </x:c>
      <x:c r="T57" s="21" t="str">
        <x:v>https://anua.com/products/niacinamide-10-txa-4-serum-2</x:v>
      </x:c>
      <x:c r="U57" s="25" t="str">
        <x:v>2026-08-01</x:v>
      </x:c>
      <x:c r="V57" s="21" t="str">
        <x:v>SRC-NBZ-048</x:v>
      </x:c>
    </x:row>
    <x:row r="58" ht="116" customHeight="1">
      <x:c r="A58" s="21" t="str">
        <x:v>CMP-NBZ-002</x:v>
      </x:c>
      <x:c r="B58" s="21" t="str">
        <x:v>KB012</x:v>
      </x:c>
      <x:c r="C58" s="21" t="str">
        <x:v>NBZ-P002</x:v>
      </x:c>
      <x:c r="D58" s="21" t="str">
        <x:v>Beauty of Joseon</x:v>
      </x:c>
      <x:c r="E58" s="21" t="str">
        <x:v>Glow Deep Serum: Rice + Alpha-Arbutin</x:v>
      </x:c>
      <x:c r="F58" s="21" t="str">
        <x:v>Brightening / Glow</x:v>
      </x:c>
      <x:c r="G58" s="21" t="str">
        <x:v>Serum</x:v>
      </x:c>
      <x:c r="H58" s="21" t="str">
        <x:v>30 mL</x:v>
      </x:c>
      <x:c r="I58" s="31" t="n">
        <x:v>17</x:v>
      </x:c>
      <x:c r="J58" s="31" t="n">
        <x:v>0.5667</x:v>
      </x:c>
      <x:c r="K58" s="21" t="str">
        <x:v>Official DTC; Amazon; Sephora; Ulta; Target</x:v>
      </x:c>
      <x:c r="L58" s="33"/>
      <x:c r="M58" s="27"/>
      <x:c r="N58" s="21" t="str">
        <x:v>Established U.S. K-Beauty brand with strong rice/glow awareness.</x:v>
      </x:c>
      <x:c r="O58" s="21" t="str">
        <x:v>Simple rice + alpha-arbutin positioning, accessible price and heritage-style branding.</x:v>
      </x:c>
      <x:c r="P58" s="21" t="str">
        <x:v>Both are affordable Korean brightening serums for dullness and uneven tone.</x:v>
      </x:c>
      <x:c r="Q58" s="21" t="str">
        <x:v>Numbuzin offers more actives and higher Amazon velocity; Beauty of Joseon has a gentler, simpler message and broad brand equity.</x:v>
      </x:c>
      <x:c r="R58" s="21" t="n">
        <x:v>-4.26</x:v>
      </x:c>
      <x:c r="S58" s="21" t="str">
        <x:v>Very High</x:v>
      </x:c>
      <x:c r="T58" s="21" t="str">
        <x:v>https://beautyofjoseon.com/collections/serum/products/glow-deep-serum-rice-alpha-arbutin</x:v>
      </x:c>
      <x:c r="U58" s="25" t="str">
        <x:v>2026-08-01</x:v>
      </x:c>
      <x:c r="V58" s="21" t="str">
        <x:v>SRC-NBZ-049</x:v>
      </x:c>
    </x:row>
    <x:row r="59" ht="116" customHeight="1">
      <x:c r="A59" s="21" t="str">
        <x:v>CMP-NBZ-003</x:v>
      </x:c>
      <x:c r="B59" s="21" t="str">
        <x:v>KB012</x:v>
      </x:c>
      <x:c r="C59" s="21" t="str">
        <x:v>NBZ-P005</x:v>
      </x:c>
      <x:c r="D59" s="21" t="str">
        <x:v>ma:nyo</x:v>
      </x:c>
      <x:c r="E59" s="21" t="str">
        <x:v>Bifida Biome Complex Ampoule</x:v>
      </x:c>
      <x:c r="F59" s="21" t="str">
        <x:v>Fermented Barrier / Texture</x:v>
      </x:c>
      <x:c r="G59" s="21" t="str">
        <x:v>Ampoule</x:v>
      </x:c>
      <x:c r="H59" s="21" t="str">
        <x:v>30 mL</x:v>
      </x:c>
      <x:c r="I59" s="31" t="n">
        <x:v>23</x:v>
      </x:c>
      <x:c r="J59" s="31" t="n">
        <x:v>0.7667</x:v>
      </x:c>
      <x:c r="K59" s="21" t="str">
        <x:v>Ulta; Amazon; K-Beauty retailers</x:v>
      </x:c>
      <x:c r="L59" s="33" t="n">
        <x:v>477</x:v>
      </x:c>
      <x:c r="M59" s="27" t="n">
        <x:v>4.7</x:v>
      </x:c>
      <x:c r="N59" s="21" t="str">
        <x:v>Strong fermented-barrier credibility and positive Ulta review base.</x:v>
      </x:c>
      <x:c r="O59" s="21" t="str">
        <x:v>Bifida-led barrier and microbiome-style story; prestige-leaning fermented ampoule.</x:v>
      </x:c>
      <x:c r="P59" s="21" t="str">
        <x:v>Both use ferment-heavy K-Beauty positioning for smoother, healthier-looking texture.</x:v>
      </x:c>
      <x:c r="Q59" s="21" t="str">
        <x:v>Numbuzin is 50 mL and texture/glow-led; ma:nyo is a concentrated 30 mL barrier ampoule with a more focused story.</x:v>
      </x:c>
      <x:c r="R59" s="21" t="n">
        <x:v>-5</x:v>
      </x:c>
      <x:c r="S59" s="21" t="str">
        <x:v>High</x:v>
      </x:c>
      <x:c r="T59" s="21" t="str">
        <x:v>https://www.ulta.com/p/bifida-biome-complex-ampoule-pimprod2045871</x:v>
      </x:c>
      <x:c r="U59" s="25" t="str">
        <x:v>2026-08-01</x:v>
      </x:c>
      <x:c r="V59" s="21" t="str">
        <x:v>SRC-NBZ-050</x:v>
      </x:c>
    </x:row>
    <x:row r="60" ht="116" customHeight="1">
      <x:c r="A60" s="21" t="str">
        <x:v>CMP-NBZ-004</x:v>
      </x:c>
      <x:c r="B60" s="21" t="str">
        <x:v>KB012</x:v>
      </x:c>
      <x:c r="C60" s="21" t="str">
        <x:v>NBZ-P003</x:v>
      </x:c>
      <x:c r="D60" s="21" t="str">
        <x:v>ANUA</x:v>
      </x:c>
      <x:c r="E60" s="21" t="str">
        <x:v>Rice 70 Glow Milky Toner</x:v>
      </x:c>
      <x:c r="F60" s="21" t="str">
        <x:v>Glow / Barrier</x:v>
      </x:c>
      <x:c r="G60" s="21" t="str">
        <x:v>Toner</x:v>
      </x:c>
      <x:c r="H60" s="21" t="str">
        <x:v>250 mL</x:v>
      </x:c>
      <x:c r="I60" s="31" t="n">
        <x:v>21</x:v>
      </x:c>
      <x:c r="J60" s="31" t="n">
        <x:v>0.084</x:v>
      </x:c>
      <x:c r="K60" s="21" t="str">
        <x:v>Ulta; Amazon; Target</x:v>
      </x:c>
      <x:c r="L60" s="33" t="n">
        <x:v>213</x:v>
      </x:c>
      <x:c r="M60" s="27" t="n">
        <x:v>4.4</x:v>
      </x:c>
      <x:c r="N60" s="21" t="str">
        <x:v>Ulta visibility and large rice-toner awareness.</x:v>
      </x:c>
      <x:c r="O60" s="21" t="str">
        <x:v>70% rice water, niacinamide and ceramide; milky texture and barrier-glow appeal.</x:v>
      </x:c>
      <x:c r="P60" s="21" t="str">
        <x:v>Both are affordable large-format glow toners for layering.</x:v>
      </x:c>
      <x:c r="Q60" s="21" t="str">
        <x:v>Numbuzin is fermentation-led and more deeply discounted; ANUA is larger and uses a clearer rice/ceramide proposition.</x:v>
      </x:c>
      <x:c r="R60" s="21" t="n">
        <x:v>-8.3</x:v>
      </x:c>
      <x:c r="S60" s="21" t="str">
        <x:v>Very High</x:v>
      </x:c>
      <x:c r="T60" s="21" t="str">
        <x:v>https://www.ulta.com/p/rice-70-glow-milky-toner-pimprod2048932?sku=2634193</x:v>
      </x:c>
      <x:c r="U60" s="25" t="str">
        <x:v>2026-08-01</x:v>
      </x:c>
      <x:c r="V60" s="21" t="str">
        <x:v>SRC-NBZ-051</x:v>
      </x:c>
    </x:row>
    <x:row r="61" ht="116" customHeight="1">
      <x:c r="A61" s="21" t="str">
        <x:v>CMP-NBZ-005</x:v>
      </x:c>
      <x:c r="B61" s="21" t="str">
        <x:v>KB012</x:v>
      </x:c>
      <x:c r="C61" s="21" t="str">
        <x:v>NBZ-P001</x:v>
      </x:c>
      <x:c r="D61" s="21" t="str">
        <x:v>LANEIGE</x:v>
      </x:c>
      <x:c r="E61" s="21" t="str">
        <x:v>Bouncy &amp; Firm Serum</x:v>
      </x:c>
      <x:c r="F61" s="21" t="str">
        <x:v>Firming / Plumping</x:v>
      </x:c>
      <x:c r="G61" s="21" t="str">
        <x:v>Serum</x:v>
      </x:c>
      <x:c r="H61" s="21" t="str">
        <x:v>30 mL</x:v>
      </x:c>
      <x:c r="I61" s="31" t="n">
        <x:v>45</x:v>
      </x:c>
      <x:c r="J61" s="31" t="n">
        <x:v>1.5</x:v>
      </x:c>
      <x:c r="K61" s="21" t="str">
        <x:v>Sephora; Amazon; official DTC</x:v>
      </x:c>
      <x:c r="L61" s="33"/>
      <x:c r="M61" s="27"/>
      <x:c r="N61" s="21" t="str">
        <x:v>Prestige K-Beauty equity, Sephora presence and recognizable firming franchise.</x:v>
      </x:c>
      <x:c r="O61" s="21" t="str">
        <x:v>Premium brand trust, peptide/collagen-style plumping message and polished textures.</x:v>
      </x:c>
      <x:c r="P61" s="21" t="str">
        <x:v>Both target plumper, firmer-looking, glowing skin with trend-led ingredient stories.</x:v>
      </x:c>
      <x:c r="Q61" s="21" t="str">
        <x:v>Numbuzin is lower-priced, 50 mL and currently stronger on sampled Amazon velocity; LANEIGE has stronger prestige positioning and retailer equity.</x:v>
      </x:c>
      <x:c r="R61" s="21" t="n">
        <x:v>21.7</x:v>
      </x:c>
      <x:c r="S61" s="21" t="str">
        <x:v>High</x:v>
      </x:c>
      <x:c r="T61" s="21" t="str">
        <x:v>https://www.sephora.com/product/bouncy-firm-serum-P511129</x:v>
      </x:c>
      <x:c r="U61" s="25" t="str">
        <x:v>2026-08-01</x:v>
      </x:c>
      <x:c r="V61" s="21" t="str">
        <x:v>SRC-NBZ-052</x:v>
      </x:c>
    </x:row>
    <x:row r="62" ht="116" customHeight="1">
      <x:c r="A62" s="21" t="str">
        <x:v>CMP-MIX-001</x:v>
      </x:c>
      <x:c r="B62" s="21" t="str">
        <x:v>KB013</x:v>
      </x:c>
      <x:c r="C62" s="21" t="str">
        <x:v>MIX-P001</x:v>
      </x:c>
      <x:c r="D62" s="21" t="str">
        <x:v>COSRX</x:v>
      </x:c>
      <x:c r="E62" s="21" t="str">
        <x:v>Advanced Snail 96 Mucin Power Essence</x:v>
      </x:c>
      <x:c r="F62" s="21" t="str">
        <x:v>Affordable K-Beauty hydrating texture essence</x:v>
      </x:c>
      <x:c r="G62" s="21" t="str">
        <x:v>Essence / Serum</x:v>
      </x:c>
      <x:c r="H62" s="21" t="str">
        <x:v>100 mL</x:v>
      </x:c>
      <x:c r="I62" s="31" t="n">
        <x:v>20.9</x:v>
      </x:c>
      <x:c r="J62" s="31" t="n">
        <x:v>0.209</x:v>
      </x:c>
      <x:c r="K62" s="21" t="str">
        <x:v>Ulta; Amazon; official DTC; mass/specialty retail</x:v>
      </x:c>
      <x:c r="L62" s="33" t="n">
        <x:v>4064</x:v>
      </x:c>
      <x:c r="M62" s="27" t="n">
        <x:v>4.7</x:v>
      </x:c>
      <x:c r="N62" s="21" t="str">
        <x:v>Ulta review scale and long-standing U.S. snail-mucin awareness.</x:v>
      </x:c>
      <x:c r="O62" s="21" t="str">
        <x:v>Iconic ingredient, hydration/glow, broad retail, large review base and affordable ticket.</x:v>
      </x:c>
      <x:c r="P62" s="21" t="str">
        <x:v>Both are viscous K-Beauty hydration/texture heroes used for glass-skin routines.</x:v>
      </x:c>
      <x:c r="Q62" s="21" t="str">
        <x:v>Mixsoon uses plant ferments and massage/exfoliation content; COSRX uses 96% snail filtrate, twice the volume and lower price per mL.</x:v>
      </x:c>
      <x:c r="R62" s="21" t="str">
        <x:v>-$7.10 vs Mixsoon current official price</x:v>
      </x:c>
      <x:c r="S62" s="21" t="str">
        <x:v>Very High</x:v>
      </x:c>
      <x:c r="T62" s="21" t="str">
        <x:v>https://www.ulta.com/p/advanced-snail-96-mucin-power-essence-xlsImpprod15641052?sku=2504912</x:v>
      </x:c>
      <x:c r="U62" s="25" t="str">
        <x:v>2026-08-01</x:v>
      </x:c>
      <x:c r="V62" s="21" t="str">
        <x:v>SRC-MIX-048</x:v>
      </x:c>
    </x:row>
    <x:row r="63" ht="116" customHeight="1">
      <x:c r="A63" s="21" t="str">
        <x:v>CMP-MIX-002</x:v>
      </x:c>
      <x:c r="B63" s="21" t="str">
        <x:v>KB013</x:v>
      </x:c>
      <x:c r="C63" s="21" t="str">
        <x:v>MIX-P002</x:v>
      </x:c>
      <x:c r="D63" s="21" t="str">
        <x:v>Beauty of Joseon</x:v>
      </x:c>
      <x:c r="E63" s="21" t="str">
        <x:v>Dynasty Cream</x:v>
      </x:c>
      <x:c r="F63" s="21" t="str">
        <x:v>Affordable-to-mid K-Beauty heritage moisturizer</x:v>
      </x:c>
      <x:c r="G63" s="21" t="str">
        <x:v>Face Moisturizer</x:v>
      </x:c>
      <x:c r="H63" s="21" t="str">
        <x:v>50 mL</x:v>
      </x:c>
      <x:c r="I63" s="31" t="n">
        <x:v>24</x:v>
      </x:c>
      <x:c r="J63" s="31" t="n">
        <x:v>0.48</x:v>
      </x:c>
      <x:c r="K63" s="21" t="str">
        <x:v>Sephora; official DTC; Amazon; specialty retail</x:v>
      </x:c>
      <x:c r="L63" s="33"/>
      <x:c r="M63" s="27"/>
      <x:c r="N63" s="21" t="str">
        <x:v>Sephora placement and strong global K-Beauty awareness.</x:v>
      </x:c>
      <x:c r="O63" s="21" t="str">
        <x:v>Rice/ginseng heritage, accessible price, barrier/hydration proposition and trusted routine ecosystem.</x:v>
      </x:c>
      <x:c r="P63" s="21" t="str">
        <x:v>Both are 50 mL Korean moisturizers positioned for hydration, glow and skin comfort.</x:v>
      </x:c>
      <x:c r="Q63" s="21" t="str">
        <x:v>Mixsoon has a fermented bean companion story and stronger sampled Amazon velocity; BOJ offers a simpler heritage narrative and lower retail price.</x:v>
      </x:c>
      <x:c r="R63" s="21" t="str">
        <x:v>-$4.00 vs Mixsoon current official price</x:v>
      </x:c>
      <x:c r="S63" s="21" t="str">
        <x:v>High</x:v>
      </x:c>
      <x:c r="T63" s="21" t="str">
        <x:v>https://www.sephora.com/product/dynasty-cream-50ml-P517638</x:v>
      </x:c>
      <x:c r="U63" s="25" t="str">
        <x:v>2026-08-01</x:v>
      </x:c>
      <x:c r="V63" s="21" t="str">
        <x:v>SRC-MIX-049</x:v>
      </x:c>
    </x:row>
    <x:row r="64" ht="116" customHeight="1">
      <x:c r="A64" s="21" t="str">
        <x:v>CMP-MIX-003</x:v>
      </x:c>
      <x:c r="B64" s="21" t="str">
        <x:v>KB013</x:v>
      </x:c>
      <x:c r="C64" s="21" t="str">
        <x:v>MIX-P003</x:v>
      </x:c>
      <x:c r="D64" s="21" t="str">
        <x:v>Torriden</x:v>
      </x:c>
      <x:c r="E64" s="21" t="str">
        <x:v>DIVE-IN Low Molecular Hyaluronic Acid Serum</x:v>
      </x:c>
      <x:c r="F64" s="21" t="str">
        <x:v>Hydrating hyaluronic K-Beauty serum</x:v>
      </x:c>
      <x:c r="G64" s="21" t="str">
        <x:v>Serum</x:v>
      </x:c>
      <x:c r="H64" s="21" t="str">
        <x:v>50 mL</x:v>
      </x:c>
      <x:c r="I64" s="31" t="n">
        <x:v>24</x:v>
      </x:c>
      <x:c r="J64" s="31" t="n">
        <x:v>0.48</x:v>
      </x:c>
      <x:c r="K64" s="21" t="str">
        <x:v>Official U.S. DTC; Amazon; TikTok; specialty retailers</x:v>
      </x:c>
      <x:c r="L64" s="33" t="n">
        <x:v>208</x:v>
      </x:c>
      <x:c r="M64" s="27"/>
      <x:c r="N64" s="21" t="str">
        <x:v>Official U.S. product page displayed 208 reviews and a mature DIVE-IN franchise.</x:v>
      </x:c>
      <x:c r="O64" s="21" t="str">
        <x:v>Five-type hyaluronic story, lightweight hydration, recognizable blue franchise and specialty credibility.</x:v>
      </x:c>
      <x:c r="P64" s="21" t="str">
        <x:v>Both target dehydration with lightweight hyaluronic serum formats.</x:v>
      </x:c>
      <x:c r="Q64" s="21" t="str">
        <x:v>Mixsoon offers 300 mL at a lower per-mL cost; Torriden offers a more concentrated serum proposition and stronger hero specialization.</x:v>
      </x:c>
      <x:c r="R64" s="21" t="str">
        <x:v>+$0.80 vs Mixsoon current official price; far higher per mL</x:v>
      </x:c>
      <x:c r="S64" s="21" t="str">
        <x:v>High</x:v>
      </x:c>
      <x:c r="T64" s="21" t="str">
        <x:v>https://torriden.us/products/dive-in-serum</x:v>
      </x:c>
      <x:c r="U64" s="25" t="str">
        <x:v>2026-08-01</x:v>
      </x:c>
      <x:c r="V64" s="21" t="str">
        <x:v>SRC-MIX-050</x:v>
      </x:c>
    </x:row>
    <x:row r="65" ht="116" customHeight="1">
      <x:c r="A65" s="21" t="str">
        <x:v>CMP-MIX-004</x:v>
      </x:c>
      <x:c r="B65" s="21" t="str">
        <x:v>KB013</x:v>
      </x:c>
      <x:c r="C65" s="21" t="str">
        <x:v>MIX-P004</x:v>
      </x:c>
      <x:c r="D65" s="21" t="str">
        <x:v>ANUA</x:v>
      </x:c>
      <x:c r="E65" s="21" t="str">
        <x:v>Heartleaf Pore Control Cleansing Oil</x:v>
      </x:c>
      <x:c r="F65" s="21" t="str">
        <x:v>Viral K-Beauty pore-cleansing oil</x:v>
      </x:c>
      <x:c r="G65" s="21" t="str">
        <x:v>Cleansing Oil</x:v>
      </x:c>
      <x:c r="H65" s="21" t="str">
        <x:v>200 mL</x:v>
      </x:c>
      <x:c r="I65" s="31" t="n">
        <x:v>20</x:v>
      </x:c>
      <x:c r="J65" s="31" t="n">
        <x:v>0.1</x:v>
      </x:c>
      <x:c r="K65" s="21" t="str">
        <x:v>Ulta; Amazon; official DTC; mass/specialty retail</x:v>
      </x:c>
      <x:c r="L65" s="33" t="n">
        <x:v>341</x:v>
      </x:c>
      <x:c r="M65" s="27" t="n">
        <x:v>3.7</x:v>
      </x:c>
      <x:c r="N65" s="21" t="str">
        <x:v>Ulta displayed 341 reviews; strong pore/sebum social positioning.</x:v>
      </x:c>
      <x:c r="O65" s="21" t="str">
        <x:v>Recognizable heartleaf ingredient, pore-cleansing demos, broad distribution and viral awareness.</x:v>
      </x:c>
      <x:c r="P65" s="21" t="str">
        <x:v>Both are approximately 200 mL Korean cleansing oils around $20.</x:v>
      </x:c>
      <x:c r="Q65" s="21" t="str">
        <x:v>Mixsoon extends the Bean franchise but has a fragrance-label inconsistency; ANUA has much larger cleansing-oil awareness and review volume.</x:v>
      </x:c>
      <x:c r="R65" s="21" t="str">
        <x:v>Same observed ticket</x:v>
      </x:c>
      <x:c r="S65" s="21" t="str">
        <x:v>Very High</x:v>
      </x:c>
      <x:c r="T65" s="21" t="str">
        <x:v>https://www.ulta.com/p/heartleaf-pore-control-cleansing-oil-pimprod2048919</x:v>
      </x:c>
      <x:c r="U65" s="25" t="str">
        <x:v>2026-08-01</x:v>
      </x:c>
      <x:c r="V65" s="21" t="str">
        <x:v>SRC-MIX-051</x:v>
      </x:c>
    </x:row>
    <x:row r="66" ht="116" customHeight="1">
      <x:c r="A66" s="21" t="str">
        <x:v>CMP-MIX-005</x:v>
      </x:c>
      <x:c r="B66" s="21" t="str">
        <x:v>KB013</x:v>
      </x:c>
      <x:c r="C66" s="21" t="str">
        <x:v>MIX-P005</x:v>
      </x:c>
      <x:c r="D66" s="21" t="str">
        <x:v>TIRTIR</x:v>
      </x:c>
      <x:c r="E66" s="21" t="str">
        <x:v>Mask Fit Red Cushion</x:v>
      </x:c>
      <x:c r="F66" s="21" t="str">
        <x:v>High-awareness Korean complexion hybrid</x:v>
      </x:c>
      <x:c r="G66" s="21" t="str">
        <x:v>Cushion Foundation</x:v>
      </x:c>
      <x:c r="H66" s="21" t="str">
        <x:v>0.63 oz</x:v>
      </x:c>
      <x:c r="I66" s="31" t="n">
        <x:v>25</x:v>
      </x:c>
      <x:c r="J66" s="31"/>
      <x:c r="K66" s="21" t="str">
        <x:v>Ulta; Amazon; TikTok; official DTC</x:v>
      </x:c>
      <x:c r="L66" s="33" t="n">
        <x:v>304</x:v>
      </x:c>
      <x:c r="M66" s="27" t="n">
        <x:v>4.3</x:v>
      </x:c>
      <x:c r="N66" s="21" t="str">
        <x:v>Ulta displayed 4.3/304 and roughly forty shade options.</x:v>
      </x:c>
      <x:c r="O66" s="21" t="str">
        <x:v>Viral coverage/wear demos, broad shade system, portable cushion format and strong K-Beauty complexion awareness.</x:v>
      </x:c>
      <x:c r="P66" s="21" t="str">
        <x:v>Both combine complexion coverage with skincare-style hydration claims at accessible prices.</x:v>
      </x:c>
      <x:c r="Q66" s="21" t="str">
        <x:v>Mixsoon offers 50 mL liquid tinted moisturizer and lower price; TIRTIR offers established cushion recognition, wear claims and much broader shades.</x:v>
      </x:c>
      <x:c r="R66" s="21" t="str">
        <x:v>+$3.00 vs Mixsoon official price</x:v>
      </x:c>
      <x:c r="S66" s="21" t="str">
        <x:v>Very High</x:v>
      </x:c>
      <x:c r="T66" s="21" t="str">
        <x:v>https://www.ulta.com/p/mask-fit-red-cushion-pimprod2053403</x:v>
      </x:c>
      <x:c r="U66" s="25" t="str">
        <x:v>2026-08-01</x:v>
      </x:c>
      <x:c r="V66" s="21" t="str">
        <x:v>SRC-MIX-052</x:v>
      </x:c>
    </x:row>
    <x:row r="67" ht="118" customHeight="1">
      <x:c r="A67" s="21" t="str">
        <x:v>CMP-DAL-001</x:v>
      </x:c>
      <x:c r="B67" s="21" t="str">
        <x:v>KB014</x:v>
      </x:c>
      <x:c r="C67" s="21" t="str">
        <x:v>DAL-P001</x:v>
      </x:c>
      <x:c r="D67" s="21" t="str">
        <x:v>Peach &amp; Lily</x:v>
      </x:c>
      <x:c r="E67" s="21" t="str">
        <x:v>Glass Skin Veil Mist</x:v>
      </x:c>
      <x:c r="F67" s="21" t="str">
        <x:v>Premium K-Beauty-inspired fragrance-free glow mist</x:v>
      </x:c>
      <x:c r="G67" s="21" t="str">
        <x:v>Face Mist</x:v>
      </x:c>
      <x:c r="H67" s="21" t="str">
        <x:v>100 mL</x:v>
      </x:c>
      <x:c r="I67" s="31" t="n">
        <x:v>31</x:v>
      </x:c>
      <x:c r="J67" s="31" t="n">
        <x:v>0.31</x:v>
      </x:c>
      <x:c r="K67" s="21" t="str">
        <x:v>Ulta</x:v>
      </x:c>
      <x:c r="L67" s="33" t="n">
        <x:v>905</x:v>
      </x:c>
      <x:c r="M67" s="27" t="n">
        <x:v>4.5</x:v>
      </x:c>
      <x:c r="N67" s="21" t="str">
        <x:v>Ulta exclusive with a mature review base and national specialty visibility.</x:v>
      </x:c>
      <x:c r="O67" s="21" t="str">
        <x:v>Fragrance-free; five ceramides; glass-skin glow; sensitive-skin positioning; Ulta strength.</x:v>
      </x:c>
      <x:c r="P67" s="21" t="str">
        <x:v>Both hydrate, refresh makeup and target an instant glass-skin finish in 100 mL mist formats.</x:v>
      </x:c>
      <x:c r="Q67" s="21" t="str">
        <x:v>d'Alba is bi-phase, oil-rich, fragranced and $10 lower at current official price; Peach &amp; Lily offers fragrance-free barrier cues.</x:v>
      </x:c>
      <x:c r="R67" s="21" t="str">
        <x:v>+$10 vs d'Alba current official price</x:v>
      </x:c>
      <x:c r="S67" s="21" t="str">
        <x:v>Very High</x:v>
      </x:c>
      <x:c r="T67" s="21" t="str">
        <x:v>https://www.ulta.com/p/glass-skin-veil-mist-pimprod2018593?sku=2568145</x:v>
      </x:c>
      <x:c r="U67" s="25" t="str">
        <x:v>2026-08-01</x:v>
      </x:c>
      <x:c r="V67" s="21" t="str">
        <x:v>SRC-DAL-046</x:v>
      </x:c>
    </x:row>
    <x:row r="68" ht="118" customHeight="1">
      <x:c r="A68" s="21" t="str">
        <x:v>CMP-DAL-002</x:v>
      </x:c>
      <x:c r="B68" s="21" t="str">
        <x:v>KB014</x:v>
      </x:c>
      <x:c r="C68" s="21" t="str">
        <x:v>DAL-P001</x:v>
      </x:c>
      <x:c r="D68" s="21" t="str">
        <x:v>Tatcha</x:v>
      </x:c>
      <x:c r="E68" s="21" t="str">
        <x:v>Luminous Dewy Skin Mist</x:v>
      </x:c>
      <x:c r="F68" s="21" t="str">
        <x:v>Prestige facial mist / finishing spray</x:v>
      </x:c>
      <x:c r="G68" s="21" t="str">
        <x:v>Face Mist</x:v>
      </x:c>
      <x:c r="H68" s="21" t="str">
        <x:v>40 mL</x:v>
      </x:c>
      <x:c r="I68" s="31" t="n">
        <x:v>50</x:v>
      </x:c>
      <x:c r="J68" s="31" t="n">
        <x:v>1.25</x:v>
      </x:c>
      <x:c r="K68" s="21" t="str">
        <x:v>Sephora; prestige retail</x:v>
      </x:c>
      <x:c r="L68" s="33" t="n">
        <x:v>2200</x:v>
      </x:c>
      <x:c r="M68" s="27"/>
      <x:c r="N68" s="21" t="str">
        <x:v>Sephora showed 2.2K reviews and 247.4K loves.</x:v>
      </x:c>
      <x:c r="O68" s="21" t="str">
        <x:v>Prestige brand equity, high repeat interest, glow/dewiness and makeup-finishing use.</x:v>
      </x:c>
      <x:c r="P68" s="21" t="str">
        <x:v>Both are luxury-coded hydrating finishing mists used before/after makeup.</x:v>
      </x:c>
      <x:c r="Q68" s="21" t="str">
        <x:v>d'Alba offers 2.5× volume at less than half the ticket; Tatcha has deeper U.S. prestige recognition.</x:v>
      </x:c>
      <x:c r="R68" s="21" t="str">
        <x:v>+$29 vs d'Alba current official price</x:v>
      </x:c>
      <x:c r="S68" s="21" t="str">
        <x:v>High</x:v>
      </x:c>
      <x:c r="T68" s="21" t="str">
        <x:v>https://www.sephora.com/product/luminous-dewy-skin-mist-P399623</x:v>
      </x:c>
      <x:c r="U68" s="25" t="str">
        <x:v>2026-08-01</x:v>
      </x:c>
      <x:c r="V68" s="21" t="str">
        <x:v>SRC-DAL-047</x:v>
      </x:c>
    </x:row>
    <x:row r="69" ht="118" customHeight="1">
      <x:c r="A69" s="21" t="str">
        <x:v>CMP-DAL-003</x:v>
      </x:c>
      <x:c r="B69" s="21" t="str">
        <x:v>KB014</x:v>
      </x:c>
      <x:c r="C69" s="21" t="str">
        <x:v>DAL-P002</x:v>
      </x:c>
      <x:c r="D69" s="21" t="str">
        <x:v>KAHI</x:v>
      </x:c>
      <x:c r="E69" s="21" t="str">
        <x:v>Wrinkle Bounce Multi Balm</x:v>
      </x:c>
      <x:c r="F69" s="21" t="str">
        <x:v>K-Beauty multi-balm stick</x:v>
      </x:c>
      <x:c r="G69" s="21" t="str">
        <x:v>Balm Stick</x:v>
      </x:c>
      <x:c r="H69" s="21" t="str">
        <x:v>9 g</x:v>
      </x:c>
      <x:c r="I69" s="31" t="n">
        <x:v>28</x:v>
      </x:c>
      <x:c r="J69" s="31" t="n">
        <x:v>3.1111</x:v>
      </x:c>
      <x:c r="K69" s="21" t="str">
        <x:v>Ulta; Target; Amazon; specialty retail</x:v>
      </x:c>
      <x:c r="L69" s="33" t="n">
        <x:v>3</x:v>
      </x:c>
      <x:c r="M69" s="27" t="n">
        <x:v>4</x:v>
      </x:c>
      <x:c r="N69" s="21" t="str">
        <x:v>Ulta listing and long-standing K-drama-driven multi-balm awareness.</x:v>
      </x:c>
      <x:c r="O69" s="21" t="str">
        <x:v>Format heritage, portable targeted hydration and established K-Beauty multi-balm recognition.</x:v>
      </x:c>
      <x:c r="P69" s="21" t="str">
        <x:v>Both are targeted glow/moisture sticks positioned around lines and expression areas.</x:v>
      </x:c>
      <x:c r="Q69" s="21" t="str">
        <x:v>d'Alba has stronger sampled Amazon velocity and a lower ticket; KAHI remains the category reference with media heritage.</x:v>
      </x:c>
      <x:c r="R69" s="21" t="str">
        <x:v>+$6 vs d'Alba current official price</x:v>
      </x:c>
      <x:c r="S69" s="21" t="str">
        <x:v>High</x:v>
      </x:c>
      <x:c r="T69" s="21" t="str">
        <x:v>https://www.ulta.com/p/wrinkle-bounce-multi-balm-mkt77001618?sku=77002706</x:v>
      </x:c>
      <x:c r="U69" s="25" t="str">
        <x:v>2026-08-01</x:v>
      </x:c>
      <x:c r="V69" s="21" t="str">
        <x:v>SRC-DAL-048</x:v>
      </x:c>
    </x:row>
    <x:row r="70" ht="118" customHeight="1">
      <x:c r="A70" s="21" t="str">
        <x:v>CMP-DAL-004</x:v>
      </x:c>
      <x:c r="B70" s="21" t="str">
        <x:v>KB014</x:v>
      </x:c>
      <x:c r="C70" s="21" t="str">
        <x:v>DAL-P003</x:v>
      </x:c>
      <x:c r="D70" s="21" t="str">
        <x:v>Medicube</x:v>
      </x:c>
      <x:c r="E70" s="21" t="str">
        <x:v>Collagen Niacinamide Jelly Cream</x:v>
      </x:c>
      <x:c r="F70" s="21" t="str">
        <x:v>Viral affordable firming/glow moisturizer</x:v>
      </x:c>
      <x:c r="G70" s="21" t="str">
        <x:v>Face Moisturizer</x:v>
      </x:c>
      <x:c r="H70" s="21" t="str">
        <x:v>105 mL</x:v>
      </x:c>
      <x:c r="I70" s="31" t="n">
        <x:v>22</x:v>
      </x:c>
      <x:c r="J70" s="31" t="n">
        <x:v>0.2095</x:v>
      </x:c>
      <x:c r="K70" s="21" t="str">
        <x:v>Ulta; Amazon; official DTC; mass/specialty retail</x:v>
      </x:c>
      <x:c r="L70" s="33" t="n">
        <x:v>111</x:v>
      </x:c>
      <x:c r="M70" s="27" t="n">
        <x:v>3.6</x:v>
      </x:c>
      <x:c r="N70" s="21" t="str">
        <x:v>Ulta national presence and high social awareness; rating is more polarized.</x:v>
      </x:c>
      <x:c r="O70" s="21" t="str">
        <x:v>Large size, accessible price, collagen/niacinamide and glass-glow story, national retail.</x:v>
      </x:c>
      <x:c r="P70" s="21" t="str">
        <x:v>Both target plump, firm-looking, radiant skin with K-Beauty anti-aging language.</x:v>
      </x:c>
      <x:c r="Q70" s="21" t="str">
        <x:v>d'Alba is much smaller, more premium and Volufiline-focused; Medicube offers far lower price per mL and device ecosystem cross-sell.</x:v>
      </x:c>
      <x:c r="R70" s="21" t="str">
        <x:v>-$23 vs d'Alba Ulta price</x:v>
      </x:c>
      <x:c r="S70" s="21" t="str">
        <x:v>Very High</x:v>
      </x:c>
      <x:c r="T70" s="21" t="str">
        <x:v>https://www.ulta.com/p/collagen-niacinamide-jelly-cream-pimprod2053650?sku=2645369</x:v>
      </x:c>
      <x:c r="U70" s="25" t="str">
        <x:v>2026-08-01</x:v>
      </x:c>
      <x:c r="V70" s="21" t="str">
        <x:v>SRC-DAL-049</x:v>
      </x:c>
    </x:row>
    <x:row r="71" ht="118" customHeight="1">
      <x:c r="A71" s="21" t="str">
        <x:v>CMP-DAL-005</x:v>
      </x:c>
      <x:c r="B71" s="21" t="str">
        <x:v>KB014</x:v>
      </x:c>
      <x:c r="C71" s="21" t="str">
        <x:v>DAL-P005</x:v>
      </x:c>
      <x:c r="D71" s="21" t="str">
        <x:v>Beauty of Joseon</x:v>
      </x:c>
      <x:c r="E71" s="21" t="str">
        <x:v>Day Dew Sunscreen Lightweight SPF 50</x:v>
      </x:c>
      <x:c r="F71" s="21" t="str">
        <x:v>U.S.-compliant K-Beauty daily facial sunscreen</x:v>
      </x:c>
      <x:c r="G71" s="21" t="str">
        <x:v>Sunscreen</x:v>
      </x:c>
      <x:c r="H71" s="21" t="str">
        <x:v>50 mL</x:v>
      </x:c>
      <x:c r="I71" s="31" t="n">
        <x:v>18</x:v>
      </x:c>
      <x:c r="J71" s="31" t="n">
        <x:v>0.36</x:v>
      </x:c>
      <x:c r="K71" s="21" t="str">
        <x:v>Sephora</x:v>
      </x:c>
      <x:c r="L71" s="33" t="n">
        <x:v>449</x:v>
      </x:c>
      <x:c r="M71" s="27"/>
      <x:c r="N71" s="21" t="str">
        <x:v>Sephora U.S. best-sunscreen page listed $18 and 449 reviews.</x:v>
      </x:c>
      <x:c r="O71" s="21" t="str">
        <x:v>Strong K-Beauty sunscreen awareness, lightweight daily positioning, Sephora access and same ticket.</x:v>
      </x:c>
      <x:c r="P71" s="21" t="str">
        <x:v>Both are 50 mL U.S.-market SPF 50 facial products at accessible prices.</x:v>
      </x:c>
      <x:c r="Q71" s="21" t="str">
        <x:v>d'Alba adds pink tone-up/glow and official TikTok traction; BOJ offers untinted lightweight positioning and Sephora distribution.</x:v>
      </x:c>
      <x:c r="R71" s="21" t="str">
        <x:v>Same observed ticket</x:v>
      </x:c>
      <x:c r="S71" s="21" t="str">
        <x:v>Very High</x:v>
      </x:c>
      <x:c r="T71" s="21" t="str">
        <x:v>https://www.sephora.com/product/day-dew-sunscreen-exclusive-50ml-P517678</x:v>
      </x:c>
      <x:c r="U71" s="25" t="str">
        <x:v>2026-08-01</x:v>
      </x:c>
      <x:c r="V71" s="21" t="str">
        <x:v>SRC-DAL-050</x:v>
      </x:c>
    </x:row>
    <x:row r="72" ht="120" customHeight="1">
      <x:c r="A72" s="21" t="str">
        <x:v>CMP-SBM-001</x:v>
      </x:c>
      <x:c r="B72" s="21" t="str">
        <x:v>KB015</x:v>
      </x:c>
      <x:c r="C72" s="21" t="str">
        <x:v>SBM-P002</x:v>
      </x:c>
      <x:c r="D72" s="21" t="str">
        <x:v>COSRX</x:v>
      </x:c>
      <x:c r="E72" s="21" t="str">
        <x:v>AHA/BHA Clarifying Treatment Toner</x:v>
      </x:c>
      <x:c r="F72" s="21" t="str">
        <x:v>Accessible K-Beauty exfoliating toner</x:v>
      </x:c>
      <x:c r="G72" s="21" t="str">
        <x:v>Toner</x:v>
      </x:c>
      <x:c r="H72" s="21" t="str">
        <x:v>150 mL</x:v>
      </x:c>
      <x:c r="I72" s="31" t="n">
        <x:v>20</x:v>
      </x:c>
      <x:c r="J72" s="31" t="n">
        <x:v>0.1333</x:v>
      </x:c>
      <x:c r="K72" s="21" t="str">
        <x:v>Ulta; Amazon; Target/Ulta</x:v>
      </x:c>
      <x:c r="L72" s="33" t="n">
        <x:v>286</x:v>
      </x:c>
      <x:c r="M72" s="27" t="n">
        <x:v>4.3</x:v>
      </x:c>
      <x:c r="N72" s="21" t="str">
        <x:v>Ulta bestseller with national availability and established K-Beauty awareness.</x:v>
      </x:c>
      <x:c r="O72" s="21" t="str">
        <x:v>Gentle multi-use exfoliation, simple category story and COSRX brand trust.</x:v>
      </x:c>
      <x:c r="P72" s="21" t="str">
        <x:v>Same 150 mL accessible K-Beauty toner format for oil/texture concerns.</x:v>
      </x:c>
      <x:c r="Q72" s="21" t="str">
        <x:v>SOME BY MI has stronger sampled Amazon/iHerb review/velocity signals and a bolder tea-tree/30-day story; COSRX is priced at $20 and uses a less treatment-forward narrative.</x:v>
      </x:c>
      <x:c r="R72" s="21" t="str">
        <x:v>+$3.20 versus SOME BY MI Amazon</x:v>
      </x:c>
      <x:c r="S72" s="21" t="str">
        <x:v>Very High</x:v>
      </x:c>
      <x:c r="T72" s="21" t="str">
        <x:v>https://www.ulta.com/p/ahabha-clarifying-treatment-toner-xlsImpprod15641050</x:v>
      </x:c>
      <x:c r="U72" s="25" t="str">
        <x:v>2026-08-01</x:v>
      </x:c>
      <x:c r="V72" s="21" t="str">
        <x:v>SRC-SBM-046</x:v>
      </x:c>
    </x:row>
    <x:row r="73" ht="120" customHeight="1">
      <x:c r="A73" s="21" t="str">
        <x:v>CMP-SBM-002</x:v>
      </x:c>
      <x:c r="B73" s="21" t="str">
        <x:v>KB015</x:v>
      </x:c>
      <x:c r="C73" s="21" t="str">
        <x:v>SBM-P002</x:v>
      </x:c>
      <x:c r="D73" s="21" t="str">
        <x:v>ANUA</x:v>
      </x:c>
      <x:c r="E73" s="21" t="str">
        <x:v>Heartleaf 77 Soothing Toner</x:v>
      </x:c>
      <x:c r="F73" s="21" t="str">
        <x:v>Viral gentle K-Beauty soothing toner</x:v>
      </x:c>
      <x:c r="G73" s="21" t="str">
        <x:v>Toner</x:v>
      </x:c>
      <x:c r="H73" s="21" t="str">
        <x:v>250 mL</x:v>
      </x:c>
      <x:c r="I73" s="31" t="n">
        <x:v>21</x:v>
      </x:c>
      <x:c r="J73" s="31" t="n">
        <x:v>0.084</x:v>
      </x:c>
      <x:c r="K73" s="21" t="str">
        <x:v>Ulta</x:v>
      </x:c>
      <x:c r="L73" s="33" t="n">
        <x:v>139</x:v>
      </x:c>
      <x:c r="M73" s="27" t="n">
        <x:v>4.4</x:v>
      </x:c>
      <x:c r="N73" s="21" t="str">
        <x:v>Ulta-only national specialty presence with strong social awareness.</x:v>
      </x:c>
      <x:c r="O73" s="21" t="str">
        <x:v>Large size, minimalist soothing cue, lightweight hydration and sensitive-skin appeal.</x:v>
      </x:c>
      <x:c r="P73" s="21" t="str">
        <x:v>Competes for the same K-Beauty toner shelf and troubled-skin customer.</x:v>
      </x:c>
      <x:c r="Q73" s="21" t="str">
        <x:v>ANUA is larger, gentler and less acid-forward; SOME BY MI has stronger oil/exfoliation positioning and much deeper historical review proof.</x:v>
      </x:c>
      <x:c r="R73" s="21" t="str">
        <x:v>+$4.20 versus SOME BY MI Amazon</x:v>
      </x:c>
      <x:c r="S73" s="21" t="str">
        <x:v>High</x:v>
      </x:c>
      <x:c r="T73" s="21" t="str">
        <x:v>https://www.ulta.com/p/heartleaf-77-soothing-toner-pimprod2048929</x:v>
      </x:c>
      <x:c r="U73" s="25" t="str">
        <x:v>2026-08-01</x:v>
      </x:c>
      <x:c r="V73" s="21" t="str">
        <x:v>SRC-SBM-047</x:v>
      </x:c>
    </x:row>
    <x:row r="74" ht="120" customHeight="1">
      <x:c r="A74" s="21" t="str">
        <x:v>CMP-SBM-003</x:v>
      </x:c>
      <x:c r="B74" s="21" t="str">
        <x:v>KB015</x:v>
      </x:c>
      <x:c r="C74" s="21" t="str">
        <x:v>SBM-P002</x:v>
      </x:c>
      <x:c r="D74" s="21" t="str">
        <x:v>Paula's Choice</x:v>
      </x:c>
      <x:c r="E74" s="21" t="str">
        <x:v>Skin Perfecting 2% BHA Liquid Exfoliant</x:v>
      </x:c>
      <x:c r="F74" s="21" t="str">
        <x:v>Prestige clinical-style salicylic-acid exfoliant</x:v>
      </x:c>
      <x:c r="G74" s="21" t="str">
        <x:v>Leave-On Exfoliant</x:v>
      </x:c>
      <x:c r="H74" s="21" t="str">
        <x:v>118 mL</x:v>
      </x:c>
      <x:c r="I74" s="31" t="n">
        <x:v>37</x:v>
      </x:c>
      <x:c r="J74" s="31" t="n">
        <x:v>0.3136</x:v>
      </x:c>
      <x:c r="K74" s="21" t="str">
        <x:v>Official DTC; Sephora; Amazon</x:v>
      </x:c>
      <x:c r="L74" s="33" t="n">
        <x:v>5077</x:v>
      </x:c>
      <x:c r="M74" s="27"/>
      <x:c r="N74" s="21" t="str">
        <x:v>Official site identifies it as the brand's #1 bestseller with a clearly disclosed 2% BHA concentration.</x:v>
      </x:c>
      <x:c r="O74" s="21" t="str">
        <x:v>Strong U.S. category authority, fragrance-free positioning, transparent active level and prestige education.</x:v>
      </x:c>
      <x:c r="P74" s="21" t="str">
        <x:v>Both target pores, blackheads, oil and uneven texture with salicylic-acid-led exfoliation.</x:v>
      </x:c>
      <x:c r="Q74" s="21" t="str">
        <x:v>SOME BY MI is less than half the Amazon ticket and gentler/less concentrated; Paula's Choice is a stronger efficacy and disclosure benchmark.</x:v>
      </x:c>
      <x:c r="R74" s="21" t="str">
        <x:v>+$20.20 versus SOME BY MI Amazon</x:v>
      </x:c>
      <x:c r="S74" s="21" t="str">
        <x:v>Very High</x:v>
      </x:c>
      <x:c r="T74" s="21" t="str">
        <x:v>https://www.paulaschoice.com/skin-perfecting-2pct-bha-liquid-exfoliant/201.html</x:v>
      </x:c>
      <x:c r="U74" s="25" t="str">
        <x:v>2026-08-01</x:v>
      </x:c>
      <x:c r="V74" s="21" t="str">
        <x:v>SRC-SBM-048</x:v>
      </x:c>
    </x:row>
    <x:row r="75" ht="120" customHeight="1">
      <x:c r="A75" s="21" t="str">
        <x:v>CMP-SBM-004</x:v>
      </x:c>
      <x:c r="B75" s="21" t="str">
        <x:v>KB015</x:v>
      </x:c>
      <x:c r="C75" s="21" t="str">
        <x:v>SBM-P001</x:v>
      </x:c>
      <x:c r="D75" s="21" t="str">
        <x:v>Naturium</x:v>
      </x:c>
      <x:c r="E75" s="21" t="str">
        <x:v>The Perfector Salicylic Acid Skin Smoothing Body Wash</x:v>
      </x:c>
      <x:c r="F75" s="21" t="str">
        <x:v>Mass-premium salicylic-acid body wash</x:v>
      </x:c>
      <x:c r="G75" s="21" t="str">
        <x:v>Body Wash</x:v>
      </x:c>
      <x:c r="H75" s="21" t="str">
        <x:v>16.9 fl oz</x:v>
      </x:c>
      <x:c r="I75" s="31" t="n">
        <x:v>16.89</x:v>
      </x:c>
      <x:c r="J75" s="31" t="n">
        <x:v>1</x:v>
      </x:c>
      <x:c r="K75" s="21" t="str">
        <x:v>Target</x:v>
      </x:c>
      <x:c r="L75" s="33" t="n">
        <x:v>1531</x:v>
      </x:c>
      <x:c r="M75" s="27" t="n">
        <x:v>4.29</x:v>
      </x:c>
      <x:c r="N75" s="21" t="str">
        <x:v>Target showed in-stock national first-party availability and very strong review scale.</x:v>
      </x:c>
      <x:c r="O75" s="21" t="str">
        <x:v>Fragrance-free, sensitive-skin cues, large pump, low price per ounce and broad Target access.</x:v>
      </x:c>
      <x:c r="P75" s="21" t="str">
        <x:v>Directly competes for salicylic-acid body smoothing and body-breakout shoppers.</x:v>
      </x:c>
      <x:c r="Q75" s="21" t="str">
        <x:v>SOME BY MI has an explicit 0.5% OTC acne label and larger TikTok Shop story; Naturium is cheaper, fragrance-free and stronger in mass retail.</x:v>
      </x:c>
      <x:c r="R75" s="21" t="str">
        <x:v>-$3.01 versus SOME BY MI Amazon</x:v>
      </x:c>
      <x:c r="S75" s="21" t="str">
        <x:v>Very High</x:v>
      </x:c>
      <x:c r="T75" s="21" t="str">
        <x:v>https://www.target.com/p/-/A-83754789</x:v>
      </x:c>
      <x:c r="U75" s="25" t="str">
        <x:v>2026-08-01</x:v>
      </x:c>
      <x:c r="V75" s="21" t="str">
        <x:v>SRC-SBM-049</x:v>
      </x:c>
    </x:row>
    <x:row r="76" ht="120" customHeight="1">
      <x:c r="A76" s="21" t="str">
        <x:v>CMP-SBM-005</x:v>
      </x:c>
      <x:c r="B76" s="21" t="str">
        <x:v>KB015</x:v>
      </x:c>
      <x:c r="C76" s="21" t="str">
        <x:v>SBM-P003</x:v>
      </x:c>
      <x:c r="D76" s="21" t="str">
        <x:v>PanOxyl</x:v>
      </x:c>
      <x:c r="E76" s="21" t="str">
        <x:v>10% Benzoyl Peroxide Acne Foaming Wash</x:v>
      </x:c>
      <x:c r="F76" s="21" t="str">
        <x:v>Maximum-strength mass OTC acne wash</x:v>
      </x:c>
      <x:c r="G76" s="21" t="str">
        <x:v>Face &amp; Body Acne Wash</x:v>
      </x:c>
      <x:c r="H76" s="21" t="str">
        <x:v>5.5 oz</x:v>
      </x:c>
      <x:c r="I76" s="31" t="n">
        <x:v>10.69</x:v>
      </x:c>
      <x:c r="J76" s="31" t="n">
        <x:v>1.9436</x:v>
      </x:c>
      <x:c r="K76" s="21" t="str">
        <x:v>Target; mass retail</x:v>
      </x:c>
      <x:c r="L76" s="33" t="n">
        <x:v>1541</x:v>
      </x:c>
      <x:c r="M76" s="27" t="n">
        <x:v>4.42</x:v>
      </x:c>
      <x:c r="N76" s="21" t="str">
        <x:v>Target first-party item with established dermatologist and U.S. acne-authority positioning.</x:v>
      </x:c>
      <x:c r="O76" s="21" t="str">
        <x:v>10% benzoyl peroxide, HSA/FSA eligibility, face/body use, mass availability and low ticket.</x:v>
      </x:c>
      <x:c r="P76" s="21" t="str">
        <x:v>Both are OTC acne-cleansing products with Drug Facts and drying/irritation warnings.</x:v>
      </x:c>
      <x:c r="Q76" s="21" t="str">
        <x:v>SOME BY MI uses 0.5% salicylic acid with K-Beauty routine cues; PanOxyl uses maximum-strength benzoyl peroxide and stronger U.S. acne authority.</x:v>
      </x:c>
      <x:c r="R76" s="21" t="str">
        <x:v>-$2.61 versus SOME BY MI Foam Amazon</x:v>
      </x:c>
      <x:c r="S76" s="21" t="str">
        <x:v>Very High</x:v>
      </x:c>
      <x:c r="T76" s="21" t="str">
        <x:v>https://www.target.com/p/-/A-14984165</x:v>
      </x:c>
      <x:c r="U76" s="25" t="str">
        <x:v>2026-08-01</x:v>
      </x:c>
      <x:c r="V76" s="21" t="str">
        <x:v>SRC-SBM-050</x:v>
      </x:c>
    </x:row>
    <x:row r="77" ht="124" customHeight="1">
      <x:c r="A77" s="21" t="str">
        <x:v>CMP-ISN-001</x:v>
      </x:c>
      <x:c r="B77" s="21" t="str">
        <x:v>KB016</x:v>
      </x:c>
      <x:c r="C77" s="21" t="str">
        <x:v>ISN-P001</x:v>
      </x:c>
      <x:c r="D77" s="21" t="str">
        <x:v>Beauty of Joseon</x:v>
      </x:c>
      <x:c r="E77" s="21" t="str">
        <x:v>Day Dew Sunscreen Lightweight SPF 50</x:v>
      </x:c>
      <x:c r="F77" s="21" t="str">
        <x:v>High-awareness U.S.-compliant K-Beauty daily sunscreen</x:v>
      </x:c>
      <x:c r="G77" s="21" t="str">
        <x:v>Facial Sunscreen</x:v>
      </x:c>
      <x:c r="H77" s="21" t="str">
        <x:v>50 mL / 1.69 oz</x:v>
      </x:c>
      <x:c r="I77" s="31" t="n">
        <x:v>18</x:v>
      </x:c>
      <x:c r="J77" s="31" t="n">
        <x:v>0.36</x:v>
      </x:c>
      <x:c r="K77" s="21" t="str">
        <x:v>Sephora; Beauty of Joseon U.S.</x:v>
      </x:c>
      <x:c r="L77" s="33" t="n">
        <x:v>468</x:v>
      </x:c>
      <x:c r="M77" s="27" t="n">
        <x:v>4.6</x:v>
      </x:c>
      <x:c r="N77" s="21" t="str">
        <x:v>Sephora brand page showed 25 products and Day Dew at $18 with about 468 reviews.</x:v>
      </x:c>
      <x:c r="O77" s="21" t="str">
        <x:v>Strong K-Beauty sunscreen fame, Sephora access, lightweight texture and SPF50.</x:v>
      </x:c>
      <x:c r="P77" s="21" t="str">
        <x:v>Both are moisturizing lightweight Korean facial sunscreens near $20.</x:v>
      </x:c>
      <x:c r="Q77" s="21" t="str">
        <x:v>Isntree's Amazon price is lower; BOJ has stronger national prestige visibility and higher labeled SPF.</x:v>
      </x:c>
      <x:c r="R77" s="21" t="str">
        <x:v>+$2.10 vs Isntree current Amazon</x:v>
      </x:c>
      <x:c r="S77" s="21" t="str">
        <x:v>Very High</x:v>
      </x:c>
      <x:c r="T77" s="21" t="str">
        <x:v>https://www.sephora.com/brand/beauty-of-joseon</x:v>
      </x:c>
      <x:c r="U77" s="25" t="str">
        <x:v>2026-08-01</x:v>
      </x:c>
      <x:c r="V77" s="21" t="str">
        <x:v>SRC-ISN-044</x:v>
      </x:c>
    </x:row>
    <x:row r="78" ht="124" customHeight="1">
      <x:c r="A78" s="21" t="str">
        <x:v>CMP-ISN-002</x:v>
      </x:c>
      <x:c r="B78" s="21" t="str">
        <x:v>KB016</x:v>
      </x:c>
      <x:c r="C78" s="21" t="str">
        <x:v>ISN-P005</x:v>
      </x:c>
      <x:c r="D78" s="21" t="str">
        <x:v>ROUND LAB</x:v>
      </x:c>
      <x:c r="E78" s="21" t="str">
        <x:v>1025 Dokdo Cleansing Oil</x:v>
      </x:c>
      <x:c r="F78" s="21" t="str">
        <x:v>Gentle K-Beauty first-cleanser with U.S. specialty placement</x:v>
      </x:c>
      <x:c r="G78" s="21" t="str">
        <x:v>Cleansing Oil</x:v>
      </x:c>
      <x:c r="H78" s="21" t="str">
        <x:v>200 mL / 6.76 oz</x:v>
      </x:c>
      <x:c r="I78" s="31" t="n">
        <x:v>22.99</x:v>
      </x:c>
      <x:c r="J78" s="31" t="n">
        <x:v>0.115</x:v>
      </x:c>
      <x:c r="K78" s="21" t="str">
        <x:v>Ulta</x:v>
      </x:c>
      <x:c r="L78" s="33" t="n">
        <x:v>132</x:v>
      </x:c>
      <x:c r="M78" s="27" t="n">
        <x:v>4.7</x:v>
      </x:c>
      <x:c r="N78" s="21" t="str">
        <x:v>Ulta showed 4.7/132, $22.99 and in-stock status.</x:v>
      </x:c>
      <x:c r="O78" s="21" t="str">
        <x:v>Ulta availability, sensitive-skin awareness, lightweight oil texture and strong makeup-removal positioning.</x:v>
      </x:c>
      <x:c r="P78" s="21" t="str">
        <x:v>Both are large-format Korean first-cleansers designed to rinse without a stripped feel.</x:v>
      </x:c>
      <x:c r="Q78" s="21" t="str">
        <x:v>Isntree uses a vegan milk-cleanser format and is slightly cheaper on Amazon; ROUND LAB has stronger current U.S. specialty placement and oil-cleansing authority.</x:v>
      </x:c>
      <x:c r="R78" s="21" t="str">
        <x:v>+$2.09 vs Isntree current Amazon</x:v>
      </x:c>
      <x:c r="S78" s="21" t="str">
        <x:v>High</x:v>
      </x:c>
      <x:c r="T78" s="21" t="str">
        <x:v>https://www.ulta.com/p/1025-dokdo-cleansing-oil-pimprod2052234</x:v>
      </x:c>
      <x:c r="U78" s="25" t="str">
        <x:v>2026-08-01</x:v>
      </x:c>
      <x:c r="V78" s="21" t="str">
        <x:v>SRC-ISN-045</x:v>
      </x:c>
    </x:row>
    <x:row r="79" ht="124" customHeight="1">
      <x:c r="A79" s="21" t="str">
        <x:v>CMP-ISN-003</x:v>
      </x:c>
      <x:c r="B79" s="21" t="str">
        <x:v>KB016</x:v>
      </x:c>
      <x:c r="C79" s="21" t="str">
        <x:v>ISN-P003</x:v>
      </x:c>
      <x:c r="D79" s="21" t="str">
        <x:v>SKIN1004</x:v>
      </x:c>
      <x:c r="E79" s="21" t="str">
        <x:v>Madagascar Centella Hyalu-Cica Blue Serum</x:v>
      </x:c>
      <x:c r="F79" s="21" t="str">
        <x:v>Hydrating multi-HA K-Beauty serum</x:v>
      </x:c>
      <x:c r="G79" s="21" t="str">
        <x:v>Hydrating Serum</x:v>
      </x:c>
      <x:c r="H79" s="21" t="str">
        <x:v>50 mL / 1.69 oz</x:v>
      </x:c>
      <x:c r="I79" s="31" t="n">
        <x:v>25</x:v>
      </x:c>
      <x:c r="J79" s="31" t="n">
        <x:v>0.5</x:v>
      </x:c>
      <x:c r="K79" s="21" t="str">
        <x:v>Ulta</x:v>
      </x:c>
      <x:c r="L79" s="33" t="n">
        <x:v>66</x:v>
      </x:c>
      <x:c r="M79" s="27" t="n">
        <x:v>4.5</x:v>
      </x:c>
      <x:c r="N79" s="21" t="str">
        <x:v>Ulta showed $25, 4.5/66 and in-stock status.</x:v>
      </x:c>
      <x:c r="O79" s="21" t="str">
        <x:v>Centella awareness, Ulta scale, five-layer HA, ceramide positioning and lightweight texture.</x:v>
      </x:c>
      <x:c r="P79" s="21" t="str">
        <x:v>Both are 50 mL lightweight Korean multi-HA serums for dehydrated skin.</x:v>
      </x:c>
      <x:c r="Q79" s="21" t="str">
        <x:v>Isntree is cheaper on Amazon and emphasizes fourteen HA forms; SKIN1004 has current Ulta distribution and centella/ceramide differentiation.</x:v>
      </x:c>
      <x:c r="R79" s="21" t="str">
        <x:v>+$7.20 vs Isntree serum current Amazon</x:v>
      </x:c>
      <x:c r="S79" s="21" t="str">
        <x:v>High</x:v>
      </x:c>
      <x:c r="T79" s="21" t="str">
        <x:v>https://www.ulta.com/p/madagascar-centella-hyalu-cica-blue-serum-pimprod2045882</x:v>
      </x:c>
      <x:c r="U79" s="25" t="str">
        <x:v>2026-08-01</x:v>
      </x:c>
      <x:c r="V79" s="21" t="str">
        <x:v>SRC-ISN-046</x:v>
      </x:c>
    </x:row>
    <x:row r="80" ht="124" customHeight="1">
      <x:c r="A80" s="21" t="str">
        <x:v>CMP-ISN-004</x:v>
      </x:c>
      <x:c r="B80" s="21" t="str">
        <x:v>KB016</x:v>
      </x:c>
      <x:c r="C80" s="21" t="str">
        <x:v>ISN-P002</x:v>
      </x:c>
      <x:c r="D80" s="21" t="str">
        <x:v>ANUA</x:v>
      </x:c>
      <x:c r="E80" s="21" t="str">
        <x:v>Heartleaf 77 Soothing Toner</x:v>
      </x:c>
      <x:c r="F80" s="21" t="str">
        <x:v>High-awareness soothing K-Beauty toner</x:v>
      </x:c>
      <x:c r="G80" s="21" t="str">
        <x:v>Toner</x:v>
      </x:c>
      <x:c r="H80" s="21" t="str">
        <x:v>250 mL / 8.45 oz</x:v>
      </x:c>
      <x:c r="I80" s="31" t="n">
        <x:v>21</x:v>
      </x:c>
      <x:c r="J80" s="31" t="n">
        <x:v>0.084</x:v>
      </x:c>
      <x:c r="K80" s="21" t="str">
        <x:v>Ulta</x:v>
      </x:c>
      <x:c r="L80" s="33" t="n">
        <x:v>142</x:v>
      </x:c>
      <x:c r="M80" s="27" t="n">
        <x:v>4.4</x:v>
      </x:c>
      <x:c r="N80" s="21" t="str">
        <x:v>Ulta showed $21, 4.4/142 and Only at Ulta status.</x:v>
      </x:c>
      <x:c r="O80" s="21" t="str">
        <x:v>Heartleaf trend, national Ulta access, soothing claims and large format.</x:v>
      </x:c>
      <x:c r="P80" s="21" t="str">
        <x:v>Both are watery large-format Korean toners for sensitive/oily or combination routines.</x:v>
      </x:c>
      <x:c r="Q80" s="21" t="str">
        <x:v>Isntree emphasizes green-tea oil balance and is cheaper on Amazon; ANUA has stronger current U.S. specialty visibility.</x:v>
      </x:c>
      <x:c r="R80" s="21" t="str">
        <x:v>+$4.10 vs Isntree current Amazon</x:v>
      </x:c>
      <x:c r="S80" s="21" t="str">
        <x:v>Very High</x:v>
      </x:c>
      <x:c r="T80" s="21" t="str">
        <x:v>https://www.ulta.com/p/heartleaf-77-soothing-toner-pimprod2048929</x:v>
      </x:c>
      <x:c r="U80" s="25" t="str">
        <x:v>2026-08-01</x:v>
      </x:c>
      <x:c r="V80" s="21" t="str">
        <x:v>SRC-ISN-047</x:v>
      </x:c>
    </x:row>
    <x:row r="81" ht="124" customHeight="1">
      <x:c r="A81" s="21" t="str">
        <x:v>CMP-ISN-005</x:v>
      </x:c>
      <x:c r="B81" s="21" t="str">
        <x:v>KB016</x:v>
      </x:c>
      <x:c r="C81" s="21" t="str">
        <x:v>ISN-P004</x:v>
      </x:c>
      <x:c r="D81" s="21" t="str">
        <x:v>COSRX</x:v>
      </x:c>
      <x:c r="E81" s="21" t="str">
        <x:v>Hyaluronic Acid Intensive Cream</x:v>
      </x:c>
      <x:c r="F81" s="21" t="str">
        <x:v>Established K-Beauty HA moisturizer</x:v>
      </x:c>
      <x:c r="G81" s="21" t="str">
        <x:v>Moisturizer</x:v>
      </x:c>
      <x:c r="H81" s="21" t="str">
        <x:v>100 g</x:v>
      </x:c>
      <x:c r="I81" s="31" t="n">
        <x:v>25</x:v>
      </x:c>
      <x:c r="J81" s="31" t="n">
        <x:v>0.25</x:v>
      </x:c>
      <x:c r="K81" s="21" t="str">
        <x:v>Ulta; Amazon; COSRX</x:v>
      </x:c>
      <x:c r="L81" s="33" t="n">
        <x:v>228</x:v>
      </x:c>
      <x:c r="M81" s="27" t="n">
        <x:v>4.4</x:v>
      </x:c>
      <x:c r="N81" s="21" t="str">
        <x:v>Ulta showed $25 and 4.4/228.</x:v>
      </x:c>
      <x:c r="O81" s="21" t="str">
        <x:v>COSRX brand awareness, richer hydration and national retail access.</x:v>
      </x:c>
      <x:c r="P81" s="21" t="str">
        <x:v>Both are large-format HA moisturizers at accessible prices.</x:v>
      </x:c>
      <x:c r="Q81" s="21" t="str">
        <x:v>Isntree is lighter, oil-free-positioned and cheaper per unit; COSRX is richer and more established in U.S. retail.</x:v>
      </x:c>
      <x:c r="R81" s="21" t="str">
        <x:v>+$8.60 vs Isntree current Amazon</x:v>
      </x:c>
      <x:c r="S81" s="21" t="str">
        <x:v>High</x:v>
      </x:c>
      <x:c r="T81" s="21" t="str">
        <x:v>https://www.ulta.com/p/hyaluronic-acid-intensive-cream-pimprod2004959</x:v>
      </x:c>
      <x:c r="U81" s="25" t="str">
        <x:v>2026-08-01</x:v>
      </x:c>
      <x:c r="V81" s="21" t="str">
        <x:v>SRC-ISN-048</x:v>
      </x:c>
    </x:row>
    <x:row r="82" ht="130" customHeight="1">
      <x:c r="A82" s="21" t="str">
        <x:v>CMP-GDL-001</x:v>
      </x:c>
      <x:c r="B82" s="21" t="str">
        <x:v>KB017</x:v>
      </x:c>
      <x:c r="C82" s="21" t="str">
        <x:v>GDL-P001</x:v>
      </x:c>
      <x:c r="D82" s="21" t="str">
        <x:v>ANUA</x:v>
      </x:c>
      <x:c r="E82" s="21" t="str">
        <x:v>Niacinamide 10% + TXA 4% Serum</x:v>
      </x:c>
      <x:c r="F82" s="21" t="str">
        <x:v>High-awareness K-Beauty uneven-tone serum</x:v>
      </x:c>
      <x:c r="G82" s="21" t="str">
        <x:v>Brightening Serum</x:v>
      </x:c>
      <x:c r="H82" s="21" t="str">
        <x:v>30 mL / 1.01 oz</x:v>
      </x:c>
      <x:c r="I82" s="31" t="n">
        <x:v>22</x:v>
      </x:c>
      <x:c r="J82" s="31" t="n">
        <x:v>0.733</x:v>
      </x:c>
      <x:c r="K82" s="21" t="str">
        <x:v>Ulta; ANUA</x:v>
      </x:c>
      <x:c r="L82" s="33" t="n">
        <x:v>226</x:v>
      </x:c>
      <x:c r="M82" s="27" t="n">
        <x:v>4.1</x:v>
      </x:c>
      <x:c r="N82" s="21" t="str">
        <x:v>Ulta displayed $22 and 4.1/226.</x:v>
      </x:c>
      <x:c r="O82" s="21" t="str">
        <x:v>Explicit active percentages, Ulta visibility and strong social awareness.</x:v>
      </x:c>
      <x:c r="P82" s="21" t="str">
        <x:v>Both are accessible Korean serums targeting the appearance of dark spots and uneven tone.</x:v>
      </x:c>
      <x:c r="Q82" s="21" t="str">
        <x:v>Goodal leads with vitamin-C/green-tangerine heritage; ANUA offers clearer concentration communication and stronger current Ulta access.</x:v>
      </x:c>
      <x:c r="R82" s="21" t="str">
        <x:v>+$0.10 vs Goodal current Amazon</x:v>
      </x:c>
      <x:c r="S82" s="21" t="str">
        <x:v>Very High</x:v>
      </x:c>
      <x:c r="T82" s="21" t="str">
        <x:v>https://www.ulta.com/p/niacinamide-10-txa-4-serum-brightening-dark-spots-pimprod2048921</x:v>
      </x:c>
      <x:c r="U82" s="25" t="str">
        <x:v>2026-08-01</x:v>
      </x:c>
      <x:c r="V82" s="21" t="str">
        <x:v>SRC-GDL-042</x:v>
      </x:c>
    </x:row>
    <x:row r="83" ht="130" customHeight="1">
      <x:c r="A83" s="21" t="str">
        <x:v>CMP-GDL-002</x:v>
      </x:c>
      <x:c r="B83" s="21" t="str">
        <x:v>KB017</x:v>
      </x:c>
      <x:c r="C83" s="21" t="str">
        <x:v>GDL-P002</x:v>
      </x:c>
      <x:c r="D83" s="21" t="str">
        <x:v>MEDIHEAL</x:v>
      </x:c>
      <x:c r="E83" s="21" t="str">
        <x:v>Retinol Collagen Eye Ampoule Patch</x:v>
      </x:c>
      <x:c r="F83" s="21" t="str">
        <x:v>K-Beauty hydrogel eye patch with national specialty proof</x:v>
      </x:c>
      <x:c r="G83" s="21" t="str">
        <x:v>Eye Patches</x:v>
      </x:c>
      <x:c r="H83" s="21" t="str">
        <x:v>60 patches</x:v>
      </x:c>
      <x:c r="I83" s="31" t="n">
        <x:v>24</x:v>
      </x:c>
      <x:c r="J83" s="31" t="n">
        <x:v>0.4</x:v>
      </x:c>
      <x:c r="K83" s="21" t="str">
        <x:v>Ulta</x:v>
      </x:c>
      <x:c r="L83" s="33" t="n">
        <x:v>409</x:v>
      </x:c>
      <x:c r="M83" s="27" t="n">
        <x:v>4.6</x:v>
      </x:c>
      <x:c r="N83" s="21" t="str">
        <x:v>Ulta displayed $24 and 4.6/409.</x:v>
      </x:c>
      <x:c r="O83" s="21" t="str">
        <x:v>Large review base, Ulta access and retinol/collagen eye-care positioning.</x:v>
      </x:c>
      <x:c r="P83" s="21" t="str">
        <x:v>Both are 60-count Korean hydrogel patches for visible under-eye appearance care.</x:v>
      </x:c>
      <x:c r="Q83" s="21" t="str">
        <x:v>Goodal is cheaper and connects to the Green Tangerine routine; MEDIHEAL has stronger current review depth and national specialty placement.</x:v>
      </x:c>
      <x:c r="R83" s="21" t="str">
        <x:v>+$5.10 vs Goodal current Amazon</x:v>
      </x:c>
      <x:c r="S83" s="21" t="str">
        <x:v>High</x:v>
      </x:c>
      <x:c r="T83" s="21" t="str">
        <x:v>https://www.ulta.com/p/retinol-collagen-eye-ampoule-patch-pimprod2052789</x:v>
      </x:c>
      <x:c r="U83" s="25" t="str">
        <x:v>2026-08-01</x:v>
      </x:c>
      <x:c r="V83" s="21" t="str">
        <x:v>SRC-GDL-043</x:v>
      </x:c>
    </x:row>
    <x:row r="84" ht="130" customHeight="1">
      <x:c r="A84" s="21" t="str">
        <x:v>CMP-GDL-003</x:v>
      </x:c>
      <x:c r="B84" s="21" t="str">
        <x:v>KB017</x:v>
      </x:c>
      <x:c r="C84" s="21" t="str">
        <x:v>GDL-P003</x:v>
      </x:c>
      <x:c r="D84" s="21" t="str">
        <x:v>AXIS-Y</x:v>
      </x:c>
      <x:c r="E84" s="21" t="str">
        <x:v>Dark Spot Correcting Glow Cream</x:v>
      </x:c>
      <x:c r="F84" s="21" t="str">
        <x:v>Brightening gel-cream with explicit actives</x:v>
      </x:c>
      <x:c r="G84" s="21" t="str">
        <x:v>Brightening Moisturizer</x:v>
      </x:c>
      <x:c r="H84" s="21" t="str">
        <x:v>2 × 50 mL / 2 × 1.69 oz</x:v>
      </x:c>
      <x:c r="I84" s="31" t="n">
        <x:v>48</x:v>
      </x:c>
      <x:c r="J84" s="31" t="n">
        <x:v>0.48</x:v>
      </x:c>
      <x:c r="K84" s="21" t="str">
        <x:v>Ulta online</x:v>
      </x:c>
      <x:c r="L84" s="33"/>
      <x:c r="M84" s="27"/>
      <x:c r="N84" s="21" t="str">
        <x:v>Ulta displayed a two-count bundle at $48 list / $33.60 sale.</x:v>
      </x:c>
      <x:c r="O84" s="21" t="str">
        <x:v>2% alpha-arbutin, 5% niacinamide, fragrance-free positioning and online Ulta availability.</x:v>
      </x:c>
      <x:c r="P84" s="21" t="str">
        <x:v>Both are Korean brightening creams at roughly $24 per 50 mL unit at list pricing.</x:v>
      </x:c>
      <x:c r="Q84" s="21" t="str">
        <x:v>Goodal has stronger Amazon franchise demand; AXIS-Y discloses active percentages and offers fragrance-free differentiation.</x:v>
      </x:c>
      <x:c r="R84" s="21" t="str">
        <x:v>Parity per unit at list price</x:v>
      </x:c>
      <x:c r="S84" s="21" t="str">
        <x:v>High</x:v>
      </x:c>
      <x:c r="T84" s="21" t="str">
        <x:v>https://www.ulta.com/p/dark-spot-correcting-glow-cream-mkt77006462</x:v>
      </x:c>
      <x:c r="U84" s="25" t="str">
        <x:v>2026-08-01</x:v>
      </x:c>
      <x:c r="V84" s="21" t="str">
        <x:v>SRC-GDL-044</x:v>
      </x:c>
    </x:row>
    <x:row r="85" ht="130" customHeight="1">
      <x:c r="A85" s="21" t="str">
        <x:v>CMP-GDL-004</x:v>
      </x:c>
      <x:c r="B85" s="21" t="str">
        <x:v>KB017</x:v>
      </x:c>
      <x:c r="C85" s="21" t="str">
        <x:v>GDL-P004</x:v>
      </x:c>
      <x:c r="D85" s="21" t="str">
        <x:v>Beauty of Joseon</x:v>
      </x:c>
      <x:c r="E85" s="21" t="str">
        <x:v>Day Dew Sunscreen Lightweight SPF 50</x:v>
      </x:c>
      <x:c r="F85" s="21" t="str">
        <x:v>High-awareness U.S.-compliant K-Beauty facial sunscreen</x:v>
      </x:c>
      <x:c r="G85" s="21" t="str">
        <x:v>Facial Sunscreen</x:v>
      </x:c>
      <x:c r="H85" s="21" t="str">
        <x:v>50 mL / 1.69 oz</x:v>
      </x:c>
      <x:c r="I85" s="31" t="n">
        <x:v>18</x:v>
      </x:c>
      <x:c r="J85" s="31" t="n">
        <x:v>0.36</x:v>
      </x:c>
      <x:c r="K85" s="21" t="str">
        <x:v>Sephora; Beauty of Joseon U.S.</x:v>
      </x:c>
      <x:c r="L85" s="33" t="n">
        <x:v>449</x:v>
      </x:c>
      <x:c r="M85" s="27" t="n">
        <x:v>4.6</x:v>
      </x:c>
      <x:c r="N85" s="21" t="str">
        <x:v>Sephora displayed $18 and about 449 reviews.</x:v>
      </x:c>
      <x:c r="O85" s="21" t="str">
        <x:v>Strong Sephora visibility, accessible price, lightweight/glowy positioning and recognized K-Beauty sun-care name.</x:v>
      </x:c>
      <x:c r="P85" s="21" t="str">
        <x:v>Both are Korean SPF50 facial sunscreens with daily glow positioning.</x:v>
      </x:c>
      <x:c r="Q85" s="21" t="str">
        <x:v>Goodal ties to Green Tangerine; Beauty of Joseon is $5 cheaper and has much stronger prestige-retail visibility.</x:v>
      </x:c>
      <x:c r="R85" s="21" t="str">
        <x:v>-$5.00 vs Goodal current Amazon</x:v>
      </x:c>
      <x:c r="S85" s="21" t="str">
        <x:v>Very High</x:v>
      </x:c>
      <x:c r="T85" s="21" t="str">
        <x:v>https://www.sephora.com/product/day-dew-sunscreen-exclusive-50ml-P517678</x:v>
      </x:c>
      <x:c r="U85" s="25" t="str">
        <x:v>2026-08-01</x:v>
      </x:c>
      <x:c r="V85" s="21" t="str">
        <x:v>SRC-GDL-045</x:v>
      </x:c>
    </x:row>
    <x:row r="86" ht="130" customHeight="1">
      <x:c r="A86" s="21" t="str">
        <x:v>CMP-GDL-005</x:v>
      </x:c>
      <x:c r="B86" s="21" t="str">
        <x:v>KB017</x:v>
      </x:c>
      <x:c r="C86" s="21" t="str">
        <x:v>GDL-P005</x:v>
      </x:c>
      <x:c r="D86" s="21" t="str">
        <x:v>MEDIHEAL</x:v>
      </x:c>
      <x:c r="E86" s="21" t="str">
        <x:v>Vitamide Brightening Pad</x:v>
      </x:c>
      <x:c r="F86" s="21" t="str">
        <x:v>High-review K-Beauty brightening toner pad</x:v>
      </x:c>
      <x:c r="G86" s="21" t="str">
        <x:v>Toner Pads</x:v>
      </x:c>
      <x:c r="H86" s="21" t="str">
        <x:v>100 pads</x:v>
      </x:c>
      <x:c r="I86" s="31" t="n">
        <x:v>26.4</x:v>
      </x:c>
      <x:c r="J86" s="31" t="n">
        <x:v>0.264</x:v>
      </x:c>
      <x:c r="K86" s="21" t="str">
        <x:v>Ulta</x:v>
      </x:c>
      <x:c r="L86" s="33" t="n">
        <x:v>367</x:v>
      </x:c>
      <x:c r="M86" s="27" t="n">
        <x:v>4.6</x:v>
      </x:c>
      <x:c r="N86" s="21" t="str">
        <x:v>Ulta displayed $26.40 and 4.6/367.</x:v>
      </x:c>
      <x:c r="O86" s="21" t="str">
        <x:v>National specialty access, larger count, lower cost per pad and strong review proof.</x:v>
      </x:c>
      <x:c r="P86" s="21" t="str">
        <x:v>Both are convenient Korean brightening pads using vitamin-led positioning.</x:v>
      </x:c>
      <x:c r="Q86" s="21" t="str">
        <x:v>Goodal benefits from its Green Tangerine franchise; MEDIHEAL offers 30 more pads and lower per-pad value.</x:v>
      </x:c>
      <x:c r="R86" s="21" t="str">
        <x:v>+$2.50 total / lower cost per pad</x:v>
      </x:c>
      <x:c r="S86" s="21" t="str">
        <x:v>Very High</x:v>
      </x:c>
      <x:c r="T86" s="21" t="str">
        <x:v>https://www.ulta.com/p/vitamide-brightening-pad-pimprod2045868</x:v>
      </x:c>
      <x:c r="U86" s="25" t="str">
        <x:v>2026-08-01</x:v>
      </x:c>
      <x:c r="V86" s="21" t="str">
        <x:v>SRC-GDL-046</x:v>
      </x:c>
    </x:row>
    <x:row r="87" ht="154" customHeight="1">
      <x:c r="A87" s="21" t="str">
        <x:v>CMP-IMF-001</x:v>
      </x:c>
      <x:c r="B87" s="21" t="str">
        <x:v>KB018</x:v>
      </x:c>
      <x:c r="C87" s="21" t="str">
        <x:v>IMF-P001</x:v>
      </x:c>
      <x:c r="D87" s="21" t="str">
        <x:v>ANUA</x:v>
      </x:c>
      <x:c r="E87" s="21" t="str">
        <x:v>Rice 70 Glow Milky Toner</x:v>
      </x:c>
      <x:c r="F87" s="21" t="str">
        <x:v>Rice-led milky toner / glass-skin hydration</x:v>
      </x:c>
      <x:c r="G87" s="21" t="str">
        <x:v>Toner</x:v>
      </x:c>
      <x:c r="H87" s="21" t="str">
        <x:v>250 mL / 8.45 oz</x:v>
      </x:c>
      <x:c r="I87" s="31" t="n">
        <x:v>21</x:v>
      </x:c>
      <x:c r="J87" s="31" t="n">
        <x:v>0.084</x:v>
      </x:c>
      <x:c r="K87" s="21" t="str">
        <x:v>Ulta exclusive positioning; Amazon; ANUA channels</x:v>
      </x:c>
      <x:c r="L87" s="33" t="n">
        <x:v>213</x:v>
      </x:c>
      <x:c r="M87" s="27" t="n">
        <x:v>4.4</x:v>
      </x:c>
      <x:c r="N87" s="21" t="str">
        <x:v>Ulta displayed 213 reviews and Only at Ulta positioning.</x:v>
      </x:c>
      <x:c r="O87" s="21" t="str">
        <x:v>70% rice-water story, niacinamide/ceramides, large size and lower unit price.</x:v>
      </x:c>
      <x:c r="P87" s="21" t="str">
        <x:v>Both target glow, hydration and uneven-looking tone with a milky rice toner.</x:v>
      </x:c>
      <x:c r="Q87" s="21" t="str">
        <x:v>I'm From has stronger sampled review depth and Yeoju-origin story; ANUA provides substantially more product at a lower price.</x:v>
      </x:c>
      <x:c r="R87" s="21" t="str">
        <x:v>-$7 versus I'm From $28 list</x:v>
      </x:c>
      <x:c r="S87" s="21" t="str">
        <x:v>Very High</x:v>
      </x:c>
      <x:c r="T87" s="21" t="str">
        <x:v>https://www.ulta.com/p/rice-70-glow-milky-toner-pimprod2048932?sku=2634193</x:v>
      </x:c>
      <x:c r="U87" s="25" t="str">
        <x:v>2026-08-01</x:v>
      </x:c>
      <x:c r="V87" s="21" t="str">
        <x:v>SRC-IMF-042</x:v>
      </x:c>
    </x:row>
    <x:row r="88" ht="154" customHeight="1">
      <x:c r="A88" s="21" t="str">
        <x:v>CMP-IMF-002</x:v>
      </x:c>
      <x:c r="B88" s="21" t="str">
        <x:v>KB018</x:v>
      </x:c>
      <x:c r="C88" s="21" t="str">
        <x:v>IMF-P002</x:v>
      </x:c>
      <x:c r="D88" s="21" t="str">
        <x:v>TIRTIR</x:v>
      </x:c>
      <x:c r="E88" s="21" t="str">
        <x:v>Milk Skin Toner</x:v>
      </x:c>
      <x:c r="F88" s="21" t="str">
        <x:v>Rice-bran milk toner / glass-skin hydration</x:v>
      </x:c>
      <x:c r="G88" s="21" t="str">
        <x:v>Toner</x:v>
      </x:c>
      <x:c r="H88" s="21" t="str">
        <x:v>150 mL / 5.07 oz</x:v>
      </x:c>
      <x:c r="I88" s="31" t="n">
        <x:v>25</x:v>
      </x:c>
      <x:c r="J88" s="31" t="n">
        <x:v>0.1667</x:v>
      </x:c>
      <x:c r="K88" s="21" t="str">
        <x:v>Ulta; Amazon; TIRTIR channels</x:v>
      </x:c>
      <x:c r="L88" s="33" t="n">
        <x:v>28</x:v>
      </x:c>
      <x:c r="M88" s="27" t="n">
        <x:v>4.7</x:v>
      </x:c>
      <x:c r="N88" s="21" t="str">
        <x:v>Ulta displayed 28 reviews and an active $25 listing.</x:v>
      </x:c>
      <x:c r="O88" s="21" t="str">
        <x:v>Recognized milk-toner franchise, rice bran, barrier-support ingredients and accessible price.</x:v>
      </x:c>
      <x:c r="P88" s="21" t="str">
        <x:v>Both occupy the 150 mL K-Beauty hydration/glow toner set.</x:v>
      </x:c>
      <x:c r="Q88" s="21" t="str">
        <x:v>I'm From differentiates through black-rice heritage; TIRTIR has a clearer milk-toner identity and lower MSRP.</x:v>
      </x:c>
      <x:c r="R88" s="21" t="str">
        <x:v>-$3 versus I'm From $28 list</x:v>
      </x:c>
      <x:c r="S88" s="21" t="str">
        <x:v>High</x:v>
      </x:c>
      <x:c r="T88" s="21" t="str">
        <x:v>https://www.ulta.com/p/milk-skin-toner-pimprod2053385?sku=2643811</x:v>
      </x:c>
      <x:c r="U88" s="25" t="str">
        <x:v>2026-08-01</x:v>
      </x:c>
      <x:c r="V88" s="21" t="str">
        <x:v>SRC-IMF-043</x:v>
      </x:c>
    </x:row>
    <x:row r="89" ht="154" customHeight="1">
      <x:c r="A89" s="21" t="str">
        <x:v>CMP-IMF-003</x:v>
      </x:c>
      <x:c r="B89" s="21" t="str">
        <x:v>KB018</x:v>
      </x:c>
      <x:c r="C89" s="21" t="str">
        <x:v>IMF-P003</x:v>
      </x:c>
      <x:c r="D89" s="21" t="str">
        <x:v>Hanyul</x:v>
      </x:c>
      <x:c r="E89" s="21" t="str">
        <x:v>Artemisia Soothing Toner with Centella Asiatica and Panthenol</x:v>
      </x:c>
      <x:c r="F89" s="21" t="str">
        <x:v>Prestige K-Beauty artemisia soothing toner</x:v>
      </x:c>
      <x:c r="G89" s="21" t="str">
        <x:v>Toner</x:v>
      </x:c>
      <x:c r="H89" s="21" t="str">
        <x:v>150 mL / 5.07 oz</x:v>
      </x:c>
      <x:c r="I89" s="31" t="n">
        <x:v>41</x:v>
      </x:c>
      <x:c r="J89" s="31" t="n">
        <x:v>0.2733</x:v>
      </x:c>
      <x:c r="K89" s="21" t="str">
        <x:v>Sephora exclusive positioning</x:v>
      </x:c>
      <x:c r="L89" s="33" t="n">
        <x:v>144</x:v>
      </x:c>
      <x:c r="M89" s="27"/>
      <x:c r="N89" s="21" t="str">
        <x:v>Sephora displayed 144 reviews, about 6.3K loves and $41.</x:v>
      </x:c>
      <x:c r="O89" s="21" t="str">
        <x:v>Sephora visibility, artemisia-cica-panthenol formula and Korean-heritage positioning.</x:v>
      </x:c>
      <x:c r="P89" s="21" t="str">
        <x:v>Both use Korean artemisia/mugwort for soothing hydration in 150 mL format.</x:v>
      </x:c>
      <x:c r="Q89" s="21" t="str">
        <x:v>I'm From is more minimalist and lower priced; Hanyul adds cica/panthenol and prestige retailer exposure.</x:v>
      </x:c>
      <x:c r="R89" s="21" t="str">
        <x:v>+$5 versus I'm From $36 list</x:v>
      </x:c>
      <x:c r="S89" s="21" t="str">
        <x:v>High</x:v>
      </x:c>
      <x:c r="T89" s="21" t="str">
        <x:v>https://www.sephora.com/product/artemisia-soothing-toner-with-centella-asiatica-panthenol-P516743</x:v>
      </x:c>
      <x:c r="U89" s="25" t="str">
        <x:v>2026-08-01</x:v>
      </x:c>
      <x:c r="V89" s="21" t="str">
        <x:v>SRC-IMF-044</x:v>
      </x:c>
    </x:row>
    <x:row r="90" ht="154" customHeight="1">
      <x:c r="A90" s="21" t="str">
        <x:v>CMP-IMF-004</x:v>
      </x:c>
      <x:c r="B90" s="21" t="str">
        <x:v>KB018</x:v>
      </x:c>
      <x:c r="C90" s="21" t="str">
        <x:v>IMF-P004</x:v>
      </x:c>
      <x:c r="D90" s="21" t="str">
        <x:v>SKIN1004</x:v>
      </x:c>
      <x:c r="E90" s="21" t="str">
        <x:v>Madagascar Centella Probio-Cica Enrich Cream</x:v>
      </x:c>
      <x:c r="F90" s="21" t="str">
        <x:v>Mid-market K-Beauty barrier/soothing cream</x:v>
      </x:c>
      <x:c r="G90" s="21" t="str">
        <x:v>Face Cream</x:v>
      </x:c>
      <x:c r="H90" s="21"/>
      <x:c r="I90" s="31" t="n">
        <x:v>30</x:v>
      </x:c>
      <x:c r="J90" s="31"/>
      <x:c r="K90" s="21" t="str">
        <x:v>Ulta; Amazon; SKIN1004 channels</x:v>
      </x:c>
      <x:c r="L90" s="33" t="n">
        <x:v>52</x:v>
      </x:c>
      <x:c r="M90" s="27" t="n">
        <x:v>4.8</x:v>
      </x:c>
      <x:c r="N90" s="21" t="str">
        <x:v>Ulta K-Beauty moisturizer results displayed $30 and 4.8/52.</x:v>
      </x:c>
      <x:c r="O90" s="21" t="str">
        <x:v>Centella/probiotic-cica franchise, strong soothing recognition and broad marketplace reach.</x:v>
      </x:c>
      <x:c r="P90" s="21" t="str">
        <x:v>Both are $30 barrier-support creams for dry/sensitive routines.</x:v>
      </x:c>
      <x:c r="Q90" s="21" t="str">
        <x:v>I'm From emphasizes rice bran, ceramides and Korean ingredient origin; SKIN1004 emphasizes centella and probiotic-cica.</x:v>
      </x:c>
      <x:c r="R90" s="21" t="str">
        <x:v>Same list price</x:v>
      </x:c>
      <x:c r="S90" s="21" t="str">
        <x:v>High</x:v>
      </x:c>
      <x:c r="T90" s="21" t="str">
        <x:v>https://www.ulta.com/shop/k-beauty/skin-care/moisturizers?special+offer=bmsm</x:v>
      </x:c>
      <x:c r="U90" s="25" t="str">
        <x:v>2026-08-01</x:v>
      </x:c>
      <x:c r="V90" s="21" t="str">
        <x:v>SRC-IMF-045</x:v>
      </x:c>
    </x:row>
    <x:row r="91" ht="154" customHeight="1">
      <x:c r="A91" s="21" t="str">
        <x:v>CMP-IMF-005</x:v>
      </x:c>
      <x:c r="B91" s="21" t="str">
        <x:v>KB018</x:v>
      </x:c>
      <x:c r="C91" s="21" t="str">
        <x:v>IMF-P005</x:v>
      </x:c>
      <x:c r="D91" s="21" t="str">
        <x:v>Beauty of Joseon</x:v>
      </x:c>
      <x:c r="E91" s="21" t="str">
        <x:v>Ground Rice and Honey Glow Mask</x:v>
      </x:c>
      <x:c r="F91" s="21" t="str">
        <x:v>K-Beauty rice/honey wash-off glow mask</x:v>
      </x:c>
      <x:c r="G91" s="21" t="str">
        <x:v>Wash-Off Mask</x:v>
      </x:c>
      <x:c r="H91" s="21" t="str">
        <x:v>150 mL / 5.07 oz</x:v>
      </x:c>
      <x:c r="I91" s="31" t="n">
        <x:v>18</x:v>
      </x:c>
      <x:c r="J91" s="31" t="n">
        <x:v>0.12</x:v>
      </x:c>
      <x:c r="K91" s="21" t="str">
        <x:v>Sephora exclusive positioning; Beauty of Joseon channels</x:v>
      </x:c>
      <x:c r="L91" s="33" t="n">
        <x:v>111</x:v>
      </x:c>
      <x:c r="M91" s="27"/>
      <x:c r="N91" s="21" t="str">
        <x:v>Sephora displayed 111 reviews, $18 and Only at Sephora positioning.</x:v>
      </x:c>
      <x:c r="O91" s="21" t="str">
        <x:v>Direct rice-and-honey story, prestige retail access, large size and exceptional unit value.</x:v>
      </x:c>
      <x:c r="P91" s="21" t="str">
        <x:v>Both combine Korean rice/honey inspiration with glow and wash-off treatment use.</x:v>
      </x:c>
      <x:c r="Q91" s="21" t="str">
        <x:v>I'm From carries a longer Honey Mask legacy; Beauty of Joseon is dramatically cheaper per mL and has current Sephora visibility.</x:v>
      </x:c>
      <x:c r="R91" s="21" t="str">
        <x:v>-$12 to -$17 versus I'm From recommended $30-$35</x:v>
      </x:c>
      <x:c r="S91" s="21" t="str">
        <x:v>Very High</x:v>
      </x:c>
      <x:c r="T91" s="21" t="str">
        <x:v>https://www.sephora.com/buy/face-masks-for-glowing-skin</x:v>
      </x:c>
      <x:c r="U91" s="25" t="str">
        <x:v>2026-08-01</x:v>
      </x:c>
      <x:c r="V91" s="21" t="str">
        <x:v>SRC-IMF-046</x:v>
      </x:c>
    </x:row>
    <x:row r="92" ht="158" customHeight="1">
      <x:c r="A92" s="21" t="str">
        <x:v>CMP-DKL-001</x:v>
      </x:c>
      <x:c r="B92" s="21" t="str">
        <x:v>KB019</x:v>
      </x:c>
      <x:c r="C92" s="21" t="str">
        <x:v>DKL-P001</x:v>
      </x:c>
      <x:c r="D92" s="21" t="str">
        <x:v>ANUA</x:v>
      </x:c>
      <x:c r="E92" s="21" t="str">
        <x:v>Heartleaf 77 Soothing Toner</x:v>
      </x:c>
      <x:c r="F92" s="21" t="str">
        <x:v>Viral soothing/hydrating toner</x:v>
      </x:c>
      <x:c r="G92" s="21" t="str">
        <x:v>Toner</x:v>
      </x:c>
      <x:c r="H92" s="21" t="str">
        <x:v>250 mL / 8.45 oz</x:v>
      </x:c>
      <x:c r="I92" s="31" t="n">
        <x:v>21</x:v>
      </x:c>
      <x:c r="J92" s="31" t="n">
        <x:v>0.084</x:v>
      </x:c>
      <x:c r="K92" s="21" t="str">
        <x:v>Ulta exclusive positioning; Amazon; ANUA channels</x:v>
      </x:c>
      <x:c r="L92" s="33" t="n">
        <x:v>144</x:v>
      </x:c>
      <x:c r="M92" s="27" t="n">
        <x:v>4.4</x:v>
      </x:c>
      <x:c r="N92" s="21" t="str">
        <x:v>Ulta displayed current stock, pickup and 144 reviews.</x:v>
      </x:c>
      <x:c r="O92" s="21" t="str">
        <x:v>77% heartleaf-led calming story, large size, fragrance-free formula and newer social momentum.</x:v>
      </x:c>
      <x:c r="P92" s="21" t="str">
        <x:v>Both target sensitive/irritated-feeling skin with daily hydrating toner use.</x:v>
      </x:c>
      <x:c r="Q92" s="21" t="str">
        <x:v>Klairs has much deeper legacy review and repurchase proof; ANUA is 39% larger and cheaper at list.</x:v>
      </x:c>
      <x:c r="R92" s="21" t="str">
        <x:v>-$1 to -$9 versus Klairs $22-$30 references</x:v>
      </x:c>
      <x:c r="S92" s="21" t="str">
        <x:v>Very High</x:v>
      </x:c>
      <x:c r="T92" s="21" t="str">
        <x:v>https://www.ulta.com/p/heartleaf-77-soothing-toner-pimprod2048929?sku=2634190</x:v>
      </x:c>
      <x:c r="U92" s="25" t="str">
        <x:v>2026-08-01</x:v>
      </x:c>
      <x:c r="V92" s="21" t="str">
        <x:v>SRC-DKL-043</x:v>
      </x:c>
    </x:row>
    <x:row r="93" ht="158" customHeight="1">
      <x:c r="A93" s="21" t="str">
        <x:v>CMP-DKL-002</x:v>
      </x:c>
      <x:c r="B93" s="21" t="str">
        <x:v>KB019</x:v>
      </x:c>
      <x:c r="C93" s="21" t="str">
        <x:v>DKL-P002</x:v>
      </x:c>
      <x:c r="D93" s="21" t="str">
        <x:v>Beauty of Joseon</x:v>
      </x:c>
      <x:c r="E93" s="21" t="str">
        <x:v>Light On Serum: Centella + Vita C</x:v>
      </x:c>
      <x:c r="F93" s="21" t="str">
        <x:v>Gentle brightening vitamin-C derivative serum</x:v>
      </x:c>
      <x:c r="G93" s="21" t="str">
        <x:v>Serum</x:v>
      </x:c>
      <x:c r="H93" s="21" t="str">
        <x:v>30 mL / 1.01 oz</x:v>
      </x:c>
      <x:c r="I93" s="31" t="n">
        <x:v>17</x:v>
      </x:c>
      <x:c r="J93" s="31" t="n">
        <x:v>0.5667</x:v>
      </x:c>
      <x:c r="K93" s="21" t="str">
        <x:v>Beauty of Joseon official U.S. store; Amazon; cross-border retail</x:v>
      </x:c>
      <x:c r="L93" s="33" t="n">
        <x:v>836</x:v>
      </x:c>
      <x:c r="M93" s="27" t="n">
        <x:v>4.8</x:v>
      </x:c>
      <x:c r="N93" s="21" t="str">
        <x:v>Official DTC displayed 4.8/836, $17 list and $12.75 sale.</x:v>
      </x:c>
      <x:c r="O93" s="21" t="str">
        <x:v>Centella plus stable vitamin-C derivative, lightweight texture, low price and current brand momentum.</x:v>
      </x:c>
      <x:c r="P93" s="21" t="str">
        <x:v>Both target sensitive-skin-friendly glow and uneven-looking tone.</x:v>
      </x:c>
      <x:c r="Q93" s="21" t="str">
        <x:v>Klairs offers pure 5% ascorbic acid and larger 35 mL size; Beauty of Joseon is cheaper and less oxidation-prone in positioning.</x:v>
      </x:c>
      <x:c r="R93" s="21" t="str">
        <x:v>-$6 versus Klairs $23 list</x:v>
      </x:c>
      <x:c r="S93" s="21" t="str">
        <x:v>Very High</x:v>
      </x:c>
      <x:c r="T93" s="21" t="str">
        <x:v>https://beautyofjoseon.com/products/light-on-serum-centella-vita-c</x:v>
      </x:c>
      <x:c r="U93" s="25" t="str">
        <x:v>2026-08-01</x:v>
      </x:c>
      <x:c r="V93" s="21" t="str">
        <x:v>SRC-DKL-044</x:v>
      </x:c>
    </x:row>
    <x:row r="94" ht="158" customHeight="1">
      <x:c r="A94" s="21" t="str">
        <x:v>CMP-DKL-003</x:v>
      </x:c>
      <x:c r="B94" s="21" t="str">
        <x:v>KB019</x:v>
      </x:c>
      <x:c r="C94" s="21" t="str">
        <x:v>DKL-P003</x:v>
      </x:c>
      <x:c r="D94" s="21" t="str">
        <x:v>SKIN1004</x:v>
      </x:c>
      <x:c r="E94" s="21" t="str">
        <x:v>Madagascar Centella Soothing Cream</x:v>
      </x:c>
      <x:c r="F94" s="21" t="str">
        <x:v>Lightweight centella barrier/soothing cream</x:v>
      </x:c>
      <x:c r="G94" s="21" t="str">
        <x:v>Face Cream</x:v>
      </x:c>
      <x:c r="H94" s="21" t="str">
        <x:v>75 mL / 2.53 oz</x:v>
      </x:c>
      <x:c r="I94" s="31" t="n">
        <x:v>22</x:v>
      </x:c>
      <x:c r="J94" s="31" t="n">
        <x:v>0.2933</x:v>
      </x:c>
      <x:c r="K94" s="21" t="str">
        <x:v>Ulta; Amazon; SKIN1004 channels</x:v>
      </x:c>
      <x:c r="L94" s="33" t="n">
        <x:v>569</x:v>
      </x:c>
      <x:c r="M94" s="27" t="n">
        <x:v>4.6</x:v>
      </x:c>
      <x:c r="N94" s="21" t="str">
        <x:v>Ulta displayed $22, 4.6/569 and store pickup.</x:v>
      </x:c>
      <x:c r="O94" s="21" t="str">
        <x:v>Centella franchise, ceramides/cholesterol, large size and broad Ulta access.</x:v>
      </x:c>
      <x:c r="P94" s="21" t="str">
        <x:v>Both target lightweight comfort, visible redness and sensitive-skin routines.</x:v>
      </x:c>
      <x:c r="Q94" s="21" t="str">
        <x:v>Klairs has a distinctive blue guaiazulene identity and deeper Amazon review proof; SKIN1004 is larger and materially cheaper.</x:v>
      </x:c>
      <x:c r="R94" s="21" t="str">
        <x:v>-$9 versus Klairs $31 list</x:v>
      </x:c>
      <x:c r="S94" s="21" t="str">
        <x:v>Very High</x:v>
      </x:c>
      <x:c r="T94" s="21" t="str">
        <x:v>https://www.ulta.com/p/madagascar-centella-soothing-cream-pimprod2045887?sku=2626861</x:v>
      </x:c>
      <x:c r="U94" s="25" t="str">
        <x:v>2026-08-01</x:v>
      </x:c>
      <x:c r="V94" s="21" t="str">
        <x:v>SRC-DKL-045</x:v>
      </x:c>
    </x:row>
    <x:row r="95" ht="158" customHeight="1">
      <x:c r="A95" s="21" t="str">
        <x:v>CMP-DKL-004</x:v>
      </x:c>
      <x:c r="B95" s="21" t="str">
        <x:v>KB019</x:v>
      </x:c>
      <x:c r="C95" s="21" t="str">
        <x:v>DKL-P004</x:v>
      </x:c>
      <x:c r="D95" s="21" t="str">
        <x:v>ETUDE</x:v>
      </x:c>
      <x:c r="E95" s="21" t="str">
        <x:v>SoonJung 2x Barrier Intensive Cream</x:v>
      </x:c>
      <x:c r="F95" s="21" t="str">
        <x:v>Sensitive-skin barrier moisturizer</x:v>
      </x:c>
      <x:c r="G95" s="21" t="str">
        <x:v>Face Cream</x:v>
      </x:c>
      <x:c r="H95" s="21" t="str">
        <x:v>60 mL / 2.02 oz</x:v>
      </x:c>
      <x:c r="I95" s="31" t="n">
        <x:v>20.99</x:v>
      </x:c>
      <x:c r="J95" s="31" t="n">
        <x:v>0.3498</x:v>
      </x:c>
      <x:c r="K95" s="21" t="str">
        <x:v>Ulta online; Amazon; ETUDE channels</x:v>
      </x:c>
      <x:c r="L95" s="33" t="n">
        <x:v>256</x:v>
      </x:c>
      <x:c r="M95" s="27" t="n">
        <x:v>4.8</x:v>
      </x:c>
      <x:c r="N95" s="21" t="str">
        <x:v>Ulta displayed $20.99, 4.8/256 and online stock.</x:v>
      </x:c>
      <x:c r="O95" s="21" t="str">
        <x:v>Panthenol/madecassoside barrier story, fragrance-free positioning and high rating.</x:v>
      </x:c>
      <x:c r="P95" s="21" t="str">
        <x:v>Both are affordable Korean barrier creams for reactive or dry skin.</x:v>
      </x:c>
      <x:c r="Q95" s="21" t="str">
        <x:v>Klairs provides 80 g and stronger global legacy; ETUDE has lower price and clearer fragrance-free current-retail messaging.</x:v>
      </x:c>
      <x:c r="R95" s="21" t="str">
        <x:v>-$5.01 versus Klairs $26 list</x:v>
      </x:c>
      <x:c r="S95" s="21" t="str">
        <x:v>High</x:v>
      </x:c>
      <x:c r="T95" s="21" t="str">
        <x:v>https://www.ulta.com/p/soonjung-2x-barrier-intensive-cream-pimprod2049666?sku=2636347</x:v>
      </x:c>
      <x:c r="U95" s="25" t="str">
        <x:v>2026-08-01</x:v>
      </x:c>
      <x:c r="V95" s="21" t="str">
        <x:v>SRC-DKL-046</x:v>
      </x:c>
    </x:row>
    <x:row r="96" ht="158" customHeight="1">
      <x:c r="A96" s="21" t="str">
        <x:v>CMP-DKL-005</x:v>
      </x:c>
      <x:c r="B96" s="21" t="str">
        <x:v>KB019</x:v>
      </x:c>
      <x:c r="C96" s="21" t="str">
        <x:v>DKL-P005</x:v>
      </x:c>
      <x:c r="D96" s="21" t="str">
        <x:v>LANEIGE</x:v>
      </x:c>
      <x:c r="E96" s="21" t="str">
        <x:v>Cica Sleeping Mask</x:v>
      </x:c>
      <x:c r="F96" s="21" t="str">
        <x:v>Prestige cica barrier sleeping mask</x:v>
      </x:c>
      <x:c r="G96" s="21" t="str">
        <x:v>Sleeping Mask</x:v>
      </x:c>
      <x:c r="H96" s="21" t="str">
        <x:v>60 mL / 2.02 oz</x:v>
      </x:c>
      <x:c r="I96" s="31" t="n">
        <x:v>35</x:v>
      </x:c>
      <x:c r="J96" s="31" t="n">
        <x:v>0.5833</x:v>
      </x:c>
      <x:c r="K96" s="21" t="str">
        <x:v>Sephora; LANEIGE U.S. channels</x:v>
      </x:c>
      <x:c r="L96" s="33" t="n">
        <x:v>220</x:v>
      </x:c>
      <x:c r="M96" s="27"/>
      <x:c r="N96" s="21" t="str">
        <x:v>Sephora displayed $35, about 220 reviews and 18.3K loves.</x:v>
      </x:c>
      <x:c r="O96" s="21" t="str">
        <x:v>Prestige retail scale, cica recognition, barrier/sleeping-mask format and broad awareness.</x:v>
      </x:c>
      <x:c r="P96" s="21" t="str">
        <x:v>Both sell Korean calming/barrier care with strong visual identities and sensitive-skin appeal.</x:v>
      </x:c>
      <x:c r="Q96" s="21" t="str">
        <x:v>Klairs is a watery EGF first serum with TikTok momentum; LANEIGE offers a more intuitive sleeping-mask benefit and Sephora footprint.</x:v>
      </x:c>
      <x:c r="R96" s="21" t="str">
        <x:v>-$4.99 versus Klairs $39.99 50 mL list</x:v>
      </x:c>
      <x:c r="S96" s="21" t="str">
        <x:v>High</x:v>
      </x:c>
      <x:c r="T96" s="21" t="str">
        <x:v>https://www.sephora.com/product/cica-sleeping-mask-for-soothing-relief-with-centella-asiatica-P518864?skuId=2895233</x:v>
      </x:c>
      <x:c r="U96" s="25" t="str">
        <x:v>2026-08-01</x:v>
      </x:c>
      <x:c r="V96" s="21" t="str">
        <x:v>SRC-DKL-047</x:v>
      </x:c>
    </x:row>
    <x:row r="97" ht="166" customHeight="1">
      <x:c r="A97" s="21" t="str">
        <x:v>CMP-HHW-001</x:v>
      </x:c>
      <x:c r="B97" s="21" t="str">
        <x:v>KB020</x:v>
      </x:c>
      <x:c r="C97" s="21" t="str">
        <x:v>HHW-P003</x:v>
      </x:c>
      <x:c r="D97" s="21" t="str">
        <x:v>TIRTIR</x:v>
      </x:c>
      <x:c r="E97" s="21" t="str">
        <x:v>Milk Skin Toner</x:v>
      </x:c>
      <x:c r="F97" s="21" t="str">
        <x:v>Viral milky hydrating toner</x:v>
      </x:c>
      <x:c r="G97" s="21" t="str">
        <x:v>Toner</x:v>
      </x:c>
      <x:c r="H97" s="21" t="str">
        <x:v>150 mL / 5.07 oz</x:v>
      </x:c>
      <x:c r="I97" s="31" t="n">
        <x:v>25</x:v>
      </x:c>
      <x:c r="J97" s="31" t="n">
        <x:v>0.1667</x:v>
      </x:c>
      <x:c r="K97" s="21" t="str">
        <x:v>Ulta; Target; TIRTIR channels</x:v>
      </x:c>
      <x:c r="L97" s="33"/>
      <x:c r="M97" s="27"/>
      <x:c r="N97" s="21" t="str">
        <x:v>Ulta displayed $25 current list pricing.</x:v>
      </x:c>
      <x:c r="O97" s="21" t="str">
        <x:v>Milky texture, niacinamide/panthenol/ceramide story, strong viral awareness and Ulta access.</x:v>
      </x:c>
      <x:c r="P97" s="21" t="str">
        <x:v>Both compete in hydrating K-Beauty toner routines and value-oriented skin-barrier positioning.</x:v>
      </x:c>
      <x:c r="Q97" s="21" t="str">
        <x:v>Haruharu is lighter, fragrance-free-positioned and currently $13.99 at Target/Amazon; TIRTIR has a milkier trend story and prestige-mass presence.</x:v>
      </x:c>
      <x:c r="R97" s="21" t="str">
        <x:v>+$7 to +$11 versus Haruharu $14-$18 references</x:v>
      </x:c>
      <x:c r="S97" s="21" t="str">
        <x:v>Very High</x:v>
      </x:c>
      <x:c r="T97" s="21" t="str">
        <x:v>https://www.ulta.com/p/milk-skin-toner-pimprod2053385?sku=2643811</x:v>
      </x:c>
      <x:c r="U97" s="25" t="str">
        <x:v>2026-08-01</x:v>
      </x:c>
      <x:c r="V97" s="21" t="str">
        <x:v>SRC-HHW-042</x:v>
      </x:c>
    </x:row>
    <x:row r="98" ht="166" customHeight="1">
      <x:c r="A98" s="21" t="str">
        <x:v>CMP-HHW-002</x:v>
      </x:c>
      <x:c r="B98" s="21" t="str">
        <x:v>KB020</x:v>
      </x:c>
      <x:c r="C98" s="21" t="str">
        <x:v>HHW-P001</x:v>
      </x:c>
      <x:c r="D98" s="21" t="str">
        <x:v>Dr. Ceuracle</x:v>
      </x:c>
      <x:c r="E98" s="21" t="str">
        <x:v>Vegan Kombucha Tea Essence</x:v>
      </x:c>
      <x:c r="F98" s="21" t="str">
        <x:v>Fermented milky barrier essence</x:v>
      </x:c>
      <x:c r="G98" s="21" t="str">
        <x:v>Essence</x:v>
      </x:c>
      <x:c r="H98" s="21" t="str">
        <x:v>150 mL / 5.07 oz</x:v>
      </x:c>
      <x:c r="I98" s="31" t="n">
        <x:v>38</x:v>
      </x:c>
      <x:c r="J98" s="31" t="n">
        <x:v>0.2533</x:v>
      </x:c>
      <x:c r="K98" s="21" t="str">
        <x:v>Official global DTC; cross-border retail</x:v>
      </x:c>
      <x:c r="L98" s="33"/>
      <x:c r="M98" s="27"/>
      <x:c r="N98" s="21" t="str">
        <x:v>Official site displayed $38 for 150 mL.</x:v>
      </x:c>
      <x:c r="O98" s="21" t="str">
        <x:v>Established kombucha/ferment recognition, biphasic milky texture and premium barrier positioning.</x:v>
      </x:c>
      <x:c r="P98" s="21" t="str">
        <x:v>Both combine fermentation, lipids and milky hydration for barrier-focused consumers.</x:v>
      </x:c>
      <x:c r="Q98" s="21" t="str">
        <x:v>Haruharu is 120 mL and currently $19.99 at Target/Amazon with much stronger sampled U.S. purchase badges; Dr. Ceuracle carries a higher premium anchor.</x:v>
      </x:c>
      <x:c r="R98" s="21" t="str">
        <x:v>+$10 versus Haruharu $28 list; +$18 versus current $19.99</x:v>
      </x:c>
      <x:c r="S98" s="21" t="str">
        <x:v>Very High</x:v>
      </x:c>
      <x:c r="T98" s="21" t="str">
        <x:v>https://drceuracle-global.com/products/dr-ceuracle-vegan-kombucha-tea-essence-150ml</x:v>
      </x:c>
      <x:c r="U98" s="25" t="str">
        <x:v>2026-08-01</x:v>
      </x:c>
      <x:c r="V98" s="21" t="str">
        <x:v>SRC-HHW-043</x:v>
      </x:c>
    </x:row>
    <x:row r="99" ht="166" customHeight="1">
      <x:c r="A99" s="21" t="str">
        <x:v>CMP-HHW-003</x:v>
      </x:c>
      <x:c r="B99" s="21" t="str">
        <x:v>KB020</x:v>
      </x:c>
      <x:c r="C99" s="21" t="str">
        <x:v>HHW-P002</x:v>
      </x:c>
      <x:c r="D99" s="21" t="str">
        <x:v>ANUA</x:v>
      </x:c>
      <x:c r="E99" s="21" t="str">
        <x:v>Heartleaf Pore Control Cleansing Oil Mild</x:v>
      </x:c>
      <x:c r="F99" s="21" t="str">
        <x:v>Sensitive-skin cleansing oil</x:v>
      </x:c>
      <x:c r="G99" s="21" t="str">
        <x:v>Cleansing Oil</x:v>
      </x:c>
      <x:c r="H99" s="21" t="str">
        <x:v>200 mL / 6.76 oz</x:v>
      </x:c>
      <x:c r="I99" s="31" t="n">
        <x:v>19.5</x:v>
      </x:c>
      <x:c r="J99" s="31" t="n">
        <x:v>0.0975</x:v>
      </x:c>
      <x:c r="K99" s="21" t="str">
        <x:v>Target Marketplace/ANUA channels</x:v>
      </x:c>
      <x:c r="L99" s="33"/>
      <x:c r="M99" s="27"/>
      <x:c r="N99" s="21" t="str">
        <x:v>Target displayed $19.50 for 200 mL.</x:v>
      </x:c>
      <x:c r="O99" s="21" t="str">
        <x:v>Heartleaf recognition, larger 200 mL size and acne-prone/sensitive-skin awareness.</x:v>
      </x:c>
      <x:c r="P99" s="21" t="str">
        <x:v>Both target gentle double cleansing and pore/makeup removal without stripping.</x:v>
      </x:c>
      <x:c r="Q99" s="21" t="str">
        <x:v>Haruharu is smaller but official-seller Amazon evidence showed #6 category rank, 8K+ bought/month and $15.99.</x:v>
      </x:c>
      <x:c r="R99" s="21" t="str">
        <x:v>+$3.51 versus Haruharu $15.99 current</x:v>
      </x:c>
      <x:c r="S99" s="21" t="str">
        <x:v>Very High</x:v>
      </x:c>
      <x:c r="T99" s="21" t="str">
        <x:v>https://www.target.com/c/makeup-removers-beauty/anua/-/N-cjmwvZq643len6gt9</x:v>
      </x:c>
      <x:c r="U99" s="25" t="str">
        <x:v>2026-08-01</x:v>
      </x:c>
      <x:c r="V99" s="21" t="str">
        <x:v>SRC-HHW-044</x:v>
      </x:c>
    </x:row>
    <x:row r="100" ht="166" customHeight="1">
      <x:c r="A100" s="21" t="str">
        <x:v>CMP-HHW-004</x:v>
      </x:c>
      <x:c r="B100" s="21" t="str">
        <x:v>KB020</x:v>
      </x:c>
      <x:c r="C100" s="21" t="str">
        <x:v>HHW-P004</x:v>
      </x:c>
      <x:c r="D100" s="21" t="str">
        <x:v>Beauty of Joseon</x:v>
      </x:c>
      <x:c r="E100" s="21" t="str">
        <x:v>Revive Eye Serum: Ginseng + Retinal</x:v>
      </x:c>
      <x:c r="F100" s="21" t="str">
        <x:v>Retinal anti-aging eye serum</x:v>
      </x:c>
      <x:c r="G100" s="21" t="str">
        <x:v>Eye Serum</x:v>
      </x:c>
      <x:c r="H100" s="21" t="str">
        <x:v>30 mL / 1.01 oz</x:v>
      </x:c>
      <x:c r="I100" s="31" t="n">
        <x:v>17</x:v>
      </x:c>
      <x:c r="J100" s="31" t="n">
        <x:v>0.5667</x:v>
      </x:c>
      <x:c r="K100" s="21" t="str">
        <x:v>Official U.S./global DTC; Amazon; cross-border retail</x:v>
      </x:c>
      <x:c r="L100" s="33"/>
      <x:c r="M100" s="27"/>
      <x:c r="N100" s="21" t="str">
        <x:v>Official site displayed $17.</x:v>
      </x:c>
      <x:c r="O100" s="21" t="str">
        <x:v>Ginseng/retinal active story, larger 30 mL size and high brand recognition.</x:v>
      </x:c>
      <x:c r="P100" s="21" t="str">
        <x:v>Both are affordable Korean eye products for the appearance of fine lines, firmness and dark circles.</x:v>
      </x:c>
      <x:c r="Q100" s="21" t="str">
        <x:v>Haruharu uses bakuchiol for gentler AM/PM positioning and had 4K+ Target purchases/month; Beauty of Joseon has a stronger retinal treatment story and lower official list.</x:v>
      </x:c>
      <x:c r="R100" s="21" t="str">
        <x:v>-$5 versus Haruharu $22 list; +$4 versus Target $12.99</x:v>
      </x:c>
      <x:c r="S100" s="21" t="str">
        <x:v>Very High</x:v>
      </x:c>
      <x:c r="T100" s="21" t="str">
        <x:v>https://beautyofjoseon.com/products/revive-eye-serum-ginseng-retinal</x:v>
      </x:c>
      <x:c r="U100" s="25" t="str">
        <x:v>2026-08-01</x:v>
      </x:c>
      <x:c r="V100" s="21" t="str">
        <x:v>SRC-HHW-045</x:v>
      </x:c>
    </x:row>
    <x:row r="101" ht="166" customHeight="1">
      <x:c r="A101" s="21" t="str">
        <x:v>CMP-HHW-005</x:v>
      </x:c>
      <x:c r="B101" s="21" t="str">
        <x:v>KB020</x:v>
      </x:c>
      <x:c r="C101" s="21" t="str">
        <x:v>HHW-P005</x:v>
      </x:c>
      <x:c r="D101" s="21" t="str">
        <x:v>SKIN1004</x:v>
      </x:c>
      <x:c r="E101" s="21" t="str">
        <x:v>Hyalu-Cica Water-Fit Sun Serum</x:v>
      </x:c>
      <x:c r="F101" s="21" t="str">
        <x:v>Korean chemical sun serum</x:v>
      </x:c>
      <x:c r="G101" s="21" t="str">
        <x:v>Sunscreen / Sun Serum</x:v>
      </x:c>
      <x:c r="H101" s="21" t="str">
        <x:v>50 mL / 1.69 oz</x:v>
      </x:c>
      <x:c r="I101" s="31" t="n">
        <x:v>25.99</x:v>
      </x:c>
      <x:c r="J101" s="31" t="n">
        <x:v>0.5198</x:v>
      </x:c>
      <x:c r="K101" s="21" t="str">
        <x:v>Target; SKIN1004 channels</x:v>
      </x:c>
      <x:c r="L101" s="33"/>
      <x:c r="M101" s="27"/>
      <x:c r="N101" s="21" t="str">
        <x:v>Target displayed $25.99 as a new first-party assortment item.</x:v>
      </x:c>
      <x:c r="O101" s="21" t="str">
        <x:v>High K-Beauty awareness, serum texture, centella/hyaluronic story and new Target access.</x:v>
      </x:c>
      <x:c r="P101" s="21" t="str">
        <x:v>Both compete on lightweight no-white-cast Korean chemical SPF aesthetics.</x:v>
      </x:c>
      <x:c r="Q101" s="21" t="str">
        <x:v>Haruharu showed a 30K+ Amazon badge and velvety finish; both require exact U.S. formula/Drug Facts verification before distributor sourcing.</x:v>
      </x:c>
      <x:c r="R101" s="21" t="str">
        <x:v>+$3.99 versus Haruharu global $22 list</x:v>
      </x:c>
      <x:c r="S101" s="21" t="str">
        <x:v>Very High / Regulatory Hold</x:v>
      </x:c>
      <x:c r="T101" s="21" t="str">
        <x:v>https://www.target.com/c/face-serums-facial-hydration-skin-care-beauty/skin1004/-/N-s8lrwZq643lergpss</x:v>
      </x:c>
      <x:c r="U101" s="25" t="str">
        <x:v>2026-08-01</x:v>
      </x:c>
      <x:c r="V101" s="21" t="str">
        <x:v>SRC-HHW-046</x:v>
      </x:c>
    </x:row>
    <x:row r="102">
      <x:c r="A102" s="21"/>
      <x:c r="B102" s="21"/>
      <x:c r="C102" s="21"/>
      <x:c r="D102" s="21"/>
      <x:c r="E102" s="21"/>
      <x:c r="F102" s="21"/>
      <x:c r="G102" s="21"/>
      <x:c r="H102" s="21"/>
      <x:c r="I102" s="31"/>
      <x:c r="J102" s="31"/>
      <x:c r="K102" s="21"/>
      <x:c r="L102" s="33"/>
      <x:c r="M102" s="27"/>
      <x:c r="N102" s="21"/>
      <x:c r="O102" s="21"/>
      <x:c r="P102" s="21"/>
      <x:c r="Q102" s="21"/>
      <x:c r="R102" s="21"/>
      <x:c r="S102" s="21"/>
      <x:c r="T102" s="21"/>
      <x:c r="U102" s="25"/>
      <x:c r="V102" s="21"/>
    </x:row>
    <x:row r="103">
      <x:c r="A103" s="21"/>
      <x:c r="B103" s="21"/>
      <x:c r="C103" s="21"/>
      <x:c r="D103" s="21"/>
      <x:c r="E103" s="21"/>
      <x:c r="F103" s="21"/>
      <x:c r="G103" s="21"/>
      <x:c r="H103" s="21"/>
      <x:c r="I103" s="31"/>
      <x:c r="J103" s="31"/>
      <x:c r="K103" s="21"/>
      <x:c r="L103" s="33"/>
      <x:c r="M103" s="27"/>
      <x:c r="N103" s="21"/>
      <x:c r="O103" s="21"/>
      <x:c r="P103" s="21"/>
      <x:c r="Q103" s="21"/>
      <x:c r="R103" s="21"/>
      <x:c r="S103" s="21"/>
      <x:c r="T103" s="21"/>
      <x:c r="U103" s="25"/>
      <x:c r="V103" s="21"/>
    </x:row>
    <x:row r="104">
      <x:c r="A104" s="21"/>
      <x:c r="B104" s="21"/>
      <x:c r="C104" s="21"/>
      <x:c r="D104" s="21"/>
      <x:c r="E104" s="21"/>
      <x:c r="F104" s="21"/>
      <x:c r="G104" s="21"/>
      <x:c r="H104" s="21"/>
      <x:c r="I104" s="31"/>
      <x:c r="J104" s="31"/>
      <x:c r="K104" s="21"/>
      <x:c r="L104" s="33"/>
      <x:c r="M104" s="27"/>
      <x:c r="N104" s="21"/>
      <x:c r="O104" s="21"/>
      <x:c r="P104" s="21"/>
      <x:c r="Q104" s="21"/>
      <x:c r="R104" s="21"/>
      <x:c r="S104" s="21"/>
      <x:c r="T104" s="21"/>
      <x:c r="U104" s="25"/>
      <x:c r="V104" s="21"/>
    </x:row>
    <x:row r="105">
      <x:c r="A105" s="21"/>
      <x:c r="B105" s="21"/>
      <x:c r="C105" s="21"/>
      <x:c r="D105" s="21"/>
      <x:c r="E105" s="21"/>
      <x:c r="F105" s="21"/>
      <x:c r="G105" s="21"/>
      <x:c r="H105" s="21"/>
      <x:c r="I105" s="31"/>
      <x:c r="J105" s="31"/>
      <x:c r="K105" s="21"/>
      <x:c r="L105" s="33"/>
      <x:c r="M105" s="27"/>
      <x:c r="N105" s="21"/>
      <x:c r="O105" s="21"/>
      <x:c r="P105" s="21"/>
      <x:c r="Q105" s="21"/>
      <x:c r="R105" s="21"/>
      <x:c r="S105" s="21"/>
      <x:c r="T105" s="21"/>
      <x:c r="U105" s="25"/>
      <x:c r="V105" s="21"/>
    </x:row>
    <x:row r="106">
      <x:c r="A106" s="21"/>
      <x:c r="B106" s="21"/>
      <x:c r="C106" s="21"/>
      <x:c r="D106" s="21"/>
      <x:c r="E106" s="21"/>
      <x:c r="F106" s="21"/>
      <x:c r="G106" s="21"/>
      <x:c r="H106" s="21"/>
      <x:c r="I106" s="31"/>
      <x:c r="J106" s="31"/>
      <x:c r="K106" s="21"/>
      <x:c r="L106" s="33"/>
      <x:c r="M106" s="27"/>
      <x:c r="N106" s="21"/>
      <x:c r="O106" s="21"/>
      <x:c r="P106" s="21"/>
      <x:c r="Q106" s="21"/>
      <x:c r="R106" s="21"/>
      <x:c r="S106" s="21"/>
      <x:c r="T106" s="21"/>
      <x:c r="U106" s="25"/>
      <x:c r="V106" s="21"/>
    </x:row>
    <x:row r="107">
      <x:c r="A107" s="21"/>
      <x:c r="B107" s="21"/>
      <x:c r="C107" s="21"/>
      <x:c r="D107" s="21"/>
      <x:c r="E107" s="21"/>
      <x:c r="F107" s="21"/>
      <x:c r="G107" s="21"/>
      <x:c r="H107" s="21"/>
      <x:c r="I107" s="31"/>
      <x:c r="J107" s="31"/>
      <x:c r="K107" s="21"/>
      <x:c r="L107" s="33"/>
      <x:c r="M107" s="27"/>
      <x:c r="N107" s="21"/>
      <x:c r="O107" s="21"/>
      <x:c r="P107" s="21"/>
      <x:c r="Q107" s="21"/>
      <x:c r="R107" s="21"/>
      <x:c r="S107" s="21"/>
      <x:c r="T107" s="21"/>
      <x:c r="U107" s="25"/>
      <x:c r="V107" s="21"/>
    </x:row>
    <x:row r="108">
      <x:c r="A108" s="21"/>
      <x:c r="B108" s="21"/>
      <x:c r="C108" s="21"/>
      <x:c r="D108" s="21"/>
      <x:c r="E108" s="21"/>
      <x:c r="F108" s="21"/>
      <x:c r="G108" s="21"/>
      <x:c r="H108" s="21"/>
      <x:c r="I108" s="31"/>
      <x:c r="J108" s="31"/>
      <x:c r="K108" s="21"/>
      <x:c r="L108" s="33"/>
      <x:c r="M108" s="27"/>
      <x:c r="N108" s="21"/>
      <x:c r="O108" s="21"/>
      <x:c r="P108" s="21"/>
      <x:c r="Q108" s="21"/>
      <x:c r="R108" s="21"/>
      <x:c r="S108" s="21"/>
      <x:c r="T108" s="21"/>
      <x:c r="U108" s="25"/>
      <x:c r="V108" s="21"/>
    </x:row>
    <x:row r="109">
      <x:c r="A109" s="21"/>
      <x:c r="B109" s="21"/>
      <x:c r="C109" s="21"/>
      <x:c r="D109" s="21"/>
      <x:c r="E109" s="21"/>
      <x:c r="F109" s="21"/>
      <x:c r="G109" s="21"/>
      <x:c r="H109" s="21"/>
      <x:c r="I109" s="31"/>
      <x:c r="J109" s="31"/>
      <x:c r="K109" s="21"/>
      <x:c r="L109" s="33"/>
      <x:c r="M109" s="27"/>
      <x:c r="N109" s="21"/>
      <x:c r="O109" s="21"/>
      <x:c r="P109" s="21"/>
      <x:c r="Q109" s="21"/>
      <x:c r="R109" s="21"/>
      <x:c r="S109" s="21"/>
      <x:c r="T109" s="21"/>
      <x:c r="U109" s="25"/>
      <x:c r="V109" s="21"/>
    </x:row>
    <x:row r="110">
      <x:c r="A110" s="21"/>
      <x:c r="B110" s="21"/>
      <x:c r="C110" s="21"/>
      <x:c r="D110" s="21"/>
      <x:c r="E110" s="21"/>
      <x:c r="F110" s="21"/>
      <x:c r="G110" s="21"/>
      <x:c r="H110" s="21"/>
      <x:c r="I110" s="31"/>
      <x:c r="J110" s="31"/>
      <x:c r="K110" s="21"/>
      <x:c r="L110" s="33"/>
      <x:c r="M110" s="27"/>
      <x:c r="N110" s="21"/>
      <x:c r="O110" s="21"/>
      <x:c r="P110" s="21"/>
      <x:c r="Q110" s="21"/>
      <x:c r="R110" s="21"/>
      <x:c r="S110" s="21"/>
      <x:c r="T110" s="21"/>
      <x:c r="U110" s="25"/>
      <x:c r="V110" s="21"/>
    </x:row>
    <x:row r="111">
      <x:c r="A111" s="21"/>
      <x:c r="B111" s="21"/>
      <x:c r="C111" s="21"/>
      <x:c r="D111" s="21"/>
      <x:c r="E111" s="21"/>
      <x:c r="F111" s="21"/>
      <x:c r="G111" s="21"/>
      <x:c r="H111" s="21"/>
      <x:c r="I111" s="31"/>
      <x:c r="J111" s="31"/>
      <x:c r="K111" s="21"/>
      <x:c r="L111" s="33"/>
      <x:c r="M111" s="27"/>
      <x:c r="N111" s="21"/>
      <x:c r="O111" s="21"/>
      <x:c r="P111" s="21"/>
      <x:c r="Q111" s="21"/>
      <x:c r="R111" s="21"/>
      <x:c r="S111" s="21"/>
      <x:c r="T111" s="21"/>
      <x:c r="U111" s="25"/>
      <x:c r="V111" s="21"/>
    </x:row>
    <x:row r="112">
      <x:c r="A112" s="21"/>
      <x:c r="B112" s="21"/>
      <x:c r="C112" s="21"/>
      <x:c r="D112" s="21"/>
      <x:c r="E112" s="21"/>
      <x:c r="F112" s="21"/>
      <x:c r="G112" s="21"/>
      <x:c r="H112" s="21"/>
      <x:c r="I112" s="31"/>
      <x:c r="J112" s="31"/>
      <x:c r="K112" s="21"/>
      <x:c r="L112" s="33"/>
      <x:c r="M112" s="27"/>
      <x:c r="N112" s="21"/>
      <x:c r="O112" s="21"/>
      <x:c r="P112" s="21"/>
      <x:c r="Q112" s="21"/>
      <x:c r="R112" s="21"/>
      <x:c r="S112" s="21"/>
      <x:c r="T112" s="21"/>
      <x:c r="U112" s="25"/>
      <x:c r="V112" s="21"/>
    </x:row>
    <x:row r="113">
      <x:c r="A113" s="21"/>
      <x:c r="B113" s="21"/>
      <x:c r="C113" s="21"/>
      <x:c r="D113" s="21"/>
      <x:c r="E113" s="21"/>
      <x:c r="F113" s="21"/>
      <x:c r="G113" s="21"/>
      <x:c r="H113" s="21"/>
      <x:c r="I113" s="31"/>
      <x:c r="J113" s="31"/>
      <x:c r="K113" s="21"/>
      <x:c r="L113" s="33"/>
      <x:c r="M113" s="27"/>
      <x:c r="N113" s="21"/>
      <x:c r="O113" s="21"/>
      <x:c r="P113" s="21"/>
      <x:c r="Q113" s="21"/>
      <x:c r="R113" s="21"/>
      <x:c r="S113" s="21"/>
      <x:c r="T113" s="21"/>
      <x:c r="U113" s="25"/>
      <x:c r="V113" s="21"/>
    </x:row>
    <x:row r="114">
      <x:c r="A114" s="21"/>
      <x:c r="B114" s="21"/>
      <x:c r="C114" s="21"/>
      <x:c r="D114" s="21"/>
      <x:c r="E114" s="21"/>
      <x:c r="F114" s="21"/>
      <x:c r="G114" s="21"/>
      <x:c r="H114" s="21"/>
      <x:c r="I114" s="31"/>
      <x:c r="J114" s="31"/>
      <x:c r="K114" s="21"/>
      <x:c r="L114" s="33"/>
      <x:c r="M114" s="27"/>
      <x:c r="N114" s="21"/>
      <x:c r="O114" s="21"/>
      <x:c r="P114" s="21"/>
      <x:c r="Q114" s="21"/>
      <x:c r="R114" s="21"/>
      <x:c r="S114" s="21"/>
      <x:c r="T114" s="21"/>
      <x:c r="U114" s="25"/>
      <x:c r="V114" s="21"/>
    </x:row>
    <x:row r="115">
      <x:c r="A115" s="21"/>
      <x:c r="B115" s="21"/>
      <x:c r="C115" s="21"/>
      <x:c r="D115" s="21"/>
      <x:c r="E115" s="21"/>
      <x:c r="F115" s="21"/>
      <x:c r="G115" s="21"/>
      <x:c r="H115" s="21"/>
      <x:c r="I115" s="31"/>
      <x:c r="J115" s="31"/>
      <x:c r="K115" s="21"/>
      <x:c r="L115" s="33"/>
      <x:c r="M115" s="27"/>
      <x:c r="N115" s="21"/>
      <x:c r="O115" s="21"/>
      <x:c r="P115" s="21"/>
      <x:c r="Q115" s="21"/>
      <x:c r="R115" s="21"/>
      <x:c r="S115" s="21"/>
      <x:c r="T115" s="21"/>
      <x:c r="U115" s="25"/>
      <x:c r="V115" s="21"/>
    </x:row>
    <x:row r="116">
      <x:c r="A116" s="21"/>
      <x:c r="B116" s="21"/>
      <x:c r="C116" s="21"/>
      <x:c r="D116" s="21"/>
      <x:c r="E116" s="21"/>
      <x:c r="F116" s="21"/>
      <x:c r="G116" s="21"/>
      <x:c r="H116" s="21"/>
      <x:c r="I116" s="31"/>
      <x:c r="J116" s="31"/>
      <x:c r="K116" s="21"/>
      <x:c r="L116" s="33"/>
      <x:c r="M116" s="27"/>
      <x:c r="N116" s="21"/>
      <x:c r="O116" s="21"/>
      <x:c r="P116" s="21"/>
      <x:c r="Q116" s="21"/>
      <x:c r="R116" s="21"/>
      <x:c r="S116" s="21"/>
      <x:c r="T116" s="21"/>
      <x:c r="U116" s="25"/>
      <x:c r="V116" s="21"/>
    </x:row>
    <x:row r="117">
      <x:c r="A117" s="21"/>
      <x:c r="B117" s="21"/>
      <x:c r="C117" s="21"/>
      <x:c r="D117" s="21"/>
      <x:c r="E117" s="21"/>
      <x:c r="F117" s="21"/>
      <x:c r="G117" s="21"/>
      <x:c r="H117" s="21"/>
      <x:c r="I117" s="31"/>
      <x:c r="J117" s="31"/>
      <x:c r="K117" s="21"/>
      <x:c r="L117" s="33"/>
      <x:c r="M117" s="27"/>
      <x:c r="N117" s="21"/>
      <x:c r="O117" s="21"/>
      <x:c r="P117" s="21"/>
      <x:c r="Q117" s="21"/>
      <x:c r="R117" s="21"/>
      <x:c r="S117" s="21"/>
      <x:c r="T117" s="21"/>
      <x:c r="U117" s="25"/>
      <x:c r="V117" s="21"/>
    </x:row>
    <x:row r="118">
      <x:c r="A118" s="21"/>
      <x:c r="B118" s="21"/>
      <x:c r="C118" s="21"/>
      <x:c r="D118" s="21"/>
      <x:c r="E118" s="21"/>
      <x:c r="F118" s="21"/>
      <x:c r="G118" s="21"/>
      <x:c r="H118" s="21"/>
      <x:c r="I118" s="31"/>
      <x:c r="J118" s="31"/>
      <x:c r="K118" s="21"/>
      <x:c r="L118" s="33"/>
      <x:c r="M118" s="27"/>
      <x:c r="N118" s="21"/>
      <x:c r="O118" s="21"/>
      <x:c r="P118" s="21"/>
      <x:c r="Q118" s="21"/>
      <x:c r="R118" s="21"/>
      <x:c r="S118" s="21"/>
      <x:c r="T118" s="21"/>
      <x:c r="U118" s="25"/>
      <x:c r="V118" s="21"/>
    </x:row>
    <x:row r="119">
      <x:c r="A119" s="21"/>
      <x:c r="B119" s="21"/>
      <x:c r="C119" s="21"/>
      <x:c r="D119" s="21"/>
      <x:c r="E119" s="21"/>
      <x:c r="F119" s="21"/>
      <x:c r="G119" s="21"/>
      <x:c r="H119" s="21"/>
      <x:c r="I119" s="31"/>
      <x:c r="J119" s="31"/>
      <x:c r="K119" s="21"/>
      <x:c r="L119" s="33"/>
      <x:c r="M119" s="27"/>
      <x:c r="N119" s="21"/>
      <x:c r="O119" s="21"/>
      <x:c r="P119" s="21"/>
      <x:c r="Q119" s="21"/>
      <x:c r="R119" s="21"/>
      <x:c r="S119" s="21"/>
      <x:c r="T119" s="21"/>
      <x:c r="U119" s="25"/>
      <x:c r="V119" s="21"/>
    </x:row>
    <x:row r="120">
      <x:c r="A120" s="21"/>
      <x:c r="B120" s="21"/>
      <x:c r="C120" s="21"/>
      <x:c r="D120" s="21"/>
      <x:c r="E120" s="21"/>
      <x:c r="F120" s="21"/>
      <x:c r="G120" s="21"/>
      <x:c r="H120" s="21"/>
      <x:c r="I120" s="31"/>
      <x:c r="J120" s="31"/>
      <x:c r="K120" s="21"/>
      <x:c r="L120" s="33"/>
      <x:c r="M120" s="27"/>
      <x:c r="N120" s="21"/>
      <x:c r="O120" s="21"/>
      <x:c r="P120" s="21"/>
      <x:c r="Q120" s="21"/>
      <x:c r="R120" s="21"/>
      <x:c r="S120" s="21"/>
      <x:c r="T120" s="21"/>
      <x:c r="U120" s="25"/>
      <x:c r="V120" s="21"/>
    </x:row>
    <x:row r="121">
      <x:c r="A121" s="21"/>
      <x:c r="B121" s="21"/>
      <x:c r="C121" s="21"/>
      <x:c r="D121" s="21"/>
      <x:c r="E121" s="21"/>
      <x:c r="F121" s="21"/>
      <x:c r="G121" s="21"/>
      <x:c r="H121" s="21"/>
      <x:c r="I121" s="31"/>
      <x:c r="J121" s="31"/>
      <x:c r="K121" s="21"/>
      <x:c r="L121" s="33"/>
      <x:c r="M121" s="27"/>
      <x:c r="N121" s="21"/>
      <x:c r="O121" s="21"/>
      <x:c r="P121" s="21"/>
      <x:c r="Q121" s="21"/>
      <x:c r="R121" s="21"/>
      <x:c r="S121" s="21"/>
      <x:c r="T121" s="21"/>
      <x:c r="U121" s="25"/>
      <x:c r="V121" s="21"/>
    </x:row>
    <x:row r="122">
      <x:c r="A122" s="21"/>
      <x:c r="B122" s="21"/>
      <x:c r="C122" s="21"/>
      <x:c r="D122" s="21"/>
      <x:c r="E122" s="21"/>
      <x:c r="F122" s="21"/>
      <x:c r="G122" s="21"/>
      <x:c r="H122" s="21"/>
      <x:c r="I122" s="31"/>
      <x:c r="J122" s="31"/>
      <x:c r="K122" s="21"/>
      <x:c r="L122" s="33"/>
      <x:c r="M122" s="27"/>
      <x:c r="N122" s="21"/>
      <x:c r="O122" s="21"/>
      <x:c r="P122" s="21"/>
      <x:c r="Q122" s="21"/>
      <x:c r="R122" s="21"/>
      <x:c r="S122" s="21"/>
      <x:c r="T122" s="21"/>
      <x:c r="U122" s="25"/>
      <x:c r="V122" s="21"/>
    </x:row>
    <x:row r="123">
      <x:c r="A123" s="21"/>
      <x:c r="B123" s="21"/>
      <x:c r="C123" s="21"/>
      <x:c r="D123" s="21"/>
      <x:c r="E123" s="21"/>
      <x:c r="F123" s="21"/>
      <x:c r="G123" s="21"/>
      <x:c r="H123" s="21"/>
      <x:c r="I123" s="31"/>
      <x:c r="J123" s="31"/>
      <x:c r="K123" s="21"/>
      <x:c r="L123" s="33"/>
      <x:c r="M123" s="27"/>
      <x:c r="N123" s="21"/>
      <x:c r="O123" s="21"/>
      <x:c r="P123" s="21"/>
      <x:c r="Q123" s="21"/>
      <x:c r="R123" s="21"/>
      <x:c r="S123" s="21"/>
      <x:c r="T123" s="21"/>
      <x:c r="U123" s="25"/>
      <x:c r="V123" s="21"/>
    </x:row>
    <x:row r="124">
      <x:c r="A124" s="21"/>
      <x:c r="B124" s="21"/>
      <x:c r="C124" s="21"/>
      <x:c r="D124" s="21"/>
      <x:c r="E124" s="21"/>
      <x:c r="F124" s="21"/>
      <x:c r="G124" s="21"/>
      <x:c r="H124" s="21"/>
      <x:c r="I124" s="31"/>
      <x:c r="J124" s="31"/>
      <x:c r="K124" s="21"/>
      <x:c r="L124" s="33"/>
      <x:c r="M124" s="27"/>
      <x:c r="N124" s="21"/>
      <x:c r="O124" s="21"/>
      <x:c r="P124" s="21"/>
      <x:c r="Q124" s="21"/>
      <x:c r="R124" s="21"/>
      <x:c r="S124" s="21"/>
      <x:c r="T124" s="21"/>
      <x:c r="U124" s="25"/>
      <x:c r="V124" s="21"/>
    </x:row>
    <x:row r="125">
      <x:c r="A125" s="21"/>
      <x:c r="B125" s="21"/>
      <x:c r="C125" s="21"/>
      <x:c r="D125" s="21"/>
      <x:c r="E125" s="21"/>
      <x:c r="F125" s="21"/>
      <x:c r="G125" s="21"/>
      <x:c r="H125" s="21"/>
      <x:c r="I125" s="31"/>
      <x:c r="J125" s="31"/>
      <x:c r="K125" s="21"/>
      <x:c r="L125" s="33"/>
      <x:c r="M125" s="27"/>
      <x:c r="N125" s="21"/>
      <x:c r="O125" s="21"/>
      <x:c r="P125" s="21"/>
      <x:c r="Q125" s="21"/>
      <x:c r="R125" s="21"/>
      <x:c r="S125" s="21"/>
      <x:c r="T125" s="21"/>
      <x:c r="U125" s="25"/>
      <x:c r="V125" s="21"/>
    </x:row>
    <x:row r="126">
      <x:c r="A126" s="21"/>
      <x:c r="B126" s="21"/>
      <x:c r="C126" s="21"/>
      <x:c r="D126" s="21"/>
      <x:c r="E126" s="21"/>
      <x:c r="F126" s="21"/>
      <x:c r="G126" s="21"/>
      <x:c r="H126" s="21"/>
      <x:c r="I126" s="31"/>
      <x:c r="J126" s="31"/>
      <x:c r="K126" s="21"/>
      <x:c r="L126" s="33"/>
      <x:c r="M126" s="27"/>
      <x:c r="N126" s="21"/>
      <x:c r="O126" s="21"/>
      <x:c r="P126" s="21"/>
      <x:c r="Q126" s="21"/>
      <x:c r="R126" s="21"/>
      <x:c r="S126" s="21"/>
      <x:c r="T126" s="21"/>
      <x:c r="U126" s="25"/>
      <x:c r="V126" s="21"/>
    </x:row>
    <x:row r="127">
      <x:c r="A127" s="21"/>
      <x:c r="B127" s="21"/>
      <x:c r="C127" s="21"/>
      <x:c r="D127" s="21"/>
      <x:c r="E127" s="21"/>
      <x:c r="F127" s="21"/>
      <x:c r="G127" s="21"/>
      <x:c r="H127" s="21"/>
      <x:c r="I127" s="31"/>
      <x:c r="J127" s="31"/>
      <x:c r="K127" s="21"/>
      <x:c r="L127" s="33"/>
      <x:c r="M127" s="27"/>
      <x:c r="N127" s="21"/>
      <x:c r="O127" s="21"/>
      <x:c r="P127" s="21"/>
      <x:c r="Q127" s="21"/>
      <x:c r="R127" s="21"/>
      <x:c r="S127" s="21"/>
      <x:c r="T127" s="21"/>
      <x:c r="U127" s="25"/>
      <x:c r="V127" s="21"/>
    </x:row>
    <x:row r="128">
      <x:c r="A128" s="21"/>
      <x:c r="B128" s="21"/>
      <x:c r="C128" s="21"/>
      <x:c r="D128" s="21"/>
      <x:c r="E128" s="21"/>
      <x:c r="F128" s="21"/>
      <x:c r="G128" s="21"/>
      <x:c r="H128" s="21"/>
      <x:c r="I128" s="31"/>
      <x:c r="J128" s="31"/>
      <x:c r="K128" s="21"/>
      <x:c r="L128" s="33"/>
      <x:c r="M128" s="27"/>
      <x:c r="N128" s="21"/>
      <x:c r="O128" s="21"/>
      <x:c r="P128" s="21"/>
      <x:c r="Q128" s="21"/>
      <x:c r="R128" s="21"/>
      <x:c r="S128" s="21"/>
      <x:c r="T128" s="21"/>
      <x:c r="U128" s="25"/>
      <x:c r="V128" s="21"/>
    </x:row>
    <x:row r="129">
      <x:c r="A129" s="21"/>
      <x:c r="B129" s="21"/>
      <x:c r="C129" s="21"/>
      <x:c r="D129" s="21"/>
      <x:c r="E129" s="21"/>
      <x:c r="F129" s="21"/>
      <x:c r="G129" s="21"/>
      <x:c r="H129" s="21"/>
      <x:c r="I129" s="31"/>
      <x:c r="J129" s="31"/>
      <x:c r="K129" s="21"/>
      <x:c r="L129" s="33"/>
      <x:c r="M129" s="27"/>
      <x:c r="N129" s="21"/>
      <x:c r="O129" s="21"/>
      <x:c r="P129" s="21"/>
      <x:c r="Q129" s="21"/>
      <x:c r="R129" s="21"/>
      <x:c r="S129" s="21"/>
      <x:c r="T129" s="21"/>
      <x:c r="U129" s="25"/>
      <x:c r="V129" s="21"/>
    </x:row>
    <x:row r="130">
      <x:c r="A130" s="21"/>
      <x:c r="B130" s="21"/>
      <x:c r="C130" s="21"/>
      <x:c r="D130" s="21"/>
      <x:c r="E130" s="21"/>
      <x:c r="F130" s="21"/>
      <x:c r="G130" s="21"/>
      <x:c r="H130" s="21"/>
      <x:c r="I130" s="31"/>
      <x:c r="J130" s="31"/>
      <x:c r="K130" s="21"/>
      <x:c r="L130" s="33"/>
      <x:c r="M130" s="27"/>
      <x:c r="N130" s="21"/>
      <x:c r="O130" s="21"/>
      <x:c r="P130" s="21"/>
      <x:c r="Q130" s="21"/>
      <x:c r="R130" s="21"/>
      <x:c r="S130" s="21"/>
      <x:c r="T130" s="21"/>
      <x:c r="U130" s="25"/>
      <x:c r="V130" s="21"/>
    </x:row>
    <x:row r="131">
      <x:c r="A131" s="21"/>
      <x:c r="B131" s="21"/>
      <x:c r="C131" s="21"/>
      <x:c r="D131" s="21"/>
      <x:c r="E131" s="21"/>
      <x:c r="F131" s="21"/>
      <x:c r="G131" s="21"/>
      <x:c r="H131" s="21"/>
      <x:c r="I131" s="31"/>
      <x:c r="J131" s="31"/>
      <x:c r="K131" s="21"/>
      <x:c r="L131" s="33"/>
      <x:c r="M131" s="27"/>
      <x:c r="N131" s="21"/>
      <x:c r="O131" s="21"/>
      <x:c r="P131" s="21"/>
      <x:c r="Q131" s="21"/>
      <x:c r="R131" s="21"/>
      <x:c r="S131" s="21"/>
      <x:c r="T131" s="21"/>
      <x:c r="U131" s="25"/>
      <x:c r="V131" s="21"/>
    </x:row>
    <x:row r="132">
      <x:c r="A132" s="21"/>
      <x:c r="B132" s="21"/>
      <x:c r="C132" s="21"/>
      <x:c r="D132" s="21"/>
      <x:c r="E132" s="21"/>
      <x:c r="F132" s="21"/>
      <x:c r="G132" s="21"/>
      <x:c r="H132" s="21"/>
      <x:c r="I132" s="31"/>
      <x:c r="J132" s="31"/>
      <x:c r="K132" s="21"/>
      <x:c r="L132" s="33"/>
      <x:c r="M132" s="27"/>
      <x:c r="N132" s="21"/>
      <x:c r="O132" s="21"/>
      <x:c r="P132" s="21"/>
      <x:c r="Q132" s="21"/>
      <x:c r="R132" s="21"/>
      <x:c r="S132" s="21"/>
      <x:c r="T132" s="21"/>
      <x:c r="U132" s="25"/>
      <x:c r="V132" s="21"/>
    </x:row>
    <x:row r="133">
      <x:c r="A133" s="21"/>
      <x:c r="B133" s="21"/>
      <x:c r="C133" s="21"/>
      <x:c r="D133" s="21"/>
      <x:c r="E133" s="21"/>
      <x:c r="F133" s="21"/>
      <x:c r="G133" s="21"/>
      <x:c r="H133" s="21"/>
      <x:c r="I133" s="31"/>
      <x:c r="J133" s="31"/>
      <x:c r="K133" s="21"/>
      <x:c r="L133" s="33"/>
      <x:c r="M133" s="27"/>
      <x:c r="N133" s="21"/>
      <x:c r="O133" s="21"/>
      <x:c r="P133" s="21"/>
      <x:c r="Q133" s="21"/>
      <x:c r="R133" s="21"/>
      <x:c r="S133" s="21"/>
      <x:c r="T133" s="21"/>
      <x:c r="U133" s="25"/>
      <x:c r="V133" s="21"/>
    </x:row>
    <x:row r="134">
      <x:c r="A134" s="21"/>
      <x:c r="B134" s="21"/>
      <x:c r="C134" s="21"/>
      <x:c r="D134" s="21"/>
      <x:c r="E134" s="21"/>
      <x:c r="F134" s="21"/>
      <x:c r="G134" s="21"/>
      <x:c r="H134" s="21"/>
      <x:c r="I134" s="31"/>
      <x:c r="J134" s="31"/>
      <x:c r="K134" s="21"/>
      <x:c r="L134" s="33"/>
      <x:c r="M134" s="27"/>
      <x:c r="N134" s="21"/>
      <x:c r="O134" s="21"/>
      <x:c r="P134" s="21"/>
      <x:c r="Q134" s="21"/>
      <x:c r="R134" s="21"/>
      <x:c r="S134" s="21"/>
      <x:c r="T134" s="21"/>
      <x:c r="U134" s="25"/>
      <x:c r="V134" s="21"/>
    </x:row>
    <x:row r="135">
      <x:c r="A135" s="21"/>
      <x:c r="B135" s="21"/>
      <x:c r="C135" s="21"/>
      <x:c r="D135" s="21"/>
      <x:c r="E135" s="21"/>
      <x:c r="F135" s="21"/>
      <x:c r="G135" s="21"/>
      <x:c r="H135" s="21"/>
      <x:c r="I135" s="31"/>
      <x:c r="J135" s="31"/>
      <x:c r="K135" s="21"/>
      <x:c r="L135" s="33"/>
      <x:c r="M135" s="27"/>
      <x:c r="N135" s="21"/>
      <x:c r="O135" s="21"/>
      <x:c r="P135" s="21"/>
      <x:c r="Q135" s="21"/>
      <x:c r="R135" s="21"/>
      <x:c r="S135" s="21"/>
      <x:c r="T135" s="21"/>
      <x:c r="U135" s="25"/>
      <x:c r="V135" s="21"/>
    </x:row>
    <x:row r="136">
      <x:c r="A136" s="21"/>
      <x:c r="B136" s="21"/>
      <x:c r="C136" s="21"/>
      <x:c r="D136" s="21"/>
      <x:c r="E136" s="21"/>
      <x:c r="F136" s="21"/>
      <x:c r="G136" s="21"/>
      <x:c r="H136" s="21"/>
      <x:c r="I136" s="31"/>
      <x:c r="J136" s="31"/>
      <x:c r="K136" s="21"/>
      <x:c r="L136" s="33"/>
      <x:c r="M136" s="27"/>
      <x:c r="N136" s="21"/>
      <x:c r="O136" s="21"/>
      <x:c r="P136" s="21"/>
      <x:c r="Q136" s="21"/>
      <x:c r="R136" s="21"/>
      <x:c r="S136" s="21"/>
      <x:c r="T136" s="21"/>
      <x:c r="U136" s="25"/>
      <x:c r="V136" s="21"/>
    </x:row>
    <x:row r="137">
      <x:c r="A137" s="21"/>
      <x:c r="B137" s="21"/>
      <x:c r="C137" s="21"/>
      <x:c r="D137" s="21"/>
      <x:c r="E137" s="21"/>
      <x:c r="F137" s="21"/>
      <x:c r="G137" s="21"/>
      <x:c r="H137" s="21"/>
      <x:c r="I137" s="31"/>
      <x:c r="J137" s="31"/>
      <x:c r="K137" s="21"/>
      <x:c r="L137" s="33"/>
      <x:c r="M137" s="27"/>
      <x:c r="N137" s="21"/>
      <x:c r="O137" s="21"/>
      <x:c r="P137" s="21"/>
      <x:c r="Q137" s="21"/>
      <x:c r="R137" s="21"/>
      <x:c r="S137" s="21"/>
      <x:c r="T137" s="21"/>
      <x:c r="U137" s="25"/>
      <x:c r="V137" s="21"/>
    </x:row>
    <x:row r="138">
      <x:c r="A138" s="21"/>
      <x:c r="B138" s="21"/>
      <x:c r="C138" s="21"/>
      <x:c r="D138" s="21"/>
      <x:c r="E138" s="21"/>
      <x:c r="F138" s="21"/>
      <x:c r="G138" s="21"/>
      <x:c r="H138" s="21"/>
      <x:c r="I138" s="31"/>
      <x:c r="J138" s="31"/>
      <x:c r="K138" s="21"/>
      <x:c r="L138" s="33"/>
      <x:c r="M138" s="27"/>
      <x:c r="N138" s="21"/>
      <x:c r="O138" s="21"/>
      <x:c r="P138" s="21"/>
      <x:c r="Q138" s="21"/>
      <x:c r="R138" s="21"/>
      <x:c r="S138" s="21"/>
      <x:c r="T138" s="21"/>
      <x:c r="U138" s="25"/>
      <x:c r="V138" s="21"/>
    </x:row>
    <x:row r="139">
      <x:c r="A139" s="21"/>
      <x:c r="B139" s="21"/>
      <x:c r="C139" s="21"/>
      <x:c r="D139" s="21"/>
      <x:c r="E139" s="21"/>
      <x:c r="F139" s="21"/>
      <x:c r="G139" s="21"/>
      <x:c r="H139" s="21"/>
      <x:c r="I139" s="31"/>
      <x:c r="J139" s="31"/>
      <x:c r="K139" s="21"/>
      <x:c r="L139" s="33"/>
      <x:c r="M139" s="27"/>
      <x:c r="N139" s="21"/>
      <x:c r="O139" s="21"/>
      <x:c r="P139" s="21"/>
      <x:c r="Q139" s="21"/>
      <x:c r="R139" s="21"/>
      <x:c r="S139" s="21"/>
      <x:c r="T139" s="21"/>
      <x:c r="U139" s="25"/>
      <x:c r="V139" s="21"/>
    </x:row>
    <x:row r="140">
      <x:c r="A140" s="21"/>
      <x:c r="B140" s="21"/>
      <x:c r="C140" s="21"/>
      <x:c r="D140" s="21"/>
      <x:c r="E140" s="21"/>
      <x:c r="F140" s="21"/>
      <x:c r="G140" s="21"/>
      <x:c r="H140" s="21"/>
      <x:c r="I140" s="31"/>
      <x:c r="J140" s="31"/>
      <x:c r="K140" s="21"/>
      <x:c r="L140" s="33"/>
      <x:c r="M140" s="27"/>
      <x:c r="N140" s="21"/>
      <x:c r="O140" s="21"/>
      <x:c r="P140" s="21"/>
      <x:c r="Q140" s="21"/>
      <x:c r="R140" s="21"/>
      <x:c r="S140" s="21"/>
      <x:c r="T140" s="21"/>
      <x:c r="U140" s="25"/>
      <x:c r="V140" s="21"/>
    </x:row>
    <x:row r="141">
      <x:c r="A141" s="21"/>
      <x:c r="B141" s="21"/>
      <x:c r="C141" s="21"/>
      <x:c r="D141" s="21"/>
      <x:c r="E141" s="21"/>
      <x:c r="F141" s="21"/>
      <x:c r="G141" s="21"/>
      <x:c r="H141" s="21"/>
      <x:c r="I141" s="31"/>
      <x:c r="J141" s="31"/>
      <x:c r="K141" s="21"/>
      <x:c r="L141" s="33"/>
      <x:c r="M141" s="27"/>
      <x:c r="N141" s="21"/>
      <x:c r="O141" s="21"/>
      <x:c r="P141" s="21"/>
      <x:c r="Q141" s="21"/>
      <x:c r="R141" s="21"/>
      <x:c r="S141" s="21"/>
      <x:c r="T141" s="21"/>
      <x:c r="U141" s="25"/>
      <x:c r="V141" s="21"/>
    </x:row>
    <x:row r="142">
      <x:c r="A142" s="21"/>
      <x:c r="B142" s="21"/>
      <x:c r="C142" s="21"/>
      <x:c r="D142" s="21"/>
      <x:c r="E142" s="21"/>
      <x:c r="F142" s="21"/>
      <x:c r="G142" s="21"/>
      <x:c r="H142" s="21"/>
      <x:c r="I142" s="31"/>
      <x:c r="J142" s="31"/>
      <x:c r="K142" s="21"/>
      <x:c r="L142" s="33"/>
      <x:c r="M142" s="27"/>
      <x:c r="N142" s="21"/>
      <x:c r="O142" s="21"/>
      <x:c r="P142" s="21"/>
      <x:c r="Q142" s="21"/>
      <x:c r="R142" s="21"/>
      <x:c r="S142" s="21"/>
      <x:c r="T142" s="21"/>
      <x:c r="U142" s="25"/>
      <x:c r="V142" s="21"/>
    </x:row>
    <x:row r="143">
      <x:c r="A143" s="21"/>
      <x:c r="B143" s="21"/>
      <x:c r="C143" s="21"/>
      <x:c r="D143" s="21"/>
      <x:c r="E143" s="21"/>
      <x:c r="F143" s="21"/>
      <x:c r="G143" s="21"/>
      <x:c r="H143" s="21"/>
      <x:c r="I143" s="31"/>
      <x:c r="J143" s="31"/>
      <x:c r="K143" s="21"/>
      <x:c r="L143" s="33"/>
      <x:c r="M143" s="27"/>
      <x:c r="N143" s="21"/>
      <x:c r="O143" s="21"/>
      <x:c r="P143" s="21"/>
      <x:c r="Q143" s="21"/>
      <x:c r="R143" s="21"/>
      <x:c r="S143" s="21"/>
      <x:c r="T143" s="21"/>
      <x:c r="U143" s="25"/>
      <x:c r="V143" s="21"/>
    </x:row>
    <x:row r="144">
      <x:c r="A144" s="21"/>
      <x:c r="B144" s="21"/>
      <x:c r="C144" s="21"/>
      <x:c r="D144" s="21"/>
      <x:c r="E144" s="21"/>
      <x:c r="F144" s="21"/>
      <x:c r="G144" s="21"/>
      <x:c r="H144" s="21"/>
      <x:c r="I144" s="31"/>
      <x:c r="J144" s="31"/>
      <x:c r="K144" s="21"/>
      <x:c r="L144" s="33"/>
      <x:c r="M144" s="27"/>
      <x:c r="N144" s="21"/>
      <x:c r="O144" s="21"/>
      <x:c r="P144" s="21"/>
      <x:c r="Q144" s="21"/>
      <x:c r="R144" s="21"/>
      <x:c r="S144" s="21"/>
      <x:c r="T144" s="21"/>
      <x:c r="U144" s="25"/>
      <x:c r="V144" s="21"/>
    </x:row>
    <x:row r="145">
      <x:c r="A145" s="21"/>
      <x:c r="B145" s="21"/>
      <x:c r="C145" s="21"/>
      <x:c r="D145" s="21"/>
      <x:c r="E145" s="21"/>
      <x:c r="F145" s="21"/>
      <x:c r="G145" s="21"/>
      <x:c r="H145" s="21"/>
      <x:c r="I145" s="31"/>
      <x:c r="J145" s="31"/>
      <x:c r="K145" s="21"/>
      <x:c r="L145" s="33"/>
      <x:c r="M145" s="27"/>
      <x:c r="N145" s="21"/>
      <x:c r="O145" s="21"/>
      <x:c r="P145" s="21"/>
      <x:c r="Q145" s="21"/>
      <x:c r="R145" s="21"/>
      <x:c r="S145" s="21"/>
      <x:c r="T145" s="21"/>
      <x:c r="U145" s="25"/>
      <x:c r="V145" s="21"/>
    </x:row>
    <x:row r="146">
      <x:c r="A146" s="21"/>
      <x:c r="B146" s="21"/>
      <x:c r="C146" s="21"/>
      <x:c r="D146" s="21"/>
      <x:c r="E146" s="21"/>
      <x:c r="F146" s="21"/>
      <x:c r="G146" s="21"/>
      <x:c r="H146" s="21"/>
      <x:c r="I146" s="31"/>
      <x:c r="J146" s="31"/>
      <x:c r="K146" s="21"/>
      <x:c r="L146" s="33"/>
      <x:c r="M146" s="27"/>
      <x:c r="N146" s="21"/>
      <x:c r="O146" s="21"/>
      <x:c r="P146" s="21"/>
      <x:c r="Q146" s="21"/>
      <x:c r="R146" s="21"/>
      <x:c r="S146" s="21"/>
      <x:c r="T146" s="21"/>
      <x:c r="U146" s="25"/>
      <x:c r="V146" s="21"/>
    </x:row>
    <x:row r="147">
      <x:c r="A147" s="21"/>
      <x:c r="B147" s="21"/>
      <x:c r="C147" s="21"/>
      <x:c r="D147" s="21"/>
      <x:c r="E147" s="21"/>
      <x:c r="F147" s="21"/>
      <x:c r="G147" s="21"/>
      <x:c r="H147" s="21"/>
      <x:c r="I147" s="31"/>
      <x:c r="J147" s="31"/>
      <x:c r="K147" s="21"/>
      <x:c r="L147" s="33"/>
      <x:c r="M147" s="27"/>
      <x:c r="N147" s="21"/>
      <x:c r="O147" s="21"/>
      <x:c r="P147" s="21"/>
      <x:c r="Q147" s="21"/>
      <x:c r="R147" s="21"/>
      <x:c r="S147" s="21"/>
      <x:c r="T147" s="21"/>
      <x:c r="U147" s="25"/>
      <x:c r="V147" s="21"/>
    </x:row>
    <x:row r="148">
      <x:c r="A148" s="21"/>
      <x:c r="B148" s="21"/>
      <x:c r="C148" s="21"/>
      <x:c r="D148" s="21"/>
      <x:c r="E148" s="21"/>
      <x:c r="F148" s="21"/>
      <x:c r="G148" s="21"/>
      <x:c r="H148" s="21"/>
      <x:c r="I148" s="31"/>
      <x:c r="J148" s="31"/>
      <x:c r="K148" s="21"/>
      <x:c r="L148" s="33"/>
      <x:c r="M148" s="27"/>
      <x:c r="N148" s="21"/>
      <x:c r="O148" s="21"/>
      <x:c r="P148" s="21"/>
      <x:c r="Q148" s="21"/>
      <x:c r="R148" s="21"/>
      <x:c r="S148" s="21"/>
      <x:c r="T148" s="21"/>
      <x:c r="U148" s="25"/>
      <x:c r="V148" s="21"/>
    </x:row>
    <x:row r="149">
      <x:c r="A149" s="21"/>
      <x:c r="B149" s="21"/>
      <x:c r="C149" s="21"/>
      <x:c r="D149" s="21"/>
      <x:c r="E149" s="21"/>
      <x:c r="F149" s="21"/>
      <x:c r="G149" s="21"/>
      <x:c r="H149" s="21"/>
      <x:c r="I149" s="31"/>
      <x:c r="J149" s="31"/>
      <x:c r="K149" s="21"/>
      <x:c r="L149" s="33"/>
      <x:c r="M149" s="27"/>
      <x:c r="N149" s="21"/>
      <x:c r="O149" s="21"/>
      <x:c r="P149" s="21"/>
      <x:c r="Q149" s="21"/>
      <x:c r="R149" s="21"/>
      <x:c r="S149" s="21"/>
      <x:c r="T149" s="21"/>
      <x:c r="U149" s="25"/>
      <x:c r="V149" s="21"/>
    </x:row>
    <x:row r="150">
      <x:c r="A150" s="21"/>
      <x:c r="B150" s="21"/>
      <x:c r="C150" s="21"/>
      <x:c r="D150" s="21"/>
      <x:c r="E150" s="21"/>
      <x:c r="F150" s="21"/>
      <x:c r="G150" s="21"/>
      <x:c r="H150" s="21"/>
      <x:c r="I150" s="31"/>
      <x:c r="J150" s="31"/>
      <x:c r="K150" s="21"/>
      <x:c r="L150" s="33"/>
      <x:c r="M150" s="27"/>
      <x:c r="N150" s="21"/>
      <x:c r="O150" s="21"/>
      <x:c r="P150" s="21"/>
      <x:c r="Q150" s="21"/>
      <x:c r="R150" s="21"/>
      <x:c r="S150" s="21"/>
      <x:c r="T150" s="21"/>
      <x:c r="U150" s="25"/>
      <x:c r="V150" s="21"/>
    </x:row>
    <x:row r="151">
      <x:c r="A151" s="21"/>
      <x:c r="B151" s="21"/>
      <x:c r="C151" s="21"/>
      <x:c r="D151" s="21"/>
      <x:c r="E151" s="21"/>
      <x:c r="F151" s="21"/>
      <x:c r="G151" s="21"/>
      <x:c r="H151" s="21"/>
      <x:c r="I151" s="31"/>
      <x:c r="J151" s="31"/>
      <x:c r="K151" s="21"/>
      <x:c r="L151" s="33"/>
      <x:c r="M151" s="27"/>
      <x:c r="N151" s="21"/>
      <x:c r="O151" s="21"/>
      <x:c r="P151" s="21"/>
      <x:c r="Q151" s="21"/>
      <x:c r="R151" s="21"/>
      <x:c r="S151" s="21"/>
      <x:c r="T151" s="21"/>
      <x:c r="U151" s="25"/>
      <x:c r="V151" s="21"/>
    </x:row>
    <x:row r="152">
      <x:c r="A152" s="21"/>
      <x:c r="B152" s="21"/>
      <x:c r="C152" s="21"/>
      <x:c r="D152" s="21"/>
      <x:c r="E152" s="21"/>
      <x:c r="F152" s="21"/>
      <x:c r="G152" s="21"/>
      <x:c r="H152" s="21"/>
      <x:c r="I152" s="31"/>
      <x:c r="J152" s="31"/>
      <x:c r="K152" s="21"/>
      <x:c r="L152" s="33"/>
      <x:c r="M152" s="27"/>
      <x:c r="N152" s="21"/>
      <x:c r="O152" s="21"/>
      <x:c r="P152" s="21"/>
      <x:c r="Q152" s="21"/>
      <x:c r="R152" s="21"/>
      <x:c r="S152" s="21"/>
      <x:c r="T152" s="21"/>
      <x:c r="U152" s="25"/>
      <x:c r="V152" s="21"/>
    </x:row>
    <x:row r="153">
      <x:c r="A153" s="21"/>
      <x:c r="B153" s="21"/>
      <x:c r="C153" s="21"/>
      <x:c r="D153" s="21"/>
      <x:c r="E153" s="21"/>
      <x:c r="F153" s="21"/>
      <x:c r="G153" s="21"/>
      <x:c r="H153" s="21"/>
      <x:c r="I153" s="31"/>
      <x:c r="J153" s="31"/>
      <x:c r="K153" s="21"/>
      <x:c r="L153" s="33"/>
      <x:c r="M153" s="27"/>
      <x:c r="N153" s="21"/>
      <x:c r="O153" s="21"/>
      <x:c r="P153" s="21"/>
      <x:c r="Q153" s="21"/>
      <x:c r="R153" s="21"/>
      <x:c r="S153" s="21"/>
      <x:c r="T153" s="21"/>
      <x:c r="U153" s="25"/>
      <x:c r="V153" s="21"/>
    </x:row>
    <x:row r="154">
      <x:c r="A154" s="21"/>
      <x:c r="B154" s="21"/>
      <x:c r="C154" s="21"/>
      <x:c r="D154" s="21"/>
      <x:c r="E154" s="21"/>
      <x:c r="F154" s="21"/>
      <x:c r="G154" s="21"/>
      <x:c r="H154" s="21"/>
      <x:c r="I154" s="31"/>
      <x:c r="J154" s="31"/>
      <x:c r="K154" s="21"/>
      <x:c r="L154" s="33"/>
      <x:c r="M154" s="27"/>
      <x:c r="N154" s="21"/>
      <x:c r="O154" s="21"/>
      <x:c r="P154" s="21"/>
      <x:c r="Q154" s="21"/>
      <x:c r="R154" s="21"/>
      <x:c r="S154" s="21"/>
      <x:c r="T154" s="21"/>
      <x:c r="U154" s="25"/>
      <x:c r="V154" s="21"/>
    </x:row>
    <x:row r="155">
      <x:c r="A155" s="21"/>
      <x:c r="B155" s="21"/>
      <x:c r="C155" s="21"/>
      <x:c r="D155" s="21"/>
      <x:c r="E155" s="21"/>
      <x:c r="F155" s="21"/>
      <x:c r="G155" s="21"/>
      <x:c r="H155" s="21"/>
      <x:c r="I155" s="31"/>
      <x:c r="J155" s="31"/>
      <x:c r="K155" s="21"/>
      <x:c r="L155" s="33"/>
      <x:c r="M155" s="27"/>
      <x:c r="N155" s="21"/>
      <x:c r="O155" s="21"/>
      <x:c r="P155" s="21"/>
      <x:c r="Q155" s="21"/>
      <x:c r="R155" s="21"/>
      <x:c r="S155" s="21"/>
      <x:c r="T155" s="21"/>
      <x:c r="U155" s="25"/>
      <x:c r="V155" s="21"/>
    </x:row>
    <x:row r="156">
      <x:c r="A156" s="21"/>
      <x:c r="B156" s="21"/>
      <x:c r="C156" s="21"/>
      <x:c r="D156" s="21"/>
      <x:c r="E156" s="21"/>
      <x:c r="F156" s="21"/>
      <x:c r="G156" s="21"/>
      <x:c r="H156" s="21"/>
      <x:c r="I156" s="31"/>
      <x:c r="J156" s="31"/>
      <x:c r="K156" s="21"/>
      <x:c r="L156" s="33"/>
      <x:c r="M156" s="27"/>
      <x:c r="N156" s="21"/>
      <x:c r="O156" s="21"/>
      <x:c r="P156" s="21"/>
      <x:c r="Q156" s="21"/>
      <x:c r="R156" s="21"/>
      <x:c r="S156" s="21"/>
      <x:c r="T156" s="21"/>
      <x:c r="U156" s="25"/>
      <x:c r="V156" s="21"/>
    </x:row>
    <x:row r="157">
      <x:c r="A157" s="21"/>
      <x:c r="B157" s="21"/>
      <x:c r="C157" s="21"/>
      <x:c r="D157" s="21"/>
      <x:c r="E157" s="21"/>
      <x:c r="F157" s="21"/>
      <x:c r="G157" s="21"/>
      <x:c r="H157" s="21"/>
      <x:c r="I157" s="31"/>
      <x:c r="J157" s="31"/>
      <x:c r="K157" s="21"/>
      <x:c r="L157" s="33"/>
      <x:c r="M157" s="27"/>
      <x:c r="N157" s="21"/>
      <x:c r="O157" s="21"/>
      <x:c r="P157" s="21"/>
      <x:c r="Q157" s="21"/>
      <x:c r="R157" s="21"/>
      <x:c r="S157" s="21"/>
      <x:c r="T157" s="21"/>
      <x:c r="U157" s="25"/>
      <x:c r="V157" s="21"/>
    </x:row>
    <x:row r="158">
      <x:c r="A158" s="21"/>
      <x:c r="B158" s="21"/>
      <x:c r="C158" s="21"/>
      <x:c r="D158" s="21"/>
      <x:c r="E158" s="21"/>
      <x:c r="F158" s="21"/>
      <x:c r="G158" s="21"/>
      <x:c r="H158" s="21"/>
      <x:c r="I158" s="31"/>
      <x:c r="J158" s="31"/>
      <x:c r="K158" s="21"/>
      <x:c r="L158" s="33"/>
      <x:c r="M158" s="27"/>
      <x:c r="N158" s="21"/>
      <x:c r="O158" s="21"/>
      <x:c r="P158" s="21"/>
      <x:c r="Q158" s="21"/>
      <x:c r="R158" s="21"/>
      <x:c r="S158" s="21"/>
      <x:c r="T158" s="21"/>
      <x:c r="U158" s="25"/>
      <x:c r="V158" s="21"/>
    </x:row>
    <x:row r="159">
      <x:c r="A159" s="21"/>
      <x:c r="B159" s="21"/>
      <x:c r="C159" s="21"/>
      <x:c r="D159" s="21"/>
      <x:c r="E159" s="21"/>
      <x:c r="F159" s="21"/>
      <x:c r="G159" s="21"/>
      <x:c r="H159" s="21"/>
      <x:c r="I159" s="31"/>
      <x:c r="J159" s="31"/>
      <x:c r="K159" s="21"/>
      <x:c r="L159" s="33"/>
      <x:c r="M159" s="27"/>
      <x:c r="N159" s="21"/>
      <x:c r="O159" s="21"/>
      <x:c r="P159" s="21"/>
      <x:c r="Q159" s="21"/>
      <x:c r="R159" s="21"/>
      <x:c r="S159" s="21"/>
      <x:c r="T159" s="21"/>
      <x:c r="U159" s="25"/>
      <x:c r="V159" s="21"/>
    </x:row>
    <x:row r="160">
      <x:c r="A160" s="21"/>
      <x:c r="B160" s="21"/>
      <x:c r="C160" s="21"/>
      <x:c r="D160" s="21"/>
      <x:c r="E160" s="21"/>
      <x:c r="F160" s="21"/>
      <x:c r="G160" s="21"/>
      <x:c r="H160" s="21"/>
      <x:c r="I160" s="31"/>
      <x:c r="J160" s="31"/>
      <x:c r="K160" s="21"/>
      <x:c r="L160" s="33"/>
      <x:c r="M160" s="27"/>
      <x:c r="N160" s="21"/>
      <x:c r="O160" s="21"/>
      <x:c r="P160" s="21"/>
      <x:c r="Q160" s="21"/>
      <x:c r="R160" s="21"/>
      <x:c r="S160" s="21"/>
      <x:c r="T160" s="21"/>
      <x:c r="U160" s="25"/>
      <x:c r="V160" s="21"/>
    </x:row>
    <x:row r="161">
      <x:c r="A161" s="21"/>
      <x:c r="B161" s="21"/>
      <x:c r="C161" s="21"/>
      <x:c r="D161" s="21"/>
      <x:c r="E161" s="21"/>
      <x:c r="F161" s="21"/>
      <x:c r="G161" s="21"/>
      <x:c r="H161" s="21"/>
      <x:c r="I161" s="31"/>
      <x:c r="J161" s="31"/>
      <x:c r="K161" s="21"/>
      <x:c r="L161" s="33"/>
      <x:c r="M161" s="27"/>
      <x:c r="N161" s="21"/>
      <x:c r="O161" s="21"/>
      <x:c r="P161" s="21"/>
      <x:c r="Q161" s="21"/>
      <x:c r="R161" s="21"/>
      <x:c r="S161" s="21"/>
      <x:c r="T161" s="21"/>
      <x:c r="U161" s="25"/>
      <x:c r="V161" s="21"/>
    </x:row>
    <x:row r="162">
      <x:c r="A162" s="21"/>
      <x:c r="B162" s="21"/>
      <x:c r="C162" s="21"/>
      <x:c r="D162" s="21"/>
      <x:c r="E162" s="21"/>
      <x:c r="F162" s="21"/>
      <x:c r="G162" s="21"/>
      <x:c r="H162" s="21"/>
      <x:c r="I162" s="31"/>
      <x:c r="J162" s="31"/>
      <x:c r="K162" s="21"/>
      <x:c r="L162" s="33"/>
      <x:c r="M162" s="27"/>
      <x:c r="N162" s="21"/>
      <x:c r="O162" s="21"/>
      <x:c r="P162" s="21"/>
      <x:c r="Q162" s="21"/>
      <x:c r="R162" s="21"/>
      <x:c r="S162" s="21"/>
      <x:c r="T162" s="21"/>
      <x:c r="U162" s="25"/>
      <x:c r="V162" s="21"/>
    </x:row>
    <x:row r="163">
      <x:c r="A163" s="21"/>
      <x:c r="B163" s="21"/>
      <x:c r="C163" s="21"/>
      <x:c r="D163" s="21"/>
      <x:c r="E163" s="21"/>
      <x:c r="F163" s="21"/>
      <x:c r="G163" s="21"/>
      <x:c r="H163" s="21"/>
      <x:c r="I163" s="31"/>
      <x:c r="J163" s="31"/>
      <x:c r="K163" s="21"/>
      <x:c r="L163" s="33"/>
      <x:c r="M163" s="27"/>
      <x:c r="N163" s="21"/>
      <x:c r="O163" s="21"/>
      <x:c r="P163" s="21"/>
      <x:c r="Q163" s="21"/>
      <x:c r="R163" s="21"/>
      <x:c r="S163" s="21"/>
      <x:c r="T163" s="21"/>
      <x:c r="U163" s="25"/>
      <x:c r="V163" s="21"/>
    </x:row>
    <x:row r="164">
      <x:c r="A164" s="21"/>
      <x:c r="B164" s="21"/>
      <x:c r="C164" s="21"/>
      <x:c r="D164" s="21"/>
      <x:c r="E164" s="21"/>
      <x:c r="F164" s="21"/>
      <x:c r="G164" s="21"/>
      <x:c r="H164" s="21"/>
      <x:c r="I164" s="31"/>
      <x:c r="J164" s="31"/>
      <x:c r="K164" s="21"/>
      <x:c r="L164" s="33"/>
      <x:c r="M164" s="27"/>
      <x:c r="N164" s="21"/>
      <x:c r="O164" s="21"/>
      <x:c r="P164" s="21"/>
      <x:c r="Q164" s="21"/>
      <x:c r="R164" s="21"/>
      <x:c r="S164" s="21"/>
      <x:c r="T164" s="21"/>
      <x:c r="U164" s="25"/>
      <x:c r="V164" s="21"/>
    </x:row>
    <x:row r="165">
      <x:c r="A165" s="21"/>
      <x:c r="B165" s="21"/>
      <x:c r="C165" s="21"/>
      <x:c r="D165" s="21"/>
      <x:c r="E165" s="21"/>
      <x:c r="F165" s="21"/>
      <x:c r="G165" s="21"/>
      <x:c r="H165" s="21"/>
      <x:c r="I165" s="31"/>
      <x:c r="J165" s="31"/>
      <x:c r="K165" s="21"/>
      <x:c r="L165" s="33"/>
      <x:c r="M165" s="27"/>
      <x:c r="N165" s="21"/>
      <x:c r="O165" s="21"/>
      <x:c r="P165" s="21"/>
      <x:c r="Q165" s="21"/>
      <x:c r="R165" s="21"/>
      <x:c r="S165" s="21"/>
      <x:c r="T165" s="21"/>
      <x:c r="U165" s="25"/>
      <x:c r="V165" s="21"/>
    </x:row>
    <x:row r="166">
      <x:c r="A166" s="21"/>
      <x:c r="B166" s="21"/>
      <x:c r="C166" s="21"/>
      <x:c r="D166" s="21"/>
      <x:c r="E166" s="21"/>
      <x:c r="F166" s="21"/>
      <x:c r="G166" s="21"/>
      <x:c r="H166" s="21"/>
      <x:c r="I166" s="31"/>
      <x:c r="J166" s="31"/>
      <x:c r="K166" s="21"/>
      <x:c r="L166" s="33"/>
      <x:c r="M166" s="27"/>
      <x:c r="N166" s="21"/>
      <x:c r="O166" s="21"/>
      <x:c r="P166" s="21"/>
      <x:c r="Q166" s="21"/>
      <x:c r="R166" s="21"/>
      <x:c r="S166" s="21"/>
      <x:c r="T166" s="21"/>
      <x:c r="U166" s="25"/>
      <x:c r="V166" s="21"/>
    </x:row>
    <x:row r="167">
      <x:c r="A167" s="21"/>
      <x:c r="B167" s="21"/>
      <x:c r="C167" s="21"/>
      <x:c r="D167" s="21"/>
      <x:c r="E167" s="21"/>
      <x:c r="F167" s="21"/>
      <x:c r="G167" s="21"/>
      <x:c r="H167" s="21"/>
      <x:c r="I167" s="31"/>
      <x:c r="J167" s="31"/>
      <x:c r="K167" s="21"/>
      <x:c r="L167" s="33"/>
      <x:c r="M167" s="27"/>
      <x:c r="N167" s="21"/>
      <x:c r="O167" s="21"/>
      <x:c r="P167" s="21"/>
      <x:c r="Q167" s="21"/>
      <x:c r="R167" s="21"/>
      <x:c r="S167" s="21"/>
      <x:c r="T167" s="21"/>
      <x:c r="U167" s="25"/>
      <x:c r="V167" s="21"/>
    </x:row>
    <x:row r="168">
      <x:c r="A168" s="21"/>
      <x:c r="B168" s="21"/>
      <x:c r="C168" s="21"/>
      <x:c r="D168" s="21"/>
      <x:c r="E168" s="21"/>
      <x:c r="F168" s="21"/>
      <x:c r="G168" s="21"/>
      <x:c r="H168" s="21"/>
      <x:c r="I168" s="31"/>
      <x:c r="J168" s="31"/>
      <x:c r="K168" s="21"/>
      <x:c r="L168" s="33"/>
      <x:c r="M168" s="27"/>
      <x:c r="N168" s="21"/>
      <x:c r="O168" s="21"/>
      <x:c r="P168" s="21"/>
      <x:c r="Q168" s="21"/>
      <x:c r="R168" s="21"/>
      <x:c r="S168" s="21"/>
      <x:c r="T168" s="21"/>
      <x:c r="U168" s="25"/>
      <x:c r="V168" s="21"/>
    </x:row>
    <x:row r="169">
      <x:c r="A169" s="21"/>
      <x:c r="B169" s="21"/>
      <x:c r="C169" s="21"/>
      <x:c r="D169" s="21"/>
      <x:c r="E169" s="21"/>
      <x:c r="F169" s="21"/>
      <x:c r="G169" s="21"/>
      <x:c r="H169" s="21"/>
      <x:c r="I169" s="31"/>
      <x:c r="J169" s="31"/>
      <x:c r="K169" s="21"/>
      <x:c r="L169" s="33"/>
      <x:c r="M169" s="27"/>
      <x:c r="N169" s="21"/>
      <x:c r="O169" s="21"/>
      <x:c r="P169" s="21"/>
      <x:c r="Q169" s="21"/>
      <x:c r="R169" s="21"/>
      <x:c r="S169" s="21"/>
      <x:c r="T169" s="21"/>
      <x:c r="U169" s="25"/>
      <x:c r="V169" s="21"/>
    </x:row>
    <x:row r="170">
      <x:c r="A170" s="21"/>
      <x:c r="B170" s="21"/>
      <x:c r="C170" s="21"/>
      <x:c r="D170" s="21"/>
      <x:c r="E170" s="21"/>
      <x:c r="F170" s="21"/>
      <x:c r="G170" s="21"/>
      <x:c r="H170" s="21"/>
      <x:c r="I170" s="31"/>
      <x:c r="J170" s="31"/>
      <x:c r="K170" s="21"/>
      <x:c r="L170" s="33"/>
      <x:c r="M170" s="27"/>
      <x:c r="N170" s="21"/>
      <x:c r="O170" s="21"/>
      <x:c r="P170" s="21"/>
      <x:c r="Q170" s="21"/>
      <x:c r="R170" s="21"/>
      <x:c r="S170" s="21"/>
      <x:c r="T170" s="21"/>
      <x:c r="U170" s="25"/>
      <x:c r="V170" s="21"/>
    </x:row>
    <x:row r="171">
      <x:c r="A171" s="21"/>
      <x:c r="B171" s="21"/>
      <x:c r="C171" s="21"/>
      <x:c r="D171" s="21"/>
      <x:c r="E171" s="21"/>
      <x:c r="F171" s="21"/>
      <x:c r="G171" s="21"/>
      <x:c r="H171" s="21"/>
      <x:c r="I171" s="31"/>
      <x:c r="J171" s="31"/>
      <x:c r="K171" s="21"/>
      <x:c r="L171" s="33"/>
      <x:c r="M171" s="27"/>
      <x:c r="N171" s="21"/>
      <x:c r="O171" s="21"/>
      <x:c r="P171" s="21"/>
      <x:c r="Q171" s="21"/>
      <x:c r="R171" s="21"/>
      <x:c r="S171" s="21"/>
      <x:c r="T171" s="21"/>
      <x:c r="U171" s="25"/>
      <x:c r="V171" s="21"/>
    </x:row>
    <x:row r="172">
      <x:c r="A172" s="21"/>
      <x:c r="B172" s="21"/>
      <x:c r="C172" s="21"/>
      <x:c r="D172" s="21"/>
      <x:c r="E172" s="21"/>
      <x:c r="F172" s="21"/>
      <x:c r="G172" s="21"/>
      <x:c r="H172" s="21"/>
      <x:c r="I172" s="31"/>
      <x:c r="J172" s="31"/>
      <x:c r="K172" s="21"/>
      <x:c r="L172" s="33"/>
      <x:c r="M172" s="27"/>
      <x:c r="N172" s="21"/>
      <x:c r="O172" s="21"/>
      <x:c r="P172" s="21"/>
      <x:c r="Q172" s="21"/>
      <x:c r="R172" s="21"/>
      <x:c r="S172" s="21"/>
      <x:c r="T172" s="21"/>
      <x:c r="U172" s="25"/>
      <x:c r="V172" s="21"/>
    </x:row>
    <x:row r="173">
      <x:c r="A173" s="21"/>
      <x:c r="B173" s="21"/>
      <x:c r="C173" s="21"/>
      <x:c r="D173" s="21"/>
      <x:c r="E173" s="21"/>
      <x:c r="F173" s="21"/>
      <x:c r="G173" s="21"/>
      <x:c r="H173" s="21"/>
      <x:c r="I173" s="31"/>
      <x:c r="J173" s="31"/>
      <x:c r="K173" s="21"/>
      <x:c r="L173" s="33"/>
      <x:c r="M173" s="27"/>
      <x:c r="N173" s="21"/>
      <x:c r="O173" s="21"/>
      <x:c r="P173" s="21"/>
      <x:c r="Q173" s="21"/>
      <x:c r="R173" s="21"/>
      <x:c r="S173" s="21"/>
      <x:c r="T173" s="21"/>
      <x:c r="U173" s="25"/>
      <x:c r="V173" s="21"/>
    </x:row>
    <x:row r="174">
      <x:c r="A174" s="21"/>
      <x:c r="B174" s="21"/>
      <x:c r="C174" s="21"/>
      <x:c r="D174" s="21"/>
      <x:c r="E174" s="21"/>
      <x:c r="F174" s="21"/>
      <x:c r="G174" s="21"/>
      <x:c r="H174" s="21"/>
      <x:c r="I174" s="31"/>
      <x:c r="J174" s="31"/>
      <x:c r="K174" s="21"/>
      <x:c r="L174" s="33"/>
      <x:c r="M174" s="27"/>
      <x:c r="N174" s="21"/>
      <x:c r="O174" s="21"/>
      <x:c r="P174" s="21"/>
      <x:c r="Q174" s="21"/>
      <x:c r="R174" s="21"/>
      <x:c r="S174" s="21"/>
      <x:c r="T174" s="21"/>
      <x:c r="U174" s="25"/>
      <x:c r="V174" s="21"/>
    </x:row>
    <x:row r="175">
      <x:c r="A175" s="21"/>
      <x:c r="B175" s="21"/>
      <x:c r="C175" s="21"/>
      <x:c r="D175" s="21"/>
      <x:c r="E175" s="21"/>
      <x:c r="F175" s="21"/>
      <x:c r="G175" s="21"/>
      <x:c r="H175" s="21"/>
      <x:c r="I175" s="31"/>
      <x:c r="J175" s="31"/>
      <x:c r="K175" s="21"/>
      <x:c r="L175" s="33"/>
      <x:c r="M175" s="27"/>
      <x:c r="N175" s="21"/>
      <x:c r="O175" s="21"/>
      <x:c r="P175" s="21"/>
      <x:c r="Q175" s="21"/>
      <x:c r="R175" s="21"/>
      <x:c r="S175" s="21"/>
      <x:c r="T175" s="21"/>
      <x:c r="U175" s="25"/>
      <x:c r="V175" s="21"/>
    </x:row>
    <x:row r="176">
      <x:c r="A176" s="21"/>
      <x:c r="B176" s="21"/>
      <x:c r="C176" s="21"/>
      <x:c r="D176" s="21"/>
      <x:c r="E176" s="21"/>
      <x:c r="F176" s="21"/>
      <x:c r="G176" s="21"/>
      <x:c r="H176" s="21"/>
      <x:c r="I176" s="31"/>
      <x:c r="J176" s="31"/>
      <x:c r="K176" s="21"/>
      <x:c r="L176" s="33"/>
      <x:c r="M176" s="27"/>
      <x:c r="N176" s="21"/>
      <x:c r="O176" s="21"/>
      <x:c r="P176" s="21"/>
      <x:c r="Q176" s="21"/>
      <x:c r="R176" s="21"/>
      <x:c r="S176" s="21"/>
      <x:c r="T176" s="21"/>
      <x:c r="U176" s="25"/>
      <x:c r="V176" s="21"/>
    </x:row>
    <x:row r="177">
      <x:c r="A177" s="21"/>
      <x:c r="B177" s="21"/>
      <x:c r="C177" s="21"/>
      <x:c r="D177" s="21"/>
      <x:c r="E177" s="21"/>
      <x:c r="F177" s="21"/>
      <x:c r="G177" s="21"/>
      <x:c r="H177" s="21"/>
      <x:c r="I177" s="31"/>
      <x:c r="J177" s="31"/>
      <x:c r="K177" s="21"/>
      <x:c r="L177" s="33"/>
      <x:c r="M177" s="27"/>
      <x:c r="N177" s="21"/>
      <x:c r="O177" s="21"/>
      <x:c r="P177" s="21"/>
      <x:c r="Q177" s="21"/>
      <x:c r="R177" s="21"/>
      <x:c r="S177" s="21"/>
      <x:c r="T177" s="21"/>
      <x:c r="U177" s="25"/>
      <x:c r="V177" s="21"/>
    </x:row>
    <x:row r="178">
      <x:c r="A178" s="21"/>
      <x:c r="B178" s="21"/>
      <x:c r="C178" s="21"/>
      <x:c r="D178" s="21"/>
      <x:c r="E178" s="21"/>
      <x:c r="F178" s="21"/>
      <x:c r="G178" s="21"/>
      <x:c r="H178" s="21"/>
      <x:c r="I178" s="31"/>
      <x:c r="J178" s="31"/>
      <x:c r="K178" s="21"/>
      <x:c r="L178" s="33"/>
      <x:c r="M178" s="27"/>
      <x:c r="N178" s="21"/>
      <x:c r="O178" s="21"/>
      <x:c r="P178" s="21"/>
      <x:c r="Q178" s="21"/>
      <x:c r="R178" s="21"/>
      <x:c r="S178" s="21"/>
      <x:c r="T178" s="21"/>
      <x:c r="U178" s="25"/>
      <x:c r="V178" s="21"/>
    </x:row>
    <x:row r="179">
      <x:c r="A179" s="21"/>
      <x:c r="B179" s="21"/>
      <x:c r="C179" s="21"/>
      <x:c r="D179" s="21"/>
      <x:c r="E179" s="21"/>
      <x:c r="F179" s="21"/>
      <x:c r="G179" s="21"/>
      <x:c r="H179" s="21"/>
      <x:c r="I179" s="31"/>
      <x:c r="J179" s="31"/>
      <x:c r="K179" s="21"/>
      <x:c r="L179" s="33"/>
      <x:c r="M179" s="27"/>
      <x:c r="N179" s="21"/>
      <x:c r="O179" s="21"/>
      <x:c r="P179" s="21"/>
      <x:c r="Q179" s="21"/>
      <x:c r="R179" s="21"/>
      <x:c r="S179" s="21"/>
      <x:c r="T179" s="21"/>
      <x:c r="U179" s="25"/>
      <x:c r="V179" s="21"/>
    </x:row>
    <x:row r="180">
      <x:c r="A180" s="21"/>
      <x:c r="B180" s="21"/>
      <x:c r="C180" s="21"/>
      <x:c r="D180" s="21"/>
      <x:c r="E180" s="21"/>
      <x:c r="F180" s="21"/>
      <x:c r="G180" s="21"/>
      <x:c r="H180" s="21"/>
      <x:c r="I180" s="31"/>
      <x:c r="J180" s="31"/>
      <x:c r="K180" s="21"/>
      <x:c r="L180" s="33"/>
      <x:c r="M180" s="27"/>
      <x:c r="N180" s="21"/>
      <x:c r="O180" s="21"/>
      <x:c r="P180" s="21"/>
      <x:c r="Q180" s="21"/>
      <x:c r="R180" s="21"/>
      <x:c r="S180" s="21"/>
      <x:c r="T180" s="21"/>
      <x:c r="U180" s="25"/>
      <x:c r="V180" s="21"/>
    </x:row>
    <x:row r="181">
      <x:c r="A181" s="21"/>
      <x:c r="B181" s="21"/>
      <x:c r="C181" s="21"/>
      <x:c r="D181" s="21"/>
      <x:c r="E181" s="21"/>
      <x:c r="F181" s="21"/>
      <x:c r="G181" s="21"/>
      <x:c r="H181" s="21"/>
      <x:c r="I181" s="31"/>
      <x:c r="J181" s="31"/>
      <x:c r="K181" s="21"/>
      <x:c r="L181" s="33"/>
      <x:c r="M181" s="27"/>
      <x:c r="N181" s="21"/>
      <x:c r="O181" s="21"/>
      <x:c r="P181" s="21"/>
      <x:c r="Q181" s="21"/>
      <x:c r="R181" s="21"/>
      <x:c r="S181" s="21"/>
      <x:c r="T181" s="21"/>
      <x:c r="U181" s="25"/>
      <x:c r="V181" s="21"/>
    </x:row>
    <x:row r="182">
      <x:c r="A182" s="21"/>
      <x:c r="B182" s="21"/>
      <x:c r="C182" s="21"/>
      <x:c r="D182" s="21"/>
      <x:c r="E182" s="21"/>
      <x:c r="F182" s="21"/>
      <x:c r="G182" s="21"/>
      <x:c r="H182" s="21"/>
      <x:c r="I182" s="31"/>
      <x:c r="J182" s="31"/>
      <x:c r="K182" s="21"/>
      <x:c r="L182" s="33"/>
      <x:c r="M182" s="27"/>
      <x:c r="N182" s="21"/>
      <x:c r="O182" s="21"/>
      <x:c r="P182" s="21"/>
      <x:c r="Q182" s="21"/>
      <x:c r="R182" s="21"/>
      <x:c r="S182" s="21"/>
      <x:c r="T182" s="21"/>
      <x:c r="U182" s="25"/>
      <x:c r="V182" s="21"/>
    </x:row>
    <x:row r="183">
      <x:c r="A183" s="21"/>
      <x:c r="B183" s="21"/>
      <x:c r="C183" s="21"/>
      <x:c r="D183" s="21"/>
      <x:c r="E183" s="21"/>
      <x:c r="F183" s="21"/>
      <x:c r="G183" s="21"/>
      <x:c r="H183" s="21"/>
      <x:c r="I183" s="31"/>
      <x:c r="J183" s="31"/>
      <x:c r="K183" s="21"/>
      <x:c r="L183" s="33"/>
      <x:c r="M183" s="27"/>
      <x:c r="N183" s="21"/>
      <x:c r="O183" s="21"/>
      <x:c r="P183" s="21"/>
      <x:c r="Q183" s="21"/>
      <x:c r="R183" s="21"/>
      <x:c r="S183" s="21"/>
      <x:c r="T183" s="21"/>
      <x:c r="U183" s="25"/>
      <x:c r="V183" s="21"/>
    </x:row>
    <x:row r="184">
      <x:c r="A184" s="21"/>
      <x:c r="B184" s="21"/>
      <x:c r="C184" s="21"/>
      <x:c r="D184" s="21"/>
      <x:c r="E184" s="21"/>
      <x:c r="F184" s="21"/>
      <x:c r="G184" s="21"/>
      <x:c r="H184" s="21"/>
      <x:c r="I184" s="31"/>
      <x:c r="J184" s="31"/>
      <x:c r="K184" s="21"/>
      <x:c r="L184" s="33"/>
      <x:c r="M184" s="27"/>
      <x:c r="N184" s="21"/>
      <x:c r="O184" s="21"/>
      <x:c r="P184" s="21"/>
      <x:c r="Q184" s="21"/>
      <x:c r="R184" s="21"/>
      <x:c r="S184" s="21"/>
      <x:c r="T184" s="21"/>
      <x:c r="U184" s="25"/>
      <x:c r="V184" s="21"/>
    </x:row>
    <x:row r="185">
      <x:c r="A185" s="21"/>
      <x:c r="B185" s="21"/>
      <x:c r="C185" s="21"/>
      <x:c r="D185" s="21"/>
      <x:c r="E185" s="21"/>
      <x:c r="F185" s="21"/>
      <x:c r="G185" s="21"/>
      <x:c r="H185" s="21"/>
      <x:c r="I185" s="31"/>
      <x:c r="J185" s="31"/>
      <x:c r="K185" s="21"/>
      <x:c r="L185" s="33"/>
      <x:c r="M185" s="27"/>
      <x:c r="N185" s="21"/>
      <x:c r="O185" s="21"/>
      <x:c r="P185" s="21"/>
      <x:c r="Q185" s="21"/>
      <x:c r="R185" s="21"/>
      <x:c r="S185" s="21"/>
      <x:c r="T185" s="21"/>
      <x:c r="U185" s="25"/>
      <x:c r="V185" s="21"/>
    </x:row>
    <x:row r="186">
      <x:c r="A186" s="21"/>
      <x:c r="B186" s="21"/>
      <x:c r="C186" s="21"/>
      <x:c r="D186" s="21"/>
      <x:c r="E186" s="21"/>
      <x:c r="F186" s="21"/>
      <x:c r="G186" s="21"/>
      <x:c r="H186" s="21"/>
      <x:c r="I186" s="31"/>
      <x:c r="J186" s="31"/>
      <x:c r="K186" s="21"/>
      <x:c r="L186" s="33"/>
      <x:c r="M186" s="27"/>
      <x:c r="N186" s="21"/>
      <x:c r="O186" s="21"/>
      <x:c r="P186" s="21"/>
      <x:c r="Q186" s="21"/>
      <x:c r="R186" s="21"/>
      <x:c r="S186" s="21"/>
      <x:c r="T186" s="21"/>
      <x:c r="U186" s="25"/>
      <x:c r="V186" s="21"/>
    </x:row>
    <x:row r="187">
      <x:c r="A187" s="21"/>
      <x:c r="B187" s="21"/>
      <x:c r="C187" s="21"/>
      <x:c r="D187" s="21"/>
      <x:c r="E187" s="21"/>
      <x:c r="F187" s="21"/>
      <x:c r="G187" s="21"/>
      <x:c r="H187" s="21"/>
      <x:c r="I187" s="31"/>
      <x:c r="J187" s="31"/>
      <x:c r="K187" s="21"/>
      <x:c r="L187" s="33"/>
      <x:c r="M187" s="27"/>
      <x:c r="N187" s="21"/>
      <x:c r="O187" s="21"/>
      <x:c r="P187" s="21"/>
      <x:c r="Q187" s="21"/>
      <x:c r="R187" s="21"/>
      <x:c r="S187" s="21"/>
      <x:c r="T187" s="21"/>
      <x:c r="U187" s="25"/>
      <x:c r="V187" s="21"/>
    </x:row>
    <x:row r="188">
      <x:c r="A188" s="21"/>
      <x:c r="B188" s="21"/>
      <x:c r="C188" s="21"/>
      <x:c r="D188" s="21"/>
      <x:c r="E188" s="21"/>
      <x:c r="F188" s="21"/>
      <x:c r="G188" s="21"/>
      <x:c r="H188" s="21"/>
      <x:c r="I188" s="31"/>
      <x:c r="J188" s="31"/>
      <x:c r="K188" s="21"/>
      <x:c r="L188" s="33"/>
      <x:c r="M188" s="27"/>
      <x:c r="N188" s="21"/>
      <x:c r="O188" s="21"/>
      <x:c r="P188" s="21"/>
      <x:c r="Q188" s="21"/>
      <x:c r="R188" s="21"/>
      <x:c r="S188" s="21"/>
      <x:c r="T188" s="21"/>
      <x:c r="U188" s="25"/>
      <x:c r="V188" s="21"/>
    </x:row>
    <x:row r="189">
      <x:c r="A189" s="21"/>
      <x:c r="B189" s="21"/>
      <x:c r="C189" s="21"/>
      <x:c r="D189" s="21"/>
      <x:c r="E189" s="21"/>
      <x:c r="F189" s="21"/>
      <x:c r="G189" s="21"/>
      <x:c r="H189" s="21"/>
      <x:c r="I189" s="31"/>
      <x:c r="J189" s="31"/>
      <x:c r="K189" s="21"/>
      <x:c r="L189" s="33"/>
      <x:c r="M189" s="27"/>
      <x:c r="N189" s="21"/>
      <x:c r="O189" s="21"/>
      <x:c r="P189" s="21"/>
      <x:c r="Q189" s="21"/>
      <x:c r="R189" s="21"/>
      <x:c r="S189" s="21"/>
      <x:c r="T189" s="21"/>
      <x:c r="U189" s="25"/>
      <x:c r="V189" s="21"/>
    </x:row>
    <x:row r="190">
      <x:c r="A190" s="21"/>
      <x:c r="B190" s="21"/>
      <x:c r="C190" s="21"/>
      <x:c r="D190" s="21"/>
      <x:c r="E190" s="21"/>
      <x:c r="F190" s="21"/>
      <x:c r="G190" s="21"/>
      <x:c r="H190" s="21"/>
      <x:c r="I190" s="31"/>
      <x:c r="J190" s="31"/>
      <x:c r="K190" s="21"/>
      <x:c r="L190" s="33"/>
      <x:c r="M190" s="27"/>
      <x:c r="N190" s="21"/>
      <x:c r="O190" s="21"/>
      <x:c r="P190" s="21"/>
      <x:c r="Q190" s="21"/>
      <x:c r="R190" s="21"/>
      <x:c r="S190" s="21"/>
      <x:c r="T190" s="21"/>
      <x:c r="U190" s="25"/>
      <x:c r="V190" s="21"/>
    </x:row>
    <x:row r="191">
      <x:c r="A191" s="21"/>
      <x:c r="B191" s="21"/>
      <x:c r="C191" s="21"/>
      <x:c r="D191" s="21"/>
      <x:c r="E191" s="21"/>
      <x:c r="F191" s="21"/>
      <x:c r="G191" s="21"/>
      <x:c r="H191" s="21"/>
      <x:c r="I191" s="31"/>
      <x:c r="J191" s="31"/>
      <x:c r="K191" s="21"/>
      <x:c r="L191" s="33"/>
      <x:c r="M191" s="27"/>
      <x:c r="N191" s="21"/>
      <x:c r="O191" s="21"/>
      <x:c r="P191" s="21"/>
      <x:c r="Q191" s="21"/>
      <x:c r="R191" s="21"/>
      <x:c r="S191" s="21"/>
      <x:c r="T191" s="21"/>
      <x:c r="U191" s="25"/>
      <x:c r="V191" s="21"/>
    </x:row>
    <x:row r="192">
      <x:c r="A192" s="21"/>
      <x:c r="B192" s="21"/>
      <x:c r="C192" s="21"/>
      <x:c r="D192" s="21"/>
      <x:c r="E192" s="21"/>
      <x:c r="F192" s="21"/>
      <x:c r="G192" s="21"/>
      <x:c r="H192" s="21"/>
      <x:c r="I192" s="31"/>
      <x:c r="J192" s="31"/>
      <x:c r="K192" s="21"/>
      <x:c r="L192" s="33"/>
      <x:c r="M192" s="27"/>
      <x:c r="N192" s="21"/>
      <x:c r="O192" s="21"/>
      <x:c r="P192" s="21"/>
      <x:c r="Q192" s="21"/>
      <x:c r="R192" s="21"/>
      <x:c r="S192" s="21"/>
      <x:c r="T192" s="21"/>
      <x:c r="U192" s="25"/>
      <x:c r="V192" s="21"/>
    </x:row>
    <x:row r="193">
      <x:c r="A193" s="21"/>
      <x:c r="B193" s="21"/>
      <x:c r="C193" s="21"/>
      <x:c r="D193" s="21"/>
      <x:c r="E193" s="21"/>
      <x:c r="F193" s="21"/>
      <x:c r="G193" s="21"/>
      <x:c r="H193" s="21"/>
      <x:c r="I193" s="31"/>
      <x:c r="J193" s="31"/>
      <x:c r="K193" s="21"/>
      <x:c r="L193" s="33"/>
      <x:c r="M193" s="27"/>
      <x:c r="N193" s="21"/>
      <x:c r="O193" s="21"/>
      <x:c r="P193" s="21"/>
      <x:c r="Q193" s="21"/>
      <x:c r="R193" s="21"/>
      <x:c r="S193" s="21"/>
      <x:c r="T193" s="21"/>
      <x:c r="U193" s="25"/>
      <x:c r="V193" s="21"/>
    </x:row>
    <x:row r="194">
      <x:c r="A194" s="21"/>
      <x:c r="B194" s="21"/>
      <x:c r="C194" s="21"/>
      <x:c r="D194" s="21"/>
      <x:c r="E194" s="21"/>
      <x:c r="F194" s="21"/>
      <x:c r="G194" s="21"/>
      <x:c r="H194" s="21"/>
      <x:c r="I194" s="31"/>
      <x:c r="J194" s="31"/>
      <x:c r="K194" s="21"/>
      <x:c r="L194" s="33"/>
      <x:c r="M194" s="27"/>
      <x:c r="N194" s="21"/>
      <x:c r="O194" s="21"/>
      <x:c r="P194" s="21"/>
      <x:c r="Q194" s="21"/>
      <x:c r="R194" s="21"/>
      <x:c r="S194" s="21"/>
      <x:c r="T194" s="21"/>
      <x:c r="U194" s="25"/>
      <x:c r="V194" s="21"/>
    </x:row>
    <x:row r="195">
      <x:c r="A195" s="21"/>
      <x:c r="B195" s="21"/>
      <x:c r="C195" s="21"/>
      <x:c r="D195" s="21"/>
      <x:c r="E195" s="21"/>
      <x:c r="F195" s="21"/>
      <x:c r="G195" s="21"/>
      <x:c r="H195" s="21"/>
      <x:c r="I195" s="31"/>
      <x:c r="J195" s="31"/>
      <x:c r="K195" s="21"/>
      <x:c r="L195" s="33"/>
      <x:c r="M195" s="27"/>
      <x:c r="N195" s="21"/>
      <x:c r="O195" s="21"/>
      <x:c r="P195" s="21"/>
      <x:c r="Q195" s="21"/>
      <x:c r="R195" s="21"/>
      <x:c r="S195" s="21"/>
      <x:c r="T195" s="21"/>
      <x:c r="U195" s="25"/>
      <x:c r="V195" s="21"/>
    </x:row>
    <x:row r="196">
      <x:c r="A196" s="21"/>
      <x:c r="B196" s="21"/>
      <x:c r="C196" s="21"/>
      <x:c r="D196" s="21"/>
      <x:c r="E196" s="21"/>
      <x:c r="F196" s="21"/>
      <x:c r="G196" s="21"/>
      <x:c r="H196" s="21"/>
      <x:c r="I196" s="31"/>
      <x:c r="J196" s="31"/>
      <x:c r="K196" s="21"/>
      <x:c r="L196" s="33"/>
      <x:c r="M196" s="27"/>
      <x:c r="N196" s="21"/>
      <x:c r="O196" s="21"/>
      <x:c r="P196" s="21"/>
      <x:c r="Q196" s="21"/>
      <x:c r="R196" s="21"/>
      <x:c r="S196" s="21"/>
      <x:c r="T196" s="21"/>
      <x:c r="U196" s="25"/>
      <x:c r="V196" s="21"/>
    </x:row>
    <x:row r="197">
      <x:c r="A197" s="21"/>
      <x:c r="B197" s="21"/>
      <x:c r="C197" s="21"/>
      <x:c r="D197" s="21"/>
      <x:c r="E197" s="21"/>
      <x:c r="F197" s="21"/>
      <x:c r="G197" s="21"/>
      <x:c r="H197" s="21"/>
      <x:c r="I197" s="31"/>
      <x:c r="J197" s="31"/>
      <x:c r="K197" s="21"/>
      <x:c r="L197" s="33"/>
      <x:c r="M197" s="27"/>
      <x:c r="N197" s="21"/>
      <x:c r="O197" s="21"/>
      <x:c r="P197" s="21"/>
      <x:c r="Q197" s="21"/>
      <x:c r="R197" s="21"/>
      <x:c r="S197" s="21"/>
      <x:c r="T197" s="21"/>
      <x:c r="U197" s="25"/>
      <x:c r="V197" s="21"/>
    </x:row>
    <x:row r="198">
      <x:c r="A198" s="21"/>
      <x:c r="B198" s="21"/>
      <x:c r="C198" s="21"/>
      <x:c r="D198" s="21"/>
      <x:c r="E198" s="21"/>
      <x:c r="F198" s="21"/>
      <x:c r="G198" s="21"/>
      <x:c r="H198" s="21"/>
      <x:c r="I198" s="31"/>
      <x:c r="J198" s="31"/>
      <x:c r="K198" s="21"/>
      <x:c r="L198" s="33"/>
      <x:c r="M198" s="27"/>
      <x:c r="N198" s="21"/>
      <x:c r="O198" s="21"/>
      <x:c r="P198" s="21"/>
      <x:c r="Q198" s="21"/>
      <x:c r="R198" s="21"/>
      <x:c r="S198" s="21"/>
      <x:c r="T198" s="21"/>
      <x:c r="U198" s="25"/>
      <x:c r="V198" s="21"/>
    </x:row>
    <x:row r="199">
      <x:c r="A199" s="21"/>
      <x:c r="B199" s="21"/>
      <x:c r="C199" s="21"/>
      <x:c r="D199" s="21"/>
      <x:c r="E199" s="21"/>
      <x:c r="F199" s="21"/>
      <x:c r="G199" s="21"/>
      <x:c r="H199" s="21"/>
      <x:c r="I199" s="31"/>
      <x:c r="J199" s="31"/>
      <x:c r="K199" s="21"/>
      <x:c r="L199" s="33"/>
      <x:c r="M199" s="27"/>
      <x:c r="N199" s="21"/>
      <x:c r="O199" s="21"/>
      <x:c r="P199" s="21"/>
      <x:c r="Q199" s="21"/>
      <x:c r="R199" s="21"/>
      <x:c r="S199" s="21"/>
      <x:c r="T199" s="21"/>
      <x:c r="U199" s="25"/>
      <x:c r="V199" s="21"/>
    </x:row>
    <x:row r="200">
      <x:c r="A200" s="21"/>
      <x:c r="B200" s="21"/>
      <x:c r="C200" s="21"/>
      <x:c r="D200" s="21"/>
      <x:c r="E200" s="21"/>
      <x:c r="F200" s="21"/>
      <x:c r="G200" s="21"/>
      <x:c r="H200" s="21"/>
      <x:c r="I200" s="31"/>
      <x:c r="J200" s="31"/>
      <x:c r="K200" s="21"/>
      <x:c r="L200" s="33"/>
      <x:c r="M200" s="27"/>
      <x:c r="N200" s="21"/>
      <x:c r="O200" s="21"/>
      <x:c r="P200" s="21"/>
      <x:c r="Q200" s="21"/>
      <x:c r="R200" s="21"/>
      <x:c r="S200" s="21"/>
      <x:c r="T200" s="21"/>
      <x:c r="U200" s="25"/>
      <x:c r="V200" s="21"/>
    </x:row>
    <x:row r="201">
      <x:c r="A201" s="21"/>
      <x:c r="B201" s="21"/>
      <x:c r="C201" s="21"/>
      <x:c r="D201" s="21"/>
      <x:c r="E201" s="21"/>
      <x:c r="F201" s="21"/>
      <x:c r="G201" s="21"/>
      <x:c r="H201" s="21"/>
      <x:c r="I201" s="31"/>
      <x:c r="J201" s="31"/>
      <x:c r="K201" s="21"/>
      <x:c r="L201" s="33"/>
      <x:c r="M201" s="27"/>
      <x:c r="N201" s="21"/>
      <x:c r="O201" s="21"/>
      <x:c r="P201" s="21"/>
      <x:c r="Q201" s="21"/>
      <x:c r="R201" s="21"/>
      <x:c r="S201" s="21"/>
      <x:c r="T201" s="21"/>
      <x:c r="U201" s="25"/>
      <x:c r="V201" s="21"/>
    </x:row>
  </x:sheetData>
  <x:dataValidations count="2">
    <x:dataValidation type="list" sqref="F2:F201">
      <x:formula1>"Awareness Competitor,Price Competitor,Function / Ingredient Competitor,U.S. Local Competitor,TikTok Comparison,Amazon Comparison,Reddit Comparison"</x:formula1>
    </x:dataValidation>
    <x:dataValidation type="list" sqref="S2:S201">
      <x:formula1>"High,Medium,Low"</x:formula1>
    </x:dataValidation>
  </x:dataValidations>
  <x:pageMargins left="0.7" right="0.7" top="0.75" bottom="0.75" header="0.3" footer="0.3"/>
  <x:tableParts count="1">
    <x:tablePart xmlns:r="http://schemas.openxmlformats.org/officeDocument/2006/relationships" r:id="Rc695ba7bed2b46e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8" hidden="0" customWidth="1"/>
    <x:col min="5" max="5" width="40" hidden="0" customWidth="1"/>
    <x:col min="6" max="6" width="14" hidden="0" customWidth="1"/>
    <x:col min="7" max="7" width="14" hidden="0" customWidth="1"/>
    <x:col min="8" max="8" width="12" hidden="0" customWidth="1"/>
    <x:col min="9" max="9" width="16" hidden="0" customWidth="1"/>
    <x:col min="10" max="10" width="16" hidden="0" customWidth="1"/>
    <x:col min="11" max="11" width="16" hidden="0" customWidth="1"/>
    <x:col min="12" max="12" width="38" hidden="0" customWidth="1"/>
    <x:col min="13" max="13" width="38" hidden="0" customWidth="1"/>
    <x:col min="14" max="14" width="38" hidden="0" customWidth="1"/>
    <x:col min="15" max="15" width="3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s>
  <x:sheetData>
    <x:row r="1">
      <x:c r="A1" s="14" t="str">
        <x:v>Review_ID</x:v>
      </x:c>
      <x:c r="B1" s="14" t="str">
        <x:v>Brand_ID</x:v>
      </x:c>
      <x:c r="C1" s="14" t="str">
        <x:v>Product_ID</x:v>
      </x:c>
      <x:c r="D1" s="14" t="str">
        <x:v>Platform</x:v>
      </x:c>
      <x:c r="E1" s="14" t="str">
        <x:v>Post / Product URL</x:v>
      </x:c>
      <x:c r="F1" s="14" t="str">
        <x:v>Post / Review Date</x:v>
      </x:c>
      <x:c r="G1" s="14" t="str">
        <x:v>Check Date</x:v>
      </x:c>
      <x:c r="H1" s="14" t="str">
        <x:v>Sample Size</x:v>
      </x:c>
      <x:c r="I1" s="14" t="str">
        <x:v>Verified Purchase</x:v>
      </x:c>
      <x:c r="J1" s="14" t="str">
        <x:v>Sponsorship Risk</x:v>
      </x:c>
      <x:c r="K1" s="14" t="str">
        <x:v>Sentiment</x:v>
      </x:c>
      <x:c r="L1" s="14" t="str">
        <x:v>Key Theme</x:v>
      </x:c>
      <x:c r="M1" s="14" t="str">
        <x:v>Consumer Statement Summary</x:v>
      </x:c>
      <x:c r="N1" s="14" t="str">
        <x:v>Positive Content</x:v>
      </x:c>
      <x:c r="O1" s="14" t="str">
        <x:v>Negative Content</x:v>
      </x:c>
      <x:c r="P1" s="14" t="str">
        <x:v>Skin Type</x:v>
      </x:c>
      <x:c r="Q1" s="14" t="str">
        <x:v>Repurchase Signal</x:v>
      </x:c>
      <x:c r="R1" s="14" t="str">
        <x:v>Competitor Mention</x:v>
      </x:c>
      <x:c r="S1" s="14" t="str">
        <x:v>U.S. Consumer</x:v>
      </x:c>
      <x:c r="T1" s="14" t="str">
        <x:v>Confidence</x:v>
      </x:c>
      <x:c r="U1" s="14" t="str">
        <x:v>Source_ID</x:v>
      </x:c>
      <x:c r="V1" s="14" t="str">
        <x:v>Notes</x:v>
      </x:c>
    </x:row>
    <x:row r="2" ht="92" customHeight="1">
      <x:c r="A2" s="20" t="str">
        <x:v>REV-COSRX-001</x:v>
      </x:c>
      <x:c r="B2" s="20" t="str">
        <x:v>KB001</x:v>
      </x:c>
      <x:c r="C2" s="20" t="str">
        <x:v>COSRX-P001</x:v>
      </x:c>
      <x:c r="D2" s="20" t="str">
        <x:v>Ulta</x:v>
      </x:c>
      <x:c r="E2" s="20" t="str">
        <x:v>https://www.ulta.com/p/advanced-snail-96-mucin-power-essence-xlsImpprod15641052?sku=2504912</x:v>
      </x:c>
      <x:c r="F2" s="24"/>
      <x:c r="G2" s="24" t="str">
        <x:v>2026-07-29</x:v>
      </x:c>
      <x:c r="H2" s="32" t="n">
        <x:v>4064</x:v>
      </x:c>
      <x:c r="I2" s="20" t="str">
        <x:v>Mixed / not individually audited</x:v>
      </x:c>
      <x:c r="J2" s="20" t="str">
        <x:v>Retailer reviews may include incentives; individual disclosures vary</x:v>
      </x:c>
      <x:c r="K2" s="20" t="str">
        <x:v>Mostly Positive</x:v>
      </x:c>
      <x:c r="L2" s="20" t="str">
        <x:v>Hydration, glow and texture versus stickiness/breakouts</x:v>
      </x:c>
      <x:c r="M2" s="20" t="str">
        <x:v>Retailer sample is strongly positive overall but not universal.</x:v>
      </x:c>
      <x:c r="N2" s="20" t="str">
        <x:v>Hydrating, plumping, glowy, repeat-purchase and layers under moisturizer.</x:v>
      </x:c>
      <x:c r="O2" s="20" t="str">
        <x:v>Sticky for 20–30 minutes for some; isolated forehead breakout and no-effect reports.</x:v>
      </x:c>
      <x:c r="P2" s="20" t="str">
        <x:v>Mixed</x:v>
      </x:c>
      <x:c r="Q2" s="20" t="str">
        <x:v>Strong positive signal</x:v>
      </x:c>
      <x:c r="R2" s="20" t="str">
        <x:v>Peach Slices and other snail products appear in comparison discussions</x:v>
      </x:c>
      <x:c r="S2" s="20" t="str">
        <x:v>Yes / U.S. retailer</x:v>
      </x:c>
      <x:c r="T2" s="20" t="str">
        <x:v>High</x:v>
      </x:c>
      <x:c r="U2" s="20" t="str">
        <x:v>SRC-COSRX-026</x:v>
      </x:c>
      <x:c r="V2" s="20" t="str">
        <x:v>Aggregate summary; no verbatim consumer quote stored.</x:v>
      </x:c>
    </x:row>
    <x:row r="3" ht="92" customHeight="1">
      <x:c r="A3" s="21" t="str">
        <x:v>REV-COSRX-002</x:v>
      </x:c>
      <x:c r="B3" s="21" t="str">
        <x:v>KB001</x:v>
      </x:c>
      <x:c r="C3" s="21" t="str">
        <x:v>COSRX-P002</x:v>
      </x:c>
      <x:c r="D3" s="21" t="str">
        <x:v>Ulta</x:v>
      </x:c>
      <x:c r="E3" s="21" t="str">
        <x:v>https://www.ulta.com/p/acne-pimple-master-patch-original-care-xlsImpprod16661021</x:v>
      </x:c>
      <x:c r="F3" s="25"/>
      <x:c r="G3" s="25" t="str">
        <x:v>2026-07-29</x:v>
      </x:c>
      <x:c r="H3" s="33" t="n">
        <x:v>722</x:v>
      </x:c>
      <x:c r="I3" s="21" t="str">
        <x:v>Mixed / not individually audited</x:v>
      </x:c>
      <x:c r="J3" s="21" t="str">
        <x:v>Retailer reviews may include incentives; individual disclosures vary</x:v>
      </x:c>
      <x:c r="K3" s="21" t="str">
        <x:v>Mostly Positive</x:v>
      </x:c>
      <x:c r="L3" s="21" t="str">
        <x:v>Surface-blemish effectiveness versus visibility/adhesion</x:v>
      </x:c>
      <x:c r="M3" s="21" t="str">
        <x:v>Strong use-case fit when blemish type is appropriate.</x:v>
      </x:c>
      <x:c r="N3" s="21" t="str">
        <x:v>Easy, protective and effective on weeping/whitehead lesions.</x:v>
      </x:c>
      <x:c r="O3" s="21" t="str">
        <x:v>Thick/visible; size mix and adhesion complaints; weaker on deep/cystic pimples.</x:v>
      </x:c>
      <x:c r="P3" s="21" t="str">
        <x:v>Acne-prone</x:v>
      </x:c>
      <x:c r="Q3" s="21" t="str">
        <x:v>Positive</x:v>
      </x:c>
      <x:c r="R3" s="21" t="str">
        <x:v>Hero Cosmetics Mighty Patch</x:v>
      </x:c>
      <x:c r="S3" s="21" t="str">
        <x:v>Yes / U.S. retailer</x:v>
      </x:c>
      <x:c r="T3" s="21" t="str">
        <x:v>High</x:v>
      </x:c>
      <x:c r="U3" s="21" t="str">
        <x:v>SRC-COSRX-027</x:v>
      </x:c>
      <x:c r="V3" s="21" t="str">
        <x:v>Claims wording must remain cosmetic-safe unless substantiated/classified.</x:v>
      </x:c>
    </x:row>
    <x:row r="4" ht="92" customHeight="1">
      <x:c r="A4" s="21" t="str">
        <x:v>REV-COSRX-003</x:v>
      </x:c>
      <x:c r="B4" s="21" t="str">
        <x:v>KB001</x:v>
      </x:c>
      <x:c r="C4" s="21" t="str">
        <x:v>COSRX-P003</x:v>
      </x:c>
      <x:c r="D4" s="21" t="str">
        <x:v>Ulta</x:v>
      </x:c>
      <x:c r="E4" s="21" t="str">
        <x:v>https://www.ulta.com/p/low-ph-good-morning-gel-cleanser-xlsImpprod16661017</x:v>
      </x:c>
      <x:c r="F4" s="25"/>
      <x:c r="G4" s="25" t="str">
        <x:v>2026-07-29</x:v>
      </x:c>
      <x:c r="H4" s="33" t="n">
        <x:v>191</x:v>
      </x:c>
      <x:c r="I4" s="21" t="str">
        <x:v>Mixed / not individually audited</x:v>
      </x:c>
      <x:c r="J4" s="21" t="str">
        <x:v>Retailer reviews may include incentives; individual disclosures vary</x:v>
      </x:c>
      <x:c r="K4" s="21" t="str">
        <x:v>Mixed Positive</x:v>
      </x:c>
      <x:c r="L4" s="21" t="str">
        <x:v>Gentle daily cleansing/value versus scent/dryness</x:v>
      </x:c>
      <x:c r="M4" s="21" t="str">
        <x:v>Rating is positive but lower than other sampled heroes.</x:v>
      </x:c>
      <x:c r="N4" s="21" t="str">
        <x:v>Gentle clean feel, affordability and routine compatibility.</x:v>
      </x:c>
      <x:c r="O4" s="21" t="str">
        <x:v>Does not fully remove makeup for some; tea-tree/chemical smell; dryness/stripping for some.</x:v>
      </x:c>
      <x:c r="P4" s="21" t="str">
        <x:v>Combination / oily / sensitive mixed</x:v>
      </x:c>
      <x:c r="Q4" s="21" t="str">
        <x:v>Moderate positive</x:v>
      </x:c>
      <x:c r="R4" s="21" t="str">
        <x:v>CeraVe and other gentle cleansers</x:v>
      </x:c>
      <x:c r="S4" s="21" t="str">
        <x:v>Yes / U.S. retailer</x:v>
      </x:c>
      <x:c r="T4" s="21" t="str">
        <x:v>Medium-High</x:v>
      </x:c>
      <x:c r="U4" s="21" t="str">
        <x:v>SRC-COSRX-028</x:v>
      </x:c>
      <x:c r="V4" s="21" t="str">
        <x:v>Use a makeup-removing first cleanse where needed.</x:v>
      </x:c>
    </x:row>
    <x:row r="5" ht="92" customHeight="1">
      <x:c r="A5" s="21" t="str">
        <x:v>REV-COSRX-004</x:v>
      </x:c>
      <x:c r="B5" s="21" t="str">
        <x:v>KB001</x:v>
      </x:c>
      <x:c r="C5" s="21" t="str">
        <x:v>COSRX-P004</x:v>
      </x:c>
      <x:c r="D5" s="21" t="str">
        <x:v>Ulta</x:v>
      </x:c>
      <x:c r="E5" s="21" t="str">
        <x:v>https://www.ulta.com/p/6-peptide-skin-booster-serum-with-niacinamide-hyaluronic-acid-pimprod2042968</x:v>
      </x:c>
      <x:c r="F5" s="25"/>
      <x:c r="G5" s="25" t="str">
        <x:v>2026-07-29</x:v>
      </x:c>
      <x:c r="H5" s="33" t="n">
        <x:v>5336</x:v>
      </x:c>
      <x:c r="I5" s="21" t="str">
        <x:v>Mixed / not individually audited</x:v>
      </x:c>
      <x:c r="J5" s="21" t="str">
        <x:v>Retailer reviews may include incentives; individual disclosures vary</x:v>
      </x:c>
      <x:c r="K5" s="21" t="str">
        <x:v>Mostly Positive</x:v>
      </x:c>
      <x:c r="L5" s="21" t="str">
        <x:v>Lightweight layering, glow and value versus breakout/limited moisture</x:v>
      </x:c>
      <x:c r="M5" s="21" t="str">
        <x:v>Large retailer review base supports broad trial.</x:v>
      </x:c>
      <x:c r="N5" s="21" t="str">
        <x:v>Lightweight, absorbs easily, layers well, generous size/value.</x:v>
      </x:c>
      <x:c r="O5" s="21" t="str">
        <x:v>Some breakouts or limited visible effect; insufficient as a stand-alone moisturizer for dry skin.</x:v>
      </x:c>
      <x:c r="P5" s="21" t="str">
        <x:v>Mixed</x:v>
      </x:c>
      <x:c r="Q5" s="21" t="str">
        <x:v>Strong positive signal</x:v>
      </x:c>
      <x:c r="R5" s="21" t="str">
        <x:v>The Ordinary peptide serum</x:v>
      </x:c>
      <x:c r="S5" s="21" t="str">
        <x:v>Yes / U.S. retailer</x:v>
      </x:c>
      <x:c r="T5" s="21" t="str">
        <x:v>High</x:v>
      </x:c>
      <x:c r="U5" s="21" t="str">
        <x:v>SRC-COSRX-029</x:v>
      </x:c>
      <x:c r="V5" s="21" t="str">
        <x:v>Campaign visibility may influence review volume.</x:v>
      </x:c>
    </x:row>
    <x:row r="6" ht="92" customHeight="1">
      <x:c r="A6" s="21" t="str">
        <x:v>REV-COSRX-005</x:v>
      </x:c>
      <x:c r="B6" s="21" t="str">
        <x:v>KB001</x:v>
      </x:c>
      <x:c r="C6" s="21" t="str">
        <x:v>COSRX-P005</x:v>
      </x:c>
      <x:c r="D6" s="21" t="str">
        <x:v>Ulta</x:v>
      </x:c>
      <x:c r="E6" s="21" t="str">
        <x:v>https://www.ulta.com/p/advanced-snail-92-all-in-one-cream-pimprod2038492</x:v>
      </x:c>
      <x:c r="F6" s="25"/>
      <x:c r="G6" s="25" t="str">
        <x:v>2026-07-29</x:v>
      </x:c>
      <x:c r="H6" s="33" t="n">
        <x:v>2016</x:v>
      </x:c>
      <x:c r="I6" s="21" t="str">
        <x:v>Mixed / not individually audited</x:v>
      </x:c>
      <x:c r="J6" s="21" t="str">
        <x:v>Retailer reviews may include incentives; individual disclosures vary</x:v>
      </x:c>
      <x:c r="K6" s="21" t="str">
        <x:v>Mostly Positive</x:v>
      </x:c>
      <x:c r="L6" s="21" t="str">
        <x:v>Moisture/bounce versus slimy feel and variable tolerance</x:v>
      </x:c>
      <x:c r="M6" s="21" t="str">
        <x:v>Strong positive aggregate with texture polarization.</x:v>
      </x:c>
      <x:c r="N6" s="21" t="str">
        <x:v>Moisturizing, bouncy finish, absorbs well for many.</x:v>
      </x:c>
      <x:c r="O6" s="21" t="str">
        <x:v>Slimy/goopy texture; tightness/dryness or breakouts for some.</x:v>
      </x:c>
      <x:c r="P6" s="21" t="str">
        <x:v>Mixed</x:v>
      </x:c>
      <x:c r="Q6" s="21" t="str">
        <x:v>Strong positive signal</x:v>
      </x:c>
      <x:c r="R6" s="21" t="str">
        <x:v>Peach Slices snail cream</x:v>
      </x:c>
      <x:c r="S6" s="21" t="str">
        <x:v>Yes / U.S. retailer</x:v>
      </x:c>
      <x:c r="T6" s="21" t="str">
        <x:v>High</x:v>
      </x:c>
      <x:c r="U6" s="21" t="str">
        <x:v>SRC-COSRX-030</x:v>
      </x:c>
      <x:c r="V6" s="21" t="str">
        <x:v>Animal-derived ingredient may reduce fit for vegan consumers.</x:v>
      </x:c>
    </x:row>
    <x:row r="7" ht="92" customHeight="1">
      <x:c r="A7" s="21" t="str">
        <x:v>REV-COSRX-006</x:v>
      </x:c>
      <x:c r="B7" s="21" t="str">
        <x:v>KB001</x:v>
      </x:c>
      <x:c r="C7" s="21" t="str">
        <x:v>COSRX-P001</x:v>
      </x:c>
      <x:c r="D7" s="21" t="str">
        <x:v>Reddit r/Ulta</x:v>
      </x:c>
      <x:c r="E7" s="21" t="str">
        <x:v>https://www.reddit.com/r/Ulta/comments/15o3zo0</x:v>
      </x:c>
      <x:c r="F7" s="25"/>
      <x:c r="G7" s="25" t="str">
        <x:v>2026-07-29</x:v>
      </x:c>
      <x:c r="H7" s="33" t="str">
        <x:v>Small anecdotal thread</x:v>
      </x:c>
      <x:c r="I7" s="21" t="str">
        <x:v>No</x:v>
      </x:c>
      <x:c r="J7" s="21" t="str">
        <x:v>Unknown</x:v>
      </x:c>
      <x:c r="K7" s="21" t="str">
        <x:v>Mixed</x:v>
      </x:c>
      <x:c r="L7" s="21" t="str">
        <x:v>Hydration/plumping versus sticky texture</x:v>
      </x:c>
      <x:c r="M7" s="21" t="str">
        <x:v>Users discussed plumping/hydration but not guaranteed “glass skin”; layering under moisturizer was common.</x:v>
      </x:c>
      <x:c r="N7" s="21" t="str">
        <x:v>Hydrating and plumping for some.</x:v>
      </x:c>
      <x:c r="O7" s="21" t="str">
        <x:v>Sticky and less dramatic than viral expectations.</x:v>
      </x:c>
      <x:c r="P7" s="21" t="str">
        <x:v>Mixed</x:v>
      </x:c>
      <x:c r="Q7" s="21" t="str">
        <x:v>Mixed</x:v>
      </x:c>
      <x:c r="R7" s="21" t="str">
        <x:v>None material</x:v>
      </x:c>
      <x:c r="S7" s="21" t="str">
        <x:v>Likely U.S. community, not verified per user</x:v>
      </x:c>
      <x:c r="T7" s="21" t="str">
        <x:v>Medium</x:v>
      </x:c>
      <x:c r="U7" s="21" t="str">
        <x:v>SRC-COSRX-033</x:v>
      </x:c>
      <x:c r="V7" s="21" t="str">
        <x:v>Anecdotal and not representative.</x:v>
      </x:c>
    </x:row>
    <x:row r="8" ht="92" customHeight="1">
      <x:c r="A8" s="21" t="str">
        <x:v>REV-COSRX-007</x:v>
      </x:c>
      <x:c r="B8" s="21" t="str">
        <x:v>KB001</x:v>
      </x:c>
      <x:c r="C8" s="21" t="str">
        <x:v>COSRX-P001</x:v>
      </x:c>
      <x:c r="D8" s="21" t="str">
        <x:v>Reddit r/PanPorn</x:v>
      </x:c>
      <x:c r="E8" s="21" t="str">
        <x:v>https://www.reddit.com/r/PanPorn/comments/10atcss</x:v>
      </x:c>
      <x:c r="F8" s="25"/>
      <x:c r="G8" s="25" t="str">
        <x:v>2026-07-29</x:v>
      </x:c>
      <x:c r="H8" s="33" t="str">
        <x:v>Single-user post plus comments</x:v>
      </x:c>
      <x:c r="I8" s="21" t="str">
        <x:v>No</x:v>
      </x:c>
      <x:c r="J8" s="21" t="str">
        <x:v>Unknown</x:v>
      </x:c>
      <x:c r="K8" s="21" t="str">
        <x:v>Positive</x:v>
      </x:c>
      <x:c r="L8" s="21" t="str">
        <x:v>TikTok discovery and repurchase</x:v>
      </x:c>
      <x:c r="M8" s="21" t="str">
        <x:v>Poster with oily/breakout-prone skin reported positive use and repurchase.</x:v>
      </x:c>
      <x:c r="N8" s="21" t="str">
        <x:v>Non-greasy experience, no reported breakout, repurchase.</x:v>
      </x:c>
      <x:c r="O8" s="21" t="str">
        <x:v>Single-user evidence; no controlled comparison.</x:v>
      </x:c>
      <x:c r="P8" s="21" t="str">
        <x:v>Oily / breakout-prone self-reported</x:v>
      </x:c>
      <x:c r="Q8" s="21" t="str">
        <x:v>Yes</x:v>
      </x:c>
      <x:c r="R8" s="21" t="str">
        <x:v>None material</x:v>
      </x:c>
      <x:c r="S8" s="21" t="str">
        <x:v>Unable to Verify</x:v>
      </x:c>
      <x:c r="T8" s="21" t="str">
        <x:v>Low-Medium</x:v>
      </x:c>
      <x:c r="U8" s="21" t="str">
        <x:v>SRC-COSRX-034</x:v>
      </x:c>
      <x:c r="V8" s="21" t="str">
        <x:v>Anecdotal.</x:v>
      </x:c>
    </x:row>
    <x:row r="9" ht="92" customHeight="1">
      <x:c r="A9" s="21" t="str">
        <x:v>REV-COSRX-008</x:v>
      </x:c>
      <x:c r="B9" s="21" t="str">
        <x:v>KB001</x:v>
      </x:c>
      <x:c r="C9" s="21" t="str">
        <x:v>COSRX-P001</x:v>
      </x:c>
      <x:c r="D9" s="21" t="str">
        <x:v>Reddit r/SkincareAddiction</x:v>
      </x:c>
      <x:c r="E9" s="21" t="str">
        <x:v>https://www.reddit.com/r/SkincareAddiction/comments/14fb2uv</x:v>
      </x:c>
      <x:c r="F9" s="25"/>
      <x:c r="G9" s="25" t="str">
        <x:v>2026-07-29</x:v>
      </x:c>
      <x:c r="H9" s="33" t="str">
        <x:v>Small anecdotal thread</x:v>
      </x:c>
      <x:c r="I9" s="21" t="str">
        <x:v>No</x:v>
      </x:c>
      <x:c r="J9" s="21" t="str">
        <x:v>Unknown</x:v>
      </x:c>
      <x:c r="K9" s="21" t="str">
        <x:v>Mixed</x:v>
      </x:c>
      <x:c r="L9" s="21" t="str">
        <x:v>Holy-grail loyalty versus cystic-acne reports</x:v>
      </x:c>
      <x:c r="M9" s="21" t="str">
        <x:v>Long-time positive use and severe negative reactions both appeared.</x:v>
      </x:c>
      <x:c r="N9" s="21" t="str">
        <x:v>Some users described long-term holy-grail status.</x:v>
      </x:c>
      <x:c r="O9" s="21" t="str">
        <x:v>Others reported cystic acne/breakouts; allergy concerns were raised without verification.</x:v>
      </x:c>
      <x:c r="P9" s="21" t="str">
        <x:v>Mixed</x:v>
      </x:c>
      <x:c r="Q9" s="21" t="str">
        <x:v>Polarized</x:v>
      </x:c>
      <x:c r="R9" s="21" t="str">
        <x:v>None material</x:v>
      </x:c>
      <x:c r="S9" s="21" t="str">
        <x:v>Mixed / Unable to Verify</x:v>
      </x:c>
      <x:c r="T9" s="21" t="str">
        <x:v>Medium</x:v>
      </x:c>
      <x:c r="U9" s="21" t="str">
        <x:v>SRC-COSRX-035</x:v>
      </x:c>
      <x:c r="V9" s="21" t="str">
        <x:v>Do not treat allergy discussion as medical advice.</x:v>
      </x:c>
    </x:row>
    <x:row r="10" ht="92" customHeight="1">
      <x:c r="A10" s="21" t="str">
        <x:v>REV-COSRX-009</x:v>
      </x:c>
      <x:c r="B10" s="21" t="str">
        <x:v>KB001</x:v>
      </x:c>
      <x:c r="C10" s="21" t="str">
        <x:v>COSRX-P001</x:v>
      </x:c>
      <x:c r="D10" s="21" t="str">
        <x:v>Reddit r/AsianBeauty</x:v>
      </x:c>
      <x:c r="E10" s="21" t="str">
        <x:v>https://www.reddit.com/r/AsianBeauty/comments/1g9zhhy</x:v>
      </x:c>
      <x:c r="F10" s="25"/>
      <x:c r="G10" s="25" t="str">
        <x:v>2026-07-29</x:v>
      </x:c>
      <x:c r="H10" s="33" t="str">
        <x:v>Small anecdotal thread</x:v>
      </x:c>
      <x:c r="I10" s="21" t="str">
        <x:v>No</x:v>
      </x:c>
      <x:c r="J10" s="21" t="str">
        <x:v>Unknown</x:v>
      </x:c>
      <x:c r="K10" s="21" t="str">
        <x:v>Mixed Positive</x:v>
      </x:c>
      <x:c r="L10" s="21" t="str">
        <x:v>Long-term K-Beauty entry product and allergy concern</x:v>
      </x:c>
      <x:c r="M10" s="21" t="str">
        <x:v>Positive long-term use appeared alongside consumer concern about shellfish/dust-mite allergies.</x:v>
      </x:c>
      <x:c r="N10" s="21" t="str">
        <x:v>Three-year use and first K-Beauty product for one user.</x:v>
      </x:c>
      <x:c r="O10" s="21" t="str">
        <x:v>Consumer-raised allergy concern; not medically verified.</x:v>
      </x:c>
      <x:c r="P10" s="21" t="str">
        <x:v>Mixed</x:v>
      </x:c>
      <x:c r="Q10" s="21" t="str">
        <x:v>Positive for some</x:v>
      </x:c>
      <x:c r="R10" s="21" t="str">
        <x:v>Other snail essences</x:v>
      </x:c>
      <x:c r="S10" s="21" t="str">
        <x:v>Unable to Verify</x:v>
      </x:c>
      <x:c r="T10" s="21" t="str">
        <x:v>Low-Medium</x:v>
      </x:c>
      <x:c r="U10" s="21" t="str">
        <x:v>SRC-COSRX-036</x:v>
      </x:c>
      <x:c r="V10" s="21" t="str">
        <x:v>Medical/allergy interpretation requires a qualified professional.</x:v>
      </x:c>
    </x:row>
    <x:row r="11" ht="92" customHeight="1">
      <x:c r="A11" s="21" t="str">
        <x:v>REV-COSRX-010</x:v>
      </x:c>
      <x:c r="B11" s="21" t="str">
        <x:v>KB001</x:v>
      </x:c>
      <x:c r="C11" s="21" t="str">
        <x:v>COSRX-P001</x:v>
      </x:c>
      <x:c r="D11" s="21" t="str">
        <x:v>Reddit r/AsianBeauty</x:v>
      </x:c>
      <x:c r="E11" s="21" t="str">
        <x:v>https://www.reddit.com/r/AsianBeauty/comments/1r3ijcg</x:v>
      </x:c>
      <x:c r="F11" s="25"/>
      <x:c r="G11" s="25" t="str">
        <x:v>2026-07-29</x:v>
      </x:c>
      <x:c r="H11" s="33" t="str">
        <x:v>Small anecdotal thread</x:v>
      </x:c>
      <x:c r="I11" s="21" t="str">
        <x:v>No</x:v>
      </x:c>
      <x:c r="J11" s="21" t="str">
        <x:v>Unknown</x:v>
      </x:c>
      <x:c r="K11" s="21" t="str">
        <x:v>Negative / Mixed</x:v>
      </x:c>
      <x:c r="L11" s="21" t="str">
        <x:v>No visible effect and stickiness</x:v>
      </x:c>
      <x:c r="M11" s="21" t="str">
        <x:v>Recent discussion includes users who saw little benefit.</x:v>
      </x:c>
      <x:c r="N11" s="21" t="str">
        <x:v>Some counter-comments favored hydration.</x:v>
      </x:c>
      <x:c r="O11" s="21" t="str">
        <x:v>No effect and sticky feel for some.</x:v>
      </x:c>
      <x:c r="P11" s="21" t="str">
        <x:v>Mixed</x:v>
      </x:c>
      <x:c r="Q11" s="21" t="str">
        <x:v>Weak / negative for sampled users</x:v>
      </x:c>
      <x:c r="R11" s="21" t="str">
        <x:v>Other hydrating essences</x:v>
      </x:c>
      <x:c r="S11" s="21" t="str">
        <x:v>Unable to Verify</x:v>
      </x:c>
      <x:c r="T11" s="21" t="str">
        <x:v>Low</x:v>
      </x:c>
      <x:c r="U11" s="21" t="str">
        <x:v>SRC-COSRX-037</x:v>
      </x:c>
      <x:c r="V11" s="21" t="str">
        <x:v>Anecdotal and current thread size may change.</x:v>
      </x:c>
    </x:row>
    <x:row r="12" ht="92" customHeight="1">
      <x:c r="A12" s="21" t="str">
        <x:v>REV-COSRX-011</x:v>
      </x:c>
      <x:c r="B12" s="21" t="str">
        <x:v>KB001</x:v>
      </x:c>
      <x:c r="C12" s="21" t="str">
        <x:v>COSRX-P001</x:v>
      </x:c>
      <x:c r="D12" s="21" t="str">
        <x:v>Reddit r/SkincareAddiction</x:v>
      </x:c>
      <x:c r="E12" s="21" t="str">
        <x:v>https://www.reddit.com/r/SkincareAddiction/comments/1btlzcv</x:v>
      </x:c>
      <x:c r="F12" s="25"/>
      <x:c r="G12" s="25" t="str">
        <x:v>2026-07-29</x:v>
      </x:c>
      <x:c r="H12" s="33" t="str">
        <x:v>Small anecdotal thread</x:v>
      </x:c>
      <x:c r="I12" s="21" t="str">
        <x:v>No</x:v>
      </x:c>
      <x:c r="J12" s="21" t="str">
        <x:v>Unknown</x:v>
      </x:c>
      <x:c r="K12" s="21" t="str">
        <x:v>Risk Signal</x:v>
      </x:c>
      <x:c r="L12" s="21" t="str">
        <x:v>Counterfeit concern</x:v>
      </x:c>
      <x:c r="M12" s="21" t="str">
        <x:v>Consumers discussed difficulty distinguishing authentic product on marketplaces.</x:v>
      </x:c>
      <x:c r="N12" s="21" t="str">
        <x:v>Official/authorized purchasing was favored.</x:v>
      </x:c>
      <x:c r="O12" s="21" t="str">
        <x:v>Authenticity anxiety and inconsistent marketplace packaging reports.</x:v>
      </x:c>
      <x:c r="P12" s="21" t="str">
        <x:v>Mixed</x:v>
      </x:c>
      <x:c r="Q12" s="21" t="str">
        <x:v>Not applicable</x:v>
      </x:c>
      <x:c r="R12" s="21" t="str">
        <x:v>Counterfeit alternatives</x:v>
      </x:c>
      <x:c r="S12" s="21" t="str">
        <x:v>Unable to Verify</x:v>
      </x:c>
      <x:c r="T12" s="21" t="str">
        <x:v>Low-Medium</x:v>
      </x:c>
      <x:c r="U12" s="21" t="str">
        <x:v>SRC-COSRX-043</x:v>
      </x:c>
      <x:c r="V12" s="21" t="str">
        <x:v>Official COSRX store list is the controlling source for authenticity guidance.</x:v>
      </x:c>
    </x:row>
    <x:row r="13" ht="92" customHeight="1">
      <x:c r="A13" s="21" t="str">
        <x:v>REV-COSRX-012</x:v>
      </x:c>
      <x:c r="B13" s="21" t="str">
        <x:v>KB001</x:v>
      </x:c>
      <x:c r="C13" s="21" t="str">
        <x:v>COSRX-P001</x:v>
      </x:c>
      <x:c r="D13" s="21" t="str">
        <x:v>Amazon U.S.</x:v>
      </x:c>
      <x:c r="E13" s="21" t="str">
        <x:v>https://www.amazon.com/dp/B00PBX3L7K</x:v>
      </x:c>
      <x:c r="F13" s="25"/>
      <x:c r="G13" s="25" t="str">
        <x:v>2026-07-29</x:v>
      </x:c>
      <x:c r="H13" s="33" t="n">
        <x:v>105965</x:v>
      </x:c>
      <x:c r="I13" s="21" t="str">
        <x:v>Platform labels individual verified purchases; aggregate not audited here</x:v>
      </x:c>
      <x:c r="J13" s="21" t="str">
        <x:v>Unknown at aggregate level</x:v>
      </x:c>
      <x:c r="K13" s="21" t="str">
        <x:v>Mostly Positive</x:v>
      </x:c>
      <x:c r="L13" s="21" t="str">
        <x:v>Very large social-proof base</x:v>
      </x:c>
      <x:c r="M13" s="21" t="str">
        <x:v>4.6 rating across 105,965 reviews supports broad consumer acceptance.</x:v>
      </x:c>
      <x:c r="N13" s="21" t="str">
        <x:v>High cumulative review depth and repeat-category visibility.</x:v>
      </x:c>
      <x:c r="O13" s="21" t="str">
        <x:v>Aggregate page does not establish causality or audited sell-through; counterfeit fears exist outside official seller routes.</x:v>
      </x:c>
      <x:c r="P13" s="21" t="str">
        <x:v>Mixed</x:v>
      </x:c>
      <x:c r="Q13" s="21" t="str">
        <x:v>Strong aggregate signal</x:v>
      </x:c>
      <x:c r="R13" s="21" t="str">
        <x:v>Many snail/hydration serums</x:v>
      </x:c>
      <x:c r="S13" s="21" t="str">
        <x:v>Yes / U.S. marketplace</x:v>
      </x:c>
      <x:c r="T13" s="21" t="str">
        <x:v>High</x:v>
      </x:c>
      <x:c r="U13" s="21" t="str">
        <x:v>SRC-COSRX-005</x:v>
      </x:c>
      <x:c r="V13" s="21" t="str">
        <x:v>Sampled listing was sold by COSRX and shipped by Amazon.</x:v>
      </x:c>
    </x:row>
    <x:row r="14" ht="96" customHeight="1">
      <x:c r="A14" s="21" t="str">
        <x:v>REV-BOJ-001</x:v>
      </x:c>
      <x:c r="B14" s="21" t="str">
        <x:v>KB002</x:v>
      </x:c>
      <x:c r="C14" s="21" t="str">
        <x:v>BOJ-P002</x:v>
      </x:c>
      <x:c r="D14" s="21" t="str">
        <x:v>Amazon U.S.</x:v>
      </x:c>
      <x:c r="E14" s="21" t="str">
        <x:v>https://www.amazon.com/dp/B0B45LL4DD</x:v>
      </x:c>
      <x:c r="F14" s="25"/>
      <x:c r="G14" s="25" t="str">
        <x:v>2026-07-29</x:v>
      </x:c>
      <x:c r="H14" s="33" t="n">
        <x:v>20037</x:v>
      </x:c>
      <x:c r="I14" s="21" t="str">
        <x:v>Mixed / not individually audited</x:v>
      </x:c>
      <x:c r="J14" s="21" t="str">
        <x:v>Amazon review programs and seller attribution vary</x:v>
      </x:c>
      <x:c r="K14" s="21" t="str">
        <x:v>Mostly Positive</x:v>
      </x:c>
      <x:c r="L14" s="21" t="str">
        <x:v>Strong value and repeat interest with retinal tolerance risk</x:v>
      </x:c>
      <x:c r="M14" s="21" t="str">
        <x:v>Large review base and #2 category rank indicate broad adoption; direct review text was not exhaustively coded.</x:v>
      </x:c>
      <x:c r="N14" s="21" t="str">
        <x:v>Affordable, lightweight, smoothing/firming appearance, high monthly purchase signal.</x:v>
      </x:c>
      <x:c r="O14" s="21" t="str">
        <x:v>4.3 aggregate rating is lower than brand DTC/Sephora; retinal irritation and variable results remain material.</x:v>
      </x:c>
      <x:c r="P14" s="21" t="str">
        <x:v>Mixed</x:v>
      </x:c>
      <x:c r="Q14" s="21" t="str">
        <x:v>Strong purchase signal</x:v>
      </x:c>
      <x:c r="R14" s="21" t="str">
        <x:v>RoC and other retinol eye creams</x:v>
      </x:c>
      <x:c r="S14" s="21" t="str">
        <x:v>Yes / U.S. marketplace</x:v>
      </x:c>
      <x:c r="T14" s="21" t="str">
        <x:v>High</x:v>
      </x:c>
      <x:c r="U14" s="21" t="str">
        <x:v>SRC-BOJ-009</x:v>
      </x:c>
      <x:c r="V14" s="21" t="str">
        <x:v>Aggregate platform evidence; no audited review-velocity calculation.</x:v>
      </x:c>
    </x:row>
    <x:row r="15" ht="96" customHeight="1">
      <x:c r="A15" s="21" t="str">
        <x:v>REV-BOJ-002</x:v>
      </x:c>
      <x:c r="B15" s="21" t="str">
        <x:v>KB002</x:v>
      </x:c>
      <x:c r="C15" s="21" t="str">
        <x:v>BOJ-P005</x:v>
      </x:c>
      <x:c r="D15" s="21" t="str">
        <x:v>Amazon U.S.</x:v>
      </x:c>
      <x:c r="E15" s="21" t="str">
        <x:v>https://www.amazon.com/dp/B09N919SS5</x:v>
      </x:c>
      <x:c r="F15" s="25"/>
      <x:c r="G15" s="25" t="str">
        <x:v>2026-07-29</x:v>
      </x:c>
      <x:c r="H15" s="33" t="n">
        <x:v>6406</x:v>
      </x:c>
      <x:c r="I15" s="21" t="str">
        <x:v>Mixed / not individually audited</x:v>
      </x:c>
      <x:c r="J15" s="21" t="str">
        <x:v>Amazon review programs and seller attribution vary</x:v>
      </x:c>
      <x:c r="K15" s="21" t="str">
        <x:v>Positive</x:v>
      </x:c>
      <x:c r="L15" s="21" t="str">
        <x:v>Gentle cleanser value and routine fit</x:v>
      </x:c>
      <x:c r="M15" s="21" t="str">
        <x:v>4.6 aggregate rating and 10K+ monthly purchase badge support strong satisfaction and repeatable use-case fit.</x:v>
      </x:c>
      <x:c r="N15" s="21" t="str">
        <x:v>Gentle, affordable, high-velocity daily cleanser.</x:v>
      </x:c>
      <x:c r="O15" s="21" t="str">
        <x:v>Crowded category; some consumers may need a separate makeup-removal step.</x:v>
      </x:c>
      <x:c r="P15" s="21" t="str">
        <x:v>Mixed</x:v>
      </x:c>
      <x:c r="Q15" s="21" t="str">
        <x:v>Strong purchase signal</x:v>
      </x:c>
      <x:c r="R15" s="21" t="str">
        <x:v>COSRX Low pH Cleanser</x:v>
      </x:c>
      <x:c r="S15" s="21" t="str">
        <x:v>Yes / U.S. marketplace</x:v>
      </x:c>
      <x:c r="T15" s="21" t="str">
        <x:v>High</x:v>
      </x:c>
      <x:c r="U15" s="21" t="str">
        <x:v>SRC-BOJ-012</x:v>
      </x:c>
      <x:c r="V15" s="21" t="str">
        <x:v>Aggregate platform evidence.</x:v>
      </x:c>
    </x:row>
    <x:row r="16" ht="96" customHeight="1">
      <x:c r="A16" s="21" t="str">
        <x:v>REV-BOJ-003</x:v>
      </x:c>
      <x:c r="B16" s="21" t="str">
        <x:v>KB002</x:v>
      </x:c>
      <x:c r="C16" s="21" t="str">
        <x:v>BOJ-P004</x:v>
      </x:c>
      <x:c r="D16" s="21" t="str">
        <x:v>Amazon U.S.</x:v>
      </x:c>
      <x:c r="E16" s="21" t="str">
        <x:v>https://www.amazon.com/dp/B08WJQ3XJD</x:v>
      </x:c>
      <x:c r="F16" s="25"/>
      <x:c r="G16" s="25" t="str">
        <x:v>2026-07-29</x:v>
      </x:c>
      <x:c r="H16" s="33" t="n">
        <x:v>7719</x:v>
      </x:c>
      <x:c r="I16" s="21" t="str">
        <x:v>Mixed / not individually audited</x:v>
      </x:c>
      <x:c r="J16" s="21" t="str">
        <x:v>Amazon review programs and seller attribution vary</x:v>
      </x:c>
      <x:c r="K16" s="21" t="str">
        <x:v>Mostly Positive</x:v>
      </x:c>
      <x:c r="L16" s="21" t="str">
        <x:v>Hydration and dewy finish versus richness</x:v>
      </x:c>
      <x:c r="M16" s="21" t="str">
        <x:v>4.5 aggregate rating and 6K+ monthly purchase badge support a durable moisturizer franchise.</x:v>
      </x:c>
      <x:c r="N16" s="21" t="str">
        <x:v>Hydrating, dewy, premium-feeling at accessible price.</x:v>
      </x:c>
      <x:c r="O16" s="21" t="str">
        <x:v>Richer finish may feel heavy on oily skin; current category is highly competitive.</x:v>
      </x:c>
      <x:c r="P16" s="21" t="str">
        <x:v>Mixed</x:v>
      </x:c>
      <x:c r="Q16" s="21" t="str">
        <x:v>Strong purchase signal</x:v>
      </x:c>
      <x:c r="R16" s="21" t="str">
        <x:v>COSRX Snail 92 Cream</x:v>
      </x:c>
      <x:c r="S16" s="21" t="str">
        <x:v>Yes / U.S. marketplace</x:v>
      </x:c>
      <x:c r="T16" s="21" t="str">
        <x:v>High</x:v>
      </x:c>
      <x:c r="U16" s="21" t="str">
        <x:v>SRC-BOJ-011</x:v>
      </x:c>
      <x:c r="V16" s="21" t="str">
        <x:v>Aggregate platform evidence.</x:v>
      </x:c>
    </x:row>
    <x:row r="17" ht="96" customHeight="1">
      <x:c r="A17" s="21" t="str">
        <x:v>REV-BOJ-004</x:v>
      </x:c>
      <x:c r="B17" s="21" t="str">
        <x:v>KB002</x:v>
      </x:c>
      <x:c r="C17" s="21" t="str">
        <x:v>BOJ-P003</x:v>
      </x:c>
      <x:c r="D17" s="21" t="str">
        <x:v>Amazon U.S.</x:v>
      </x:c>
      <x:c r="E17" s="21" t="str">
        <x:v>https://www.amazon.com/dp/B0F8LBX37X</x:v>
      </x:c>
      <x:c r="F17" s="25"/>
      <x:c r="G17" s="25" t="str">
        <x:v>2026-07-29</x:v>
      </x:c>
      <x:c r="H17" s="33" t="n">
        <x:v>1571</x:v>
      </x:c>
      <x:c r="I17" s="21" t="str">
        <x:v>Mixed / not individually audited</x:v>
      </x:c>
      <x:c r="J17" s="21" t="str">
        <x:v>Amazon review programs and seller attribution vary</x:v>
      </x:c>
      <x:c r="K17" s="21" t="str">
        <x:v>Positive</x:v>
      </x:c>
      <x:c r="L17" s="21" t="str">
        <x:v>Glow/soothing value with moderate review depth</x:v>
      </x:c>
      <x:c r="M17" s="21" t="str">
        <x:v>4.6 aggregate rating and 6K+ monthly purchase badge indicate strong current sell-through despite a newer/smaller review base.</x:v>
      </x:c>
      <x:c r="N17" s="21" t="str">
        <x:v>Affordable, soothing/glow positioning, official seller.</x:v>
      </x:c>
      <x:c r="O17" s="21" t="str">
        <x:v>Some consumers may find propolis/texture unsuitable; results are individual.</x:v>
      </x:c>
      <x:c r="P17" s="21" t="str">
        <x:v>Mixed</x:v>
      </x:c>
      <x:c r="Q17" s="21" t="str">
        <x:v>Positive</x:v>
      </x:c>
      <x:c r="R17" s="21" t="str">
        <x:v>Anua Niacinamide 10 + TXA 4</x:v>
      </x:c>
      <x:c r="S17" s="21" t="str">
        <x:v>Yes / U.S. marketplace</x:v>
      </x:c>
      <x:c r="T17" s="21" t="str">
        <x:v>High</x:v>
      </x:c>
      <x:c r="U17" s="21" t="str">
        <x:v>SRC-BOJ-010</x:v>
      </x:c>
      <x:c r="V17" s="21" t="str">
        <x:v>Aggregate platform evidence.</x:v>
      </x:c>
    </x:row>
    <x:row r="18" ht="96" customHeight="1">
      <x:c r="A18" s="21" t="str">
        <x:v>REV-BOJ-005</x:v>
      </x:c>
      <x:c r="B18" s="21" t="str">
        <x:v>KB002</x:v>
      </x:c>
      <x:c r="C18" s="21" t="str">
        <x:v>BOJ-P001</x:v>
      </x:c>
      <x:c r="D18" s="21" t="str">
        <x:v>Official DTC</x:v>
      </x:c>
      <x:c r="E18" s="21" t="str">
        <x:v>https://beautyofjoseon.com/products/daily-relief-sunscreen</x:v>
      </x:c>
      <x:c r="F18" s="25"/>
      <x:c r="G18" s="25" t="str">
        <x:v>2026-07-29</x:v>
      </x:c>
      <x:c r="H18" s="33" t="n">
        <x:v>487</x:v>
      </x:c>
      <x:c r="I18" s="21" t="str">
        <x:v>Mixed / official-site verified buyers include disclosed labels</x:v>
      </x:c>
      <x:c r="J18" s="21" t="str">
        <x:v>Brand-owned review environment</x:v>
      </x:c>
      <x:c r="K18" s="21" t="str">
        <x:v>Strongly Positive</x:v>
      </x:c>
      <x:c r="L18" s="21" t="str">
        <x:v>Light texture, no white cast and comfort</x:v>
      </x:c>
      <x:c r="M18" s="21" t="str">
        <x:v>Official page displayed 4.7 rating, 487 reviews, 422 five-star ratings and 92% recommendation.</x:v>
      </x:c>
      <x:c r="N18" s="21" t="str">
        <x:v>Light, non-greasy feel, no zinc cast, comfortable reapplication and minimal scent in sampled visible reviews.</x:v>
      </x:c>
      <x:c r="O18" s="21" t="str">
        <x:v>37 reviews were three stars or lower; official site was sold out, limiting current availability.</x:v>
      </x:c>
      <x:c r="P18" s="21" t="str">
        <x:v>Dry, normal and combination examples visible</x:v>
      </x:c>
      <x:c r="Q18" s="21" t="str">
        <x:v>Strong</x:v>
      </x:c>
      <x:c r="R18" s="21" t="str">
        <x:v>e.l.f. and other daily face SPFs</x:v>
      </x:c>
      <x:c r="S18" s="21" t="str">
        <x:v>U.S. DTC</x:v>
      </x:c>
      <x:c r="T18" s="21" t="str">
        <x:v>High</x:v>
      </x:c>
      <x:c r="U18" s="21" t="str">
        <x:v>SRC-BOJ-014</x:v>
      </x:c>
      <x:c r="V18" s="21" t="str">
        <x:v>Official brand review environment may skew positive.</x:v>
      </x:c>
    </x:row>
    <x:row r="19" ht="96" customHeight="1">
      <x:c r="A19" s="21" t="str">
        <x:v>REV-BOJ-006</x:v>
      </x:c>
      <x:c r="B19" s="21" t="str">
        <x:v>KB002</x:v>
      </x:c>
      <x:c r="C19" s="21" t="str">
        <x:v>BOJ-P002</x:v>
      </x:c>
      <x:c r="D19" s="21" t="str">
        <x:v>Sephora</x:v>
      </x:c>
      <x:c r="E19" s="21" t="str">
        <x:v>https://www.sephora.com/product/revive-eye-serum-30ml-P517642?skuId=2896223</x:v>
      </x:c>
      <x:c r="F19" s="25"/>
      <x:c r="G19" s="25" t="str">
        <x:v>2026-07-29</x:v>
      </x:c>
      <x:c r="H19" s="33" t="n">
        <x:v>181</x:v>
      </x:c>
      <x:c r="I19" s="21" t="str">
        <x:v>Mixed / retailer reviews</x:v>
      </x:c>
      <x:c r="J19" s="21" t="str">
        <x:v>Retailer reviews may include incentives; disclosures vary</x:v>
      </x:c>
      <x:c r="K19" s="21" t="str">
        <x:v>Positive</x:v>
      </x:c>
      <x:c r="L19" s="21" t="str">
        <x:v>Satisfaction, texture and price</x:v>
      </x:c>
      <x:c r="M19" s="21" t="str">
        <x:v>Sephora displayed 181 reviews, 60.9K loves and highlighted satisfaction, texture and price.</x:v>
      </x:c>
      <x:c r="N19" s="21" t="str">
        <x:v>Strong value and pleasant texture; mainstream specialty-retail validation.</x:v>
      </x:c>
      <x:c r="O19" s="21" t="str">
        <x:v>Review count is much smaller than Amazon; individual retinal tolerance remains variable.</x:v>
      </x:c>
      <x:c r="P19" s="21" t="str">
        <x:v>Mixed</x:v>
      </x:c>
      <x:c r="Q19" s="21" t="str">
        <x:v>Positive</x:v>
      </x:c>
      <x:c r="R19" s="21" t="str">
        <x:v>RoC eye treatments</x:v>
      </x:c>
      <x:c r="S19" s="21" t="str">
        <x:v>Yes / U.S. retailer</x:v>
      </x:c>
      <x:c r="T19" s="21" t="str">
        <x:v>High</x:v>
      </x:c>
      <x:c r="U19" s="21" t="str">
        <x:v>SRC-BOJ-020</x:v>
      </x:c>
      <x:c r="V19" s="21" t="str">
        <x:v>Retailer snapshot changes over time.</x:v>
      </x:c>
    </x:row>
    <x:row r="20" ht="96" customHeight="1">
      <x:c r="A20" s="21" t="str">
        <x:v>REV-BOJ-007</x:v>
      </x:c>
      <x:c r="B20" s="21" t="str">
        <x:v>KB002</x:v>
      </x:c>
      <x:c r="C20" s="21" t="str">
        <x:v>BOJ-P002</x:v>
      </x:c>
      <x:c r="D20" s="21" t="str">
        <x:v>Walmart U.S. Marketplace</x:v>
      </x:c>
      <x:c r="E20" s="21" t="str">
        <x:v>https://www.walmart.com/ip/1952260118</x:v>
      </x:c>
      <x:c r="F20" s="25"/>
      <x:c r="G20" s="25" t="str">
        <x:v>2026-07-29</x:v>
      </x:c>
      <x:c r="H20" s="33" t="n">
        <x:v>75</x:v>
      </x:c>
      <x:c r="I20" s="21" t="str">
        <x:v>Mixed; some verified/incentivized reviews</x:v>
      </x:c>
      <x:c r="J20" s="21" t="str">
        <x:v>Several visible reviews were incentivized or international</x:v>
      </x:c>
      <x:c r="K20" s="21" t="str">
        <x:v>Mixed</x:v>
      </x:c>
      <x:c r="L20" s="21" t="str">
        <x:v>Marketplace seller and review-quality caution</x:v>
      </x:c>
      <x:c r="M20" s="21" t="str">
        <x:v>Walmart displayed a 3.9 rating, 75 ratings and 29 reviews for an offer sold by Premium Beauty US.</x:v>
      </x:c>
      <x:c r="N20" s="21" t="str">
        <x:v>Visible positives cited soft texture, brightness and sensitive-skin value.</x:v>
      </x:c>
      <x:c r="O20" s="21" t="str">
        <x:v>23% of ratings were one star; third-party seller status and incentivized/international reviews reduce confidence.</x:v>
      </x:c>
      <x:c r="P20" s="21" t="str">
        <x:v>Mixed</x:v>
      </x:c>
      <x:c r="Q20" s="21" t="str">
        <x:v>Unclear</x:v>
      </x:c>
      <x:c r="R20" s="21" t="str">
        <x:v>Other mass eye serums</x:v>
      </x:c>
      <x:c r="S20" s="21" t="str">
        <x:v>Yes / U.S. marketplace</x:v>
      </x:c>
      <x:c r="T20" s="21" t="str">
        <x:v>Medium</x:v>
      </x:c>
      <x:c r="U20" s="21" t="str">
        <x:v>SRC-BOJ-021</x:v>
      </x:c>
      <x:c r="V20" s="21" t="str">
        <x:v>Not confirmed as an authorized U.S. seller.</x:v>
      </x:c>
    </x:row>
    <x:row r="21" ht="96" customHeight="1">
      <x:c r="A21" s="21" t="str">
        <x:v>REV-BOJ-008</x:v>
      </x:c>
      <x:c r="B21" s="21" t="str">
        <x:v>KB002</x:v>
      </x:c>
      <x:c r="C21" s="21" t="str">
        <x:v>BOJ-P002</x:v>
      </x:c>
      <x:c r="D21" s="21" t="str">
        <x:v>Reddit r/AsianBeauty</x:v>
      </x:c>
      <x:c r="E21" s="21" t="str">
        <x:v>https://www.reddit.com/r/AsianBeauty/comments/wpxtyd/beauty_of_joseon_revive_eye_serum_review/</x:v>
      </x:c>
      <x:c r="F21" s="25" t="str">
        <x:v>2022-08-16</x:v>
      </x:c>
      <x:c r="G21" s="25" t="str">
        <x:v>2026-07-29</x:v>
      </x:c>
      <x:c r="H21" s="33" t="str">
        <x:v>Long thread; non-representative</x:v>
      </x:c>
      <x:c r="I21" s="21" t="str">
        <x:v>No</x:v>
      </x:c>
      <x:c r="J21" s="21" t="str">
        <x:v>Forum/self-selection risk</x:v>
      </x:c>
      <x:c r="K21" s="21" t="str">
        <x:v>Polarized</x:v>
      </x:c>
      <x:c r="L21" s="21" t="str">
        <x:v>Smoothing/value versus eye-area irritation</x:v>
      </x:c>
      <x:c r="M21" s="21" t="str">
        <x:v>Users report improved texture, gentleness and long product life, while multiple replies report stinging, redness, peeling, swelling or conjunctivitis-like symptoms.</x:v>
      </x:c>
      <x:c r="N21" s="21" t="str">
        <x:v>Some describe a holy-grail, gentle retinal with improved texture and less tired appearance.</x:v>
      </x:c>
      <x:c r="O21" s="21" t="str">
        <x:v>Repeated irritation, puffiness, dryness, peeling and eye-stinging reports; use too close to the lash line is a concern.</x:v>
      </x:c>
      <x:c r="P21" s="21" t="str">
        <x:v>Dry and sensitive examples</x:v>
      </x:c>
      <x:c r="Q21" s="21" t="str">
        <x:v>Mixed</x:v>
      </x:c>
      <x:c r="R21" s="21" t="str">
        <x:v>RoC and other eye creams</x:v>
      </x:c>
      <x:c r="S21" s="21" t="str">
        <x:v>Not consistently verified</x:v>
      </x:c>
      <x:c r="T21" s="21" t="str">
        <x:v>Medium</x:v>
      </x:c>
      <x:c r="U21" s="21" t="str">
        <x:v>SRC-BOJ-026</x:v>
      </x:c>
      <x:c r="V21" s="21" t="str">
        <x:v>Anecdotal consumer evidence; no medical conclusions.</x:v>
      </x:c>
    </x:row>
    <x:row r="22" ht="96" customHeight="1">
      <x:c r="A22" s="21" t="str">
        <x:v>REV-BOJ-009</x:v>
      </x:c>
      <x:c r="B22" s="21" t="str">
        <x:v>KB002</x:v>
      </x:c>
      <x:c r="C22" s="21" t="str">
        <x:v>BOJ-P001</x:v>
      </x:c>
      <x:c r="D22" s="21" t="str">
        <x:v>Reddit r/AsianBeauty</x:v>
      </x:c>
      <x:c r="E22" s="21" t="str">
        <x:v>https://www.reddit.com/r/AsianBeauty/comments/1rywndi/review_my_top_5_korean_sunscreens_tested_over_6/</x:v>
      </x:c>
      <x:c r="F22" s="25" t="str">
        <x:v>2026-03-01</x:v>
      </x:c>
      <x:c r="G22" s="25" t="str">
        <x:v>2026-07-29</x:v>
      </x:c>
      <x:c r="H22" s="33" t="str">
        <x:v>Single long-form user review</x:v>
      </x:c>
      <x:c r="I22" s="21" t="str">
        <x:v>No</x:v>
      </x:c>
      <x:c r="J22" s="21" t="str">
        <x:v>Forum/self-selection risk</x:v>
      </x:c>
      <x:c r="K22" s="21" t="str">
        <x:v>Positive</x:v>
      </x:c>
      <x:c r="L22" s="21" t="str">
        <x:v>No white cast and makeup compatibility</x:v>
      </x:c>
      <x:c r="M22" s="21" t="str">
        <x:v>Reviewer reported zero white cast and good layering without pilling for Relief Sun.</x:v>
      </x:c>
      <x:c r="N22" s="21" t="str">
        <x:v>Comfortable wear and makeup compatibility.</x:v>
      </x:c>
      <x:c r="O22" s="21" t="str">
        <x:v>Single-user result; global/Korean Relief Sun is not the same as Daily Relief U.S. SPF 40.</x:v>
      </x:c>
      <x:c r="P22" s="21" t="str">
        <x:v>Not specified</x:v>
      </x:c>
      <x:c r="Q22" s="21" t="str">
        <x:v>Positive</x:v>
      </x:c>
      <x:c r="R22" s="21" t="str">
        <x:v>Other Korean sunscreens</x:v>
      </x:c>
      <x:c r="S22" s="21" t="str">
        <x:v>Not verified</x:v>
      </x:c>
      <x:c r="T22" s="21" t="str">
        <x:v>Low-Medium</x:v>
      </x:c>
      <x:c r="U22" s="21" t="str">
        <x:v>SRC-BOJ-028</x:v>
      </x:c>
      <x:c r="V22" s="21" t="str">
        <x:v>Product/market version distinction is essential.</x:v>
      </x:c>
    </x:row>
    <x:row r="23" ht="96" customHeight="1">
      <x:c r="A23" s="21" t="str">
        <x:v>REV-BOJ-010</x:v>
      </x:c>
      <x:c r="B23" s="21" t="str">
        <x:v>KB002</x:v>
      </x:c>
      <x:c r="C23" s="21" t="str">
        <x:v>BOJ-P001</x:v>
      </x:c>
      <x:c r="D23" s="21" t="str">
        <x:v>Reddit r/SkincareAddiction</x:v>
      </x:c>
      <x:c r="E23" s="21" t="str">
        <x:v>https://www.reddit.com/r/SkincareAddiction/comments/1l8zk2j/review_beauty_of_joseon_relief_sun_is_terrible/</x:v>
      </x:c>
      <x:c r="F23" s="25" t="str">
        <x:v>2025-06-01</x:v>
      </x:c>
      <x:c r="G23" s="25" t="str">
        <x:v>2026-07-29</x:v>
      </x:c>
      <x:c r="H23" s="33" t="str">
        <x:v>Thread; non-representative</x:v>
      </x:c>
      <x:c r="I23" s="21" t="str">
        <x:v>No</x:v>
      </x:c>
      <x:c r="J23" s="21" t="str">
        <x:v>Forum/self-selection risk</x:v>
      </x:c>
      <x:c r="K23" s="21" t="str">
        <x:v>Negative</x:v>
      </x:c>
      <x:c r="L23" s="21" t="str">
        <x:v>Pilling and poor fit for the user's routine</x:v>
      </x:c>
      <x:c r="M23" s="21" t="str">
        <x:v>The thread challenges the viral consensus and describes a negative sunscreen experience, including pilling context.</x:v>
      </x:c>
      <x:c r="N23" s="21" t="str">
        <x:v>Other commenters note sunscreen performance can change with underlying moisturizer and routine.</x:v>
      </x:c>
      <x:c r="O23" s="21" t="str">
        <x:v>Pilling and dissatisfaction despite strong online hype.</x:v>
      </x:c>
      <x:c r="P23" s="21" t="str">
        <x:v>Not specified</x:v>
      </x:c>
      <x:c r="Q23" s="21" t="str">
        <x:v>Negative</x:v>
      </x:c>
      <x:c r="R23" s="21" t="str">
        <x:v>Multiple Asian sunscreens</x:v>
      </x:c>
      <x:c r="S23" s="21" t="str">
        <x:v>Not verified</x:v>
      </x:c>
      <x:c r="T23" s="21" t="str">
        <x:v>Low-Medium</x:v>
      </x:c>
      <x:c r="U23" s="21" t="str">
        <x:v>SRC-BOJ-027</x:v>
      </x:c>
      <x:c r="V23" s="21" t="str">
        <x:v>Global/Korean Relief Sun discussion; not necessarily Daily Relief U.S. SKU.</x:v>
      </x:c>
    </x:row>
    <x:row r="24" ht="96" customHeight="1">
      <x:c r="A24" s="21" t="str">
        <x:v>REV-BOJ-011</x:v>
      </x:c>
      <x:c r="B24" s="21" t="str">
        <x:v>KB002</x:v>
      </x:c>
      <x:c r="C24" s="21" t="str">
        <x:v>BOJ-P001</x:v>
      </x:c>
      <x:c r="D24" s="21" t="str">
        <x:v>Reddit r/AsianBeauty</x:v>
      </x:c>
      <x:c r="E24" s="21" t="str">
        <x:v>https://www.reddit.com/r/AsianBeauty/comments/xv5nra/has_anyone_else_experienced_pilling_with_the/</x:v>
      </x:c>
      <x:c r="F24" s="25" t="str">
        <x:v>2022-10-04</x:v>
      </x:c>
      <x:c r="G24" s="25" t="str">
        <x:v>2026-07-29</x:v>
      </x:c>
      <x:c r="H24" s="33" t="str">
        <x:v>Thread; non-representative</x:v>
      </x:c>
      <x:c r="I24" s="21" t="str">
        <x:v>No</x:v>
      </x:c>
      <x:c r="J24" s="21" t="str">
        <x:v>Forum/self-selection risk</x:v>
      </x:c>
      <x:c r="K24" s="21" t="str">
        <x:v>Mixed-Negative</x:v>
      </x:c>
      <x:c r="L24" s="21" t="str">
        <x:v>Pilling under skincare/makeup</x:v>
      </x:c>
      <x:c r="M24" s="21" t="str">
        <x:v>Users discuss persistent pilling even when allowing prior layers to dry.</x:v>
      </x:c>
      <x:c r="N24" s="21" t="str">
        <x:v>Some users identify compatible routines and alternative sunscreens.</x:v>
      </x:c>
      <x:c r="O24" s="21" t="str">
        <x:v>Pilling under eyes/beard or with layered products recurs.</x:v>
      </x:c>
      <x:c r="P24" s="21" t="str">
        <x:v>Mixed</x:v>
      </x:c>
      <x:c r="Q24" s="21" t="str">
        <x:v>Mixed</x:v>
      </x:c>
      <x:c r="R24" s="21" t="str">
        <x:v>Biore, Skin Aqua, Missha and Nivea</x:v>
      </x:c>
      <x:c r="S24" s="21" t="str">
        <x:v>Not verified</x:v>
      </x:c>
      <x:c r="T24" s="21" t="str">
        <x:v>Low-Medium</x:v>
      </x:c>
      <x:c r="U24" s="21" t="str">
        <x:v>SRC-BOJ-029</x:v>
      </x:c>
      <x:c r="V24" s="21" t="str">
        <x:v>Global/Korean Relief Sun discussion; version-specific.</x:v>
      </x:c>
    </x:row>
    <x:row r="25" ht="96" customHeight="1">
      <x:c r="A25" s="21" t="str">
        <x:v>REV-BOJ-012</x:v>
      </x:c>
      <x:c r="B25" s="21" t="str">
        <x:v>KB002</x:v>
      </x:c>
      <x:c r="C25" s="21" t="str">
        <x:v>BOJ-P003</x:v>
      </x:c>
      <x:c r="D25" s="21" t="str">
        <x:v>Reddit r/AsianBeauty</x:v>
      </x:c>
      <x:c r="E25" s="21" t="str">
        <x:v>https://www.reddit.com/r/AsianBeauty/comments/vnyygr/best_worst_of_beauty_of_joseon/</x:v>
      </x:c>
      <x:c r="F25" s="25" t="str">
        <x:v>2022-06-29</x:v>
      </x:c>
      <x:c r="G25" s="25" t="str">
        <x:v>2026-07-29</x:v>
      </x:c>
      <x:c r="H25" s="33" t="str">
        <x:v>Thread; non-representative</x:v>
      </x:c>
      <x:c r="I25" s="21" t="str">
        <x:v>No</x:v>
      </x:c>
      <x:c r="J25" s="21" t="str">
        <x:v>Forum/self-selection risk</x:v>
      </x:c>
      <x:c r="K25" s="21" t="str">
        <x:v>Mixed</x:v>
      </x:c>
      <x:c r="L25" s="21" t="str">
        <x:v>Glow Serum texture and efficacy</x:v>
      </x:c>
      <x:c r="M25" s="21" t="str">
        <x:v>Consumer discussion describes the Glow Serum as slightly sticky while also discussing hydration/glow benefits.</x:v>
      </x:c>
      <x:c r="N25" s="21" t="str">
        <x:v>Hydration, glow and soothing themes.</x:v>
      </x:c>
      <x:c r="O25" s="21" t="str">
        <x:v>Slight stickiness and variable results.</x:v>
      </x:c>
      <x:c r="P25" s="21" t="str">
        <x:v>Mixed</x:v>
      </x:c>
      <x:c r="Q25" s="21" t="str">
        <x:v>Mixed</x:v>
      </x:c>
      <x:c r="R25" s="21" t="str">
        <x:v>Other Beauty of Joseon serums</x:v>
      </x:c>
      <x:c r="S25" s="21" t="str">
        <x:v>Not verified</x:v>
      </x:c>
      <x:c r="T25" s="21" t="str">
        <x:v>Low-Medium</x:v>
      </x:c>
      <x:c r="U25" s="21" t="str">
        <x:v>SRC-BOJ-030</x:v>
      </x:c>
      <x:c r="V25" s="21" t="str">
        <x:v>Anecdotal; formula and packaging may change.</x:v>
      </x:c>
    </x:row>
    <x:row r="26" ht="96" customHeight="1">
      <x:c r="A26" s="21" t="str">
        <x:v>REV-BOJ-013</x:v>
      </x:c>
      <x:c r="B26" s="21" t="str">
        <x:v>KB002</x:v>
      </x:c>
      <x:c r="C26" s="21"/>
      <x:c r="D26" s="21" t="str">
        <x:v>Reddit r/kbeauty</x:v>
      </x:c>
      <x:c r="E26" s="21" t="str">
        <x:v>https://www.reddit.com/r/kbeauty/comments/1u1jj5l/what_happened/</x:v>
      </x:c>
      <x:c r="F26" s="25" t="str">
        <x:v>2026-06-09</x:v>
      </x:c>
      <x:c r="G26" s="25" t="str">
        <x:v>2026-07-29</x:v>
      </x:c>
      <x:c r="H26" s="33" t="str">
        <x:v>Large discussion thread; non-representative</x:v>
      </x:c>
      <x:c r="I26" s="21" t="str">
        <x:v>No</x:v>
      </x:c>
      <x:c r="J26" s="21" t="str">
        <x:v>Forum/self-selection risk</x:v>
      </x:c>
      <x:c r="K26" s="21" t="str">
        <x:v>Mixed / Concern</x:v>
      </x:c>
      <x:c r="L26" s="21" t="str">
        <x:v>U.S.-specific reformulations, pricing and ownership/channel change</x:v>
      </x:c>
      <x:c r="M26" s="21" t="str">
        <x:v>Consumers discuss confusion and dissatisfaction around U.S.-made/reformulated products, pricing and differences from Korean/global versions.</x:v>
      </x:c>
      <x:c r="N26" s="21" t="str">
        <x:v>Some users still report liking specific Beauty of Joseon products.</x:v>
      </x:c>
      <x:c r="O26" s="21" t="str">
        <x:v>Market-version confusion, price gaps and formulation-change skepticism can damage trust.</x:v>
      </x:c>
      <x:c r="P26" s="21" t="str">
        <x:v>Mixed</x:v>
      </x:c>
      <x:c r="Q26" s="21" t="str">
        <x:v>Mixed</x:v>
      </x:c>
      <x:c r="R26" s="21" t="str">
        <x:v>Other K-Beauty brands</x:v>
      </x:c>
      <x:c r="S26" s="21" t="str">
        <x:v>Not consistently verified</x:v>
      </x:c>
      <x:c r="T26" s="21" t="str">
        <x:v>Medium</x:v>
      </x:c>
      <x:c r="U26" s="21" t="str">
        <x:v>SRC-BOJ-031</x:v>
      </x:c>
      <x:c r="V26" s="21" t="str">
        <x:v>Consumer perception signal; corporate/official sources control facts.</x:v>
      </x:c>
    </x:row>
    <x:row r="27" ht="100" customHeight="1">
      <x:c r="A27" s="21" t="str">
        <x:v>REV-ANUA-001</x:v>
      </x:c>
      <x:c r="B27" s="21" t="str">
        <x:v>KB003</x:v>
      </x:c>
      <x:c r="C27" s="21" t="str">
        <x:v>ANUA-P001</x:v>
      </x:c>
      <x:c r="D27" s="21" t="str">
        <x:v>Amazon U.S.</x:v>
      </x:c>
      <x:c r="E27" s="21" t="str">
        <x:v>https://www.amazon.com/dp/B0BVV8BNYJ</x:v>
      </x:c>
      <x:c r="F27" s="25"/>
      <x:c r="G27" s="25" t="str">
        <x:v>2026-07-29</x:v>
      </x:c>
      <x:c r="H27" s="33" t="n">
        <x:v>20358</x:v>
      </x:c>
      <x:c r="I27" s="21" t="str">
        <x:v>Mixed / not individually audited</x:v>
      </x:c>
      <x:c r="J27" s="21" t="str">
        <x:v>Amazon review programs and seller attribution vary</x:v>
      </x:c>
      <x:c r="K27" s="21" t="str">
        <x:v>Strongly Positive</x:v>
      </x:c>
      <x:c r="L27" s="21" t="str">
        <x:v>Pore-cleansing routine fit and value</x:v>
      </x:c>
      <x:c r="M27" s="21" t="str">
        <x:v>4.6 aggregate rating, 60K+ monthly purchase badge and #7 category rank support broad adoption.</x:v>
      </x:c>
      <x:c r="N27" s="21" t="str">
        <x:v>Soft clean feel, low current price and routine pairing with cleansing oil.</x:v>
      </x:c>
      <x:c r="O27" s="21" t="str">
        <x:v>Strong foam/pore-cleansing products can feel drying; aggregate data does not isolate skin types.</x:v>
      </x:c>
      <x:c r="P27" s="21" t="str">
        <x:v>Mixed</x:v>
      </x:c>
      <x:c r="Q27" s="21" t="str">
        <x:v>Strong purchase signal</x:v>
      </x:c>
      <x:c r="R27" s="21" t="str">
        <x:v>COSRX Low pH Cleanser</x:v>
      </x:c>
      <x:c r="S27" s="21" t="str">
        <x:v>Yes / U.S. marketplace</x:v>
      </x:c>
      <x:c r="T27" s="21" t="str">
        <x:v>High</x:v>
      </x:c>
      <x:c r="U27" s="21" t="str">
        <x:v>SRC-ANUA-007</x:v>
      </x:c>
      <x:c r="V27" s="21" t="str">
        <x:v>Aggregate platform evidence; no audited review-velocity calculation.</x:v>
      </x:c>
    </x:row>
    <x:row r="28" ht="100" customHeight="1">
      <x:c r="A28" s="21" t="str">
        <x:v>REV-ANUA-002</x:v>
      </x:c>
      <x:c r="B28" s="21" t="str">
        <x:v>KB003</x:v>
      </x:c>
      <x:c r="C28" s="21" t="str">
        <x:v>ANUA-P002</x:v>
      </x:c>
      <x:c r="D28" s="21" t="str">
        <x:v>Amazon U.S.</x:v>
      </x:c>
      <x:c r="E28" s="21" t="str">
        <x:v>https://www.amazon.com/dp/B0DG1DQ2S7</x:v>
      </x:c>
      <x:c r="F28" s="25"/>
      <x:c r="G28" s="25" t="str">
        <x:v>2026-07-29</x:v>
      </x:c>
      <x:c r="H28" s="33" t="n">
        <x:v>5623</x:v>
      </x:c>
      <x:c r="I28" s="21" t="str">
        <x:v>Mixed / not individually audited</x:v>
      </x:c>
      <x:c r="J28" s="21" t="str">
        <x:v>Amazon review programs and seller attribution vary</x:v>
      </x:c>
      <x:c r="K28" s="21" t="str">
        <x:v>Strongly Positive</x:v>
      </x:c>
      <x:c r="L28" s="21" t="str">
        <x:v>Fast-rising azelaic serum</x:v>
      </x:c>
      <x:c r="M28" s="21" t="str">
        <x:v>4.6 aggregate rating, 70K+ bought/month and #6 Facial Serums show exceptional current momentum.</x:v>
      </x:c>
      <x:c r="N28" s="21" t="str">
        <x:v>Light serum format, redness/uneven-tone relevance and strong repeat interest.</x:v>
      </x:c>
      <x:c r="O28" s="21" t="str">
        <x:v>Strong-actives tolerance and results vary; purchase badge is not audited units.</x:v>
      </x:c>
      <x:c r="P28" s="21" t="str">
        <x:v>Mixed</x:v>
      </x:c>
      <x:c r="Q28" s="21" t="str">
        <x:v>Very strong purchase signal</x:v>
      </x:c>
      <x:c r="R28" s="21" t="str">
        <x:v>The Ordinary and Naturium</x:v>
      </x:c>
      <x:c r="S28" s="21" t="str">
        <x:v>Yes / U.S. marketplace</x:v>
      </x:c>
      <x:c r="T28" s="21" t="str">
        <x:v>High</x:v>
      </x:c>
      <x:c r="U28" s="21" t="str">
        <x:v>SRC-ANUA-008</x:v>
      </x:c>
      <x:c r="V28" s="21" t="str">
        <x:v>Aggregate platform evidence.</x:v>
      </x:c>
    </x:row>
    <x:row r="29" ht="100" customHeight="1">
      <x:c r="A29" s="21" t="str">
        <x:v>REV-ANUA-003</x:v>
      </x:c>
      <x:c r="B29" s="21" t="str">
        <x:v>KB003</x:v>
      </x:c>
      <x:c r="C29" s="21" t="str">
        <x:v>ANUA-P003</x:v>
      </x:c>
      <x:c r="D29" s="21" t="str">
        <x:v>Amazon U.S.</x:v>
      </x:c>
      <x:c r="E29" s="21" t="str">
        <x:v>https://www.amazon.com/dp/B0BN2PX8V3</x:v>
      </x:c>
      <x:c r="F29" s="25"/>
      <x:c r="G29" s="25" t="str">
        <x:v>2026-07-29</x:v>
      </x:c>
      <x:c r="H29" s="33" t="n">
        <x:v>28272</x:v>
      </x:c>
      <x:c r="I29" s="21" t="str">
        <x:v>Mixed / not individually audited</x:v>
      </x:c>
      <x:c r="J29" s="21" t="str">
        <x:v>Amazon review programs and seller attribution vary</x:v>
      </x:c>
      <x:c r="K29" s="21" t="str">
        <x:v>Mostly Positive</x:v>
      </x:c>
      <x:c r="L29" s="21" t="str">
        <x:v>Makeup/sebum removal versus acne compatibility</x:v>
      </x:c>
      <x:c r="M29" s="21" t="str">
        <x:v>4.4 aggregate rating, 50K+ bought/month and #1 Makeup Cleansing Oils indicate very broad use.</x:v>
      </x:c>
      <x:c r="N29" s="21" t="str">
        <x:v>Effective first cleanse, large format and double-cleansing routine appeal.</x:v>
      </x:c>
      <x:c r="O29" s="21" t="str">
        <x:v>Lower aggregate rating than other heroes; oil-cleanser breakouts/comedone concerns recur in consumer forums.</x:v>
      </x:c>
      <x:c r="P29" s="21" t="str">
        <x:v>Mixed</x:v>
      </x:c>
      <x:c r="Q29" s="21" t="str">
        <x:v>Strong purchase signal</x:v>
      </x:c>
      <x:c r="R29" s="21" t="str">
        <x:v>SKIN1004 and ma:nyo cleansing oils</x:v>
      </x:c>
      <x:c r="S29" s="21" t="str">
        <x:v>Yes / U.S. marketplace</x:v>
      </x:c>
      <x:c r="T29" s="21" t="str">
        <x:v>High</x:v>
      </x:c>
      <x:c r="U29" s="21" t="str">
        <x:v>SRC-ANUA-009</x:v>
      </x:c>
      <x:c r="V29" s="21" t="str">
        <x:v>Aggregate platform evidence.</x:v>
      </x:c>
    </x:row>
    <x:row r="30" ht="100" customHeight="1">
      <x:c r="A30" s="21" t="str">
        <x:v>REV-ANUA-004</x:v>
      </x:c>
      <x:c r="B30" s="21" t="str">
        <x:v>KB003</x:v>
      </x:c>
      <x:c r="C30" s="21" t="str">
        <x:v>ANUA-P004</x:v>
      </x:c>
      <x:c r="D30" s="21" t="str">
        <x:v>Amazon U.S.</x:v>
      </x:c>
      <x:c r="E30" s="21" t="str">
        <x:v>https://www.amazon.com/dp/B0CLLV2T1P</x:v>
      </x:c>
      <x:c r="F30" s="25"/>
      <x:c r="G30" s="25" t="str">
        <x:v>2026-07-29</x:v>
      </x:c>
      <x:c r="H30" s="33" t="n">
        <x:v>16354</x:v>
      </x:c>
      <x:c r="I30" s="21" t="str">
        <x:v>Mixed / not individually audited</x:v>
      </x:c>
      <x:c r="J30" s="21" t="str">
        <x:v>Amazon review programs and seller attribution vary</x:v>
      </x:c>
      <x:c r="K30" s="21" t="str">
        <x:v>Mostly Positive</x:v>
      </x:c>
      <x:c r="L30" s="21" t="str">
        <x:v>Brightening active stack versus sensitivity/stickiness</x:v>
      </x:c>
      <x:c r="M30" s="21" t="str">
        <x:v>4.5 aggregate rating and 30K+ monthly purchase badge support a large franchise.</x:v>
      </x:c>
      <x:c r="N30" s="21" t="str">
        <x:v>Recognizable 10% niacinamide + 4% TXA story and large review base.</x:v>
      </x:c>
      <x:c r="O30" s="21" t="str">
        <x:v>High active level can irritate; sticky-texture reports appear in Reddit sampling.</x:v>
      </x:c>
      <x:c r="P30" s="21" t="str">
        <x:v>Mixed</x:v>
      </x:c>
      <x:c r="Q30" s="21" t="str">
        <x:v>Strong purchase signal</x:v>
      </x:c>
      <x:c r="R30" s="21" t="str">
        <x:v>Good Molecules and Medicube</x:v>
      </x:c>
      <x:c r="S30" s="21" t="str">
        <x:v>Yes / U.S. marketplace</x:v>
      </x:c>
      <x:c r="T30" s="21" t="str">
        <x:v>High</x:v>
      </x:c>
      <x:c r="U30" s="21" t="str">
        <x:v>SRC-ANUA-010</x:v>
      </x:c>
      <x:c r="V30" s="21" t="str">
        <x:v>Aggregate platform evidence.</x:v>
      </x:c>
    </x:row>
    <x:row r="31" ht="100" customHeight="1">
      <x:c r="A31" s="21" t="str">
        <x:v>REV-ANUA-005</x:v>
      </x:c>
      <x:c r="B31" s="21" t="str">
        <x:v>KB003</x:v>
      </x:c>
      <x:c r="C31" s="21" t="str">
        <x:v>ANUA-P005</x:v>
      </x:c>
      <x:c r="D31" s="21" t="str">
        <x:v>Amazon U.S.</x:v>
      </x:c>
      <x:c r="E31" s="21" t="str">
        <x:v>https://www.amazon.com/dp/B08CMS8P67</x:v>
      </x:c>
      <x:c r="F31" s="25"/>
      <x:c r="G31" s="25" t="str">
        <x:v>2026-07-29</x:v>
      </x:c>
      <x:c r="H31" s="33" t="n">
        <x:v>14779</x:v>
      </x:c>
      <x:c r="I31" s="21" t="str">
        <x:v>Mixed / not individually audited</x:v>
      </x:c>
      <x:c r="J31" s="21" t="str">
        <x:v>Amazon review programs and seller attribution vary</x:v>
      </x:c>
      <x:c r="K31" s="21" t="str">
        <x:v>Mostly Positive</x:v>
      </x:c>
      <x:c r="L31" s="21" t="str">
        <x:v>Durable toner awareness but no longer #1</x:v>
      </x:c>
      <x:c r="M31" s="21" t="str">
        <x:v>4.5 aggregate rating and 10K+ bought/month remain strong; direct category rank was #16.</x:v>
      </x:c>
      <x:c r="N31" s="21" t="str">
        <x:v>Gentle watery feel, hydration and repeat use for some.</x:v>
      </x:c>
      <x:c r="O31" s="21" t="str">
        <x:v>No-effect, breakout and closed-comedone anecdotes; current rank conflicts with undated official #1 wording.</x:v>
      </x:c>
      <x:c r="P31" s="21" t="str">
        <x:v>Mixed</x:v>
      </x:c>
      <x:c r="Q31" s="21" t="str">
        <x:v>Positive</x:v>
      </x:c>
      <x:c r="R31" s="21" t="str">
        <x:v>I'm From and Haruharu Wonder toners</x:v>
      </x:c>
      <x:c r="S31" s="21" t="str">
        <x:v>Yes / U.S. marketplace</x:v>
      </x:c>
      <x:c r="T31" s="21" t="str">
        <x:v>High</x:v>
      </x:c>
      <x:c r="U31" s="21" t="str">
        <x:v>SRC-ANUA-011</x:v>
      </x:c>
      <x:c r="V31" s="21" t="str">
        <x:v>Aggregate platform evidence and current-rank caveat.</x:v>
      </x:c>
    </x:row>
    <x:row r="32" ht="100" customHeight="1">
      <x:c r="A32" s="21" t="str">
        <x:v>REV-ANUA-006</x:v>
      </x:c>
      <x:c r="B32" s="21" t="str">
        <x:v>KB003</x:v>
      </x:c>
      <x:c r="C32" s="21" t="str">
        <x:v>ANUA-P005</x:v>
      </x:c>
      <x:c r="D32" s="21" t="str">
        <x:v>Official DTC</x:v>
      </x:c>
      <x:c r="E32" s="21" t="str">
        <x:v>https://anua.com/products/heartleaf-77-soothing-toner</x:v>
      </x:c>
      <x:c r="F32" s="25"/>
      <x:c r="G32" s="25" t="str">
        <x:v>2026-07-29</x:v>
      </x:c>
      <x:c r="H32" s="33" t="n">
        <x:v>455</x:v>
      </x:c>
      <x:c r="I32" s="21" t="str">
        <x:v>Official-site reviews</x:v>
      </x:c>
      <x:c r="J32" s="21" t="str">
        <x:v>Brand-owned review environment</x:v>
      </x:c>
      <x:c r="K32" s="21" t="str">
        <x:v>Strongly Positive</x:v>
      </x:c>
      <x:c r="L32" s="21" t="str">
        <x:v>Soothing/hydration and recommendation</x:v>
      </x:c>
      <x:c r="M32" s="21" t="str">
        <x:v>Official page displayed 4.7/455 and 98% recommendation.</x:v>
      </x:c>
      <x:c r="N32" s="21" t="str">
        <x:v>Hydration, refreshing feel and routine compatibility dominate positive signals.</x:v>
      </x:c>
      <x:c r="O32" s="21" t="str">
        <x:v>Brand-owned environment may skew positive; page also carries an Amazon #1 statement not current in direct check.</x:v>
      </x:c>
      <x:c r="P32" s="21" t="str">
        <x:v>Mixed</x:v>
      </x:c>
      <x:c r="Q32" s="21" t="str">
        <x:v>Strong</x:v>
      </x:c>
      <x:c r="R32" s="21" t="str">
        <x:v>Other soothing toners</x:v>
      </x:c>
      <x:c r="S32" s="21" t="str">
        <x:v>U.S. DTC</x:v>
      </x:c>
      <x:c r="T32" s="21" t="str">
        <x:v>High</x:v>
      </x:c>
      <x:c r="U32" s="21" t="str">
        <x:v>SRC-ANUA-017</x:v>
      </x:c>
      <x:c r="V32" s="21" t="str">
        <x:v>Official-site aggregate snapshot.</x:v>
      </x:c>
    </x:row>
    <x:row r="33" ht="100" customHeight="1">
      <x:c r="A33" s="21" t="str">
        <x:v>REV-ANUA-007</x:v>
      </x:c>
      <x:c r="B33" s="21" t="str">
        <x:v>KB003</x:v>
      </x:c>
      <x:c r="C33" s="21" t="str">
        <x:v>ANUA-P005</x:v>
      </x:c>
      <x:c r="D33" s="21" t="str">
        <x:v>Ulta Beauty</x:v>
      </x:c>
      <x:c r="E33" s="21" t="str">
        <x:v>https://www.ulta.com/p/heartleaf-77-soothing-toner-pimprod2048929</x:v>
      </x:c>
      <x:c r="F33" s="25"/>
      <x:c r="G33" s="25" t="str">
        <x:v>2026-07-29</x:v>
      </x:c>
      <x:c r="H33" s="33" t="n">
        <x:v>144</x:v>
      </x:c>
      <x:c r="I33" s="21" t="str">
        <x:v>Mixed / retailer reviews</x:v>
      </x:c>
      <x:c r="J33" s="21" t="str">
        <x:v>Retailer incentives/disclosures vary</x:v>
      </x:c>
      <x:c r="K33" s="21" t="str">
        <x:v>Mostly Positive</x:v>
      </x:c>
      <x:c r="L33" s="21" t="str">
        <x:v>Light soothing toner versus limited visible impact</x:v>
      </x:c>
      <x:c r="M33" s="21" t="str">
        <x:v>Ulta displayed about 4.4/144 and a $21 price.</x:v>
      </x:c>
      <x:c r="N33" s="21" t="str">
        <x:v>Light, refreshing and calming for some users.</x:v>
      </x:c>
      <x:c r="O33" s="21" t="str">
        <x:v>Some reviewers find it gentle but ineffective or insufficiently hydrating.</x:v>
      </x:c>
      <x:c r="P33" s="21" t="str">
        <x:v>Mixed</x:v>
      </x:c>
      <x:c r="Q33" s="21" t="str">
        <x:v>Positive</x:v>
      </x:c>
      <x:c r="R33" s="21" t="str">
        <x:v>Other Ulta K-Beauty toners</x:v>
      </x:c>
      <x:c r="S33" s="21" t="str">
        <x:v>Yes / U.S. retailer</x:v>
      </x:c>
      <x:c r="T33" s="21" t="str">
        <x:v>High</x:v>
      </x:c>
      <x:c r="U33" s="21" t="str">
        <x:v>SRC-ANUA-023</x:v>
      </x:c>
      <x:c r="V33" s="21" t="str">
        <x:v>Counts change over time.</x:v>
      </x:c>
    </x:row>
    <x:row r="34" ht="100" customHeight="1">
      <x:c r="A34" s="21" t="str">
        <x:v>REV-ANUA-008</x:v>
      </x:c>
      <x:c r="B34" s="21" t="str">
        <x:v>KB003</x:v>
      </x:c>
      <x:c r="C34" s="21" t="str">
        <x:v>ANUA-P005</x:v>
      </x:c>
      <x:c r="D34" s="21" t="str">
        <x:v>Reddit r/AsianBeauty</x:v>
      </x:c>
      <x:c r="E34" s="21" t="str">
        <x:v>https://www.reddit.com/r/AsianBeauty/comments/hxgl3r</x:v>
      </x:c>
      <x:c r="F34" s="25"/>
      <x:c r="G34" s="25" t="str">
        <x:v>2026-07-29</x:v>
      </x:c>
      <x:c r="H34" s="33" t="str">
        <x:v>Single review plus comments</x:v>
      </x:c>
      <x:c r="I34" s="21" t="str">
        <x:v>No</x:v>
      </x:c>
      <x:c r="J34" s="21" t="str">
        <x:v>Forum/self-selection risk</x:v>
      </x:c>
      <x:c r="K34" s="21" t="str">
        <x:v>Positive</x:v>
      </x:c>
      <x:c r="L34" s="21" t="str">
        <x:v>Heartleaf toner soothing/oil-control experience</x:v>
      </x:c>
      <x:c r="M34" s="21" t="str">
        <x:v>Reviewer reported smoother-feeling skin, less-looking redness/oil and hydration.</x:v>
      </x:c>
      <x:c r="N34" s="21" t="str">
        <x:v>Soothing, hydrating and easy to layer.</x:v>
      </x:c>
      <x:c r="O34" s="21" t="str">
        <x:v>Price/accessibility were concerns; single-user evidence.</x:v>
      </x:c>
      <x:c r="P34" s="21" t="str">
        <x:v>Not consistently specified</x:v>
      </x:c>
      <x:c r="Q34" s="21" t="str">
        <x:v>Positive</x:v>
      </x:c>
      <x:c r="R34" s="21" t="str">
        <x:v>Other soothing toners</x:v>
      </x:c>
      <x:c r="S34" s="21" t="str">
        <x:v>Not verified</x:v>
      </x:c>
      <x:c r="T34" s="21" t="str">
        <x:v>Low-Medium</x:v>
      </x:c>
      <x:c r="U34" s="21" t="str">
        <x:v>SRC-ANUA-028</x:v>
      </x:c>
      <x:c r="V34" s="21" t="str">
        <x:v>Anecdotal consumer evidence.</x:v>
      </x:c>
    </x:row>
    <x:row r="35" ht="100" customHeight="1">
      <x:c r="A35" s="21" t="str">
        <x:v>REV-ANUA-009</x:v>
      </x:c>
      <x:c r="B35" s="21" t="str">
        <x:v>KB003</x:v>
      </x:c>
      <x:c r="C35" s="21" t="str">
        <x:v>ANUA-P005</x:v>
      </x:c>
      <x:c r="D35" s="21" t="str">
        <x:v>Reddit r/KoreanBeauty</x:v>
      </x:c>
      <x:c r="E35" s="21" t="str">
        <x:v>https://www.reddit.com/r/KoreanBeauty/comments/12s8j8d/anua_heartleaf_toner_breakout/</x:v>
      </x:c>
      <x:c r="F35" s="25" t="str">
        <x:v>2023-04-19</x:v>
      </x:c>
      <x:c r="G35" s="25" t="str">
        <x:v>2026-07-29</x:v>
      </x:c>
      <x:c r="H35" s="33" t="str">
        <x:v>Thread; non-representative</x:v>
      </x:c>
      <x:c r="I35" s="21" t="str">
        <x:v>No</x:v>
      </x:c>
      <x:c r="J35" s="21" t="str">
        <x:v>Forum/self-selection risk</x:v>
      </x:c>
      <x:c r="K35" s="21" t="str">
        <x:v>Negative / Mixed</x:v>
      </x:c>
      <x:c r="L35" s="21" t="str">
        <x:v>Breakouts and closed comedones</x:v>
      </x:c>
      <x:c r="M35" s="21" t="str">
        <x:v>Users discuss breakouts or closed comedones after use, while others tolerate the toner.</x:v>
      </x:c>
      <x:c r="N35" s="21" t="str">
        <x:v>Some commenters report no issue or soothing use.</x:v>
      </x:c>
      <x:c r="O35" s="21" t="str">
        <x:v>Breakout/comedone concern and product incompatibility.</x:v>
      </x:c>
      <x:c r="P35" s="21" t="str">
        <x:v>Acne-prone/sensitive examples</x:v>
      </x:c>
      <x:c r="Q35" s="21" t="str">
        <x:v>Mixed</x:v>
      </x:c>
      <x:c r="R35" s="21" t="str">
        <x:v>Other soothing toners</x:v>
      </x:c>
      <x:c r="S35" s="21" t="str">
        <x:v>Not verified</x:v>
      </x:c>
      <x:c r="T35" s="21" t="str">
        <x:v>Low-Medium</x:v>
      </x:c>
      <x:c r="U35" s="21" t="str">
        <x:v>SRC-ANUA-029</x:v>
      </x:c>
      <x:c r="V35" s="21" t="str">
        <x:v>Anecdotal; no causation established.</x:v>
      </x:c>
    </x:row>
    <x:row r="36" ht="100" customHeight="1">
      <x:c r="A36" s="21" t="str">
        <x:v>REV-ANUA-010</x:v>
      </x:c>
      <x:c r="B36" s="21" t="str">
        <x:v>KB003</x:v>
      </x:c>
      <x:c r="C36" s="21" t="str">
        <x:v>ANUA-P005</x:v>
      </x:c>
      <x:c r="D36" s="21" t="str">
        <x:v>Reddit r/KoreanBeauty</x:v>
      </x:c>
      <x:c r="E36" s="21" t="str">
        <x:v>https://www.reddit.com/r/KoreanBeauty/comments/1hsy3h0/is_anua_heartleaf_77_soothing_toner_good_for_oily/</x:v>
      </x:c>
      <x:c r="F36" s="25" t="str">
        <x:v>2025-01-01</x:v>
      </x:c>
      <x:c r="G36" s="25" t="str">
        <x:v>2026-07-29</x:v>
      </x:c>
      <x:c r="H36" s="33" t="str">
        <x:v>Thread; non-representative</x:v>
      </x:c>
      <x:c r="I36" s="21" t="str">
        <x:v>No</x:v>
      </x:c>
      <x:c r="J36" s="21" t="str">
        <x:v>Forum/self-selection risk</x:v>
      </x:c>
      <x:c r="K36" s="21" t="str">
        <x:v>Polarized</x:v>
      </x:c>
      <x:c r="L36" s="21" t="str">
        <x:v>Soothing favorite versus no effect</x:v>
      </x:c>
      <x:c r="M36" s="21" t="str">
        <x:v>Some users call the toner soothing and useful for oily skin; others describe no effect or a poor experience.</x:v>
      </x:c>
      <x:c r="N36" s="21" t="str">
        <x:v>Soothing and lightweight for some.</x:v>
      </x:c>
      <x:c r="O36" s="21" t="str">
        <x:v>No visible improvement and incompatibility for others.</x:v>
      </x:c>
      <x:c r="P36" s="21" t="str">
        <x:v>Oily/acne-prone examples</x:v>
      </x:c>
      <x:c r="Q36" s="21" t="str">
        <x:v>Mixed</x:v>
      </x:c>
      <x:c r="R36" s="21" t="str">
        <x:v>Multiple Korean toners</x:v>
      </x:c>
      <x:c r="S36" s="21" t="str">
        <x:v>Not verified</x:v>
      </x:c>
      <x:c r="T36" s="21" t="str">
        <x:v>Low-Medium</x:v>
      </x:c>
      <x:c r="U36" s="21" t="str">
        <x:v>SRC-ANUA-030</x:v>
      </x:c>
      <x:c r="V36" s="21" t="str">
        <x:v>Anecdotal and self-selected.</x:v>
      </x:c>
    </x:row>
    <x:row r="37" ht="100" customHeight="1">
      <x:c r="A37" s="21" t="str">
        <x:v>REV-ANUA-011</x:v>
      </x:c>
      <x:c r="B37" s="21" t="str">
        <x:v>KB003</x:v>
      </x:c>
      <x:c r="C37" s="21" t="str">
        <x:v>ANUA-P004</x:v>
      </x:c>
      <x:c r="D37" s="21" t="str">
        <x:v>Reddit r/KoreanBeauty</x:v>
      </x:c>
      <x:c r="E37" s="21" t="str">
        <x:v>https://www.reddit.com/r/KoreanBeauty/comments/1h8ra7h/review_anua_10_niacinamide_serum/</x:v>
      </x:c>
      <x:c r="F37" s="25" t="str">
        <x:v>2024-12-06</x:v>
      </x:c>
      <x:c r="G37" s="25" t="str">
        <x:v>2026-07-29</x:v>
      </x:c>
      <x:c r="H37" s="33" t="str">
        <x:v>Thread; non-representative</x:v>
      </x:c>
      <x:c r="I37" s="21" t="str">
        <x:v>No</x:v>
      </x:c>
      <x:c r="J37" s="21" t="str">
        <x:v>Forum/self-selection risk</x:v>
      </x:c>
      <x:c r="K37" s="21" t="str">
        <x:v>Mostly Positive</x:v>
      </x:c>
      <x:c r="L37" s="21" t="str">
        <x:v>Brightening versus high-active sensitivity</x:v>
      </x:c>
      <x:c r="M37" s="21" t="str">
        <x:v>Users report brighter/more even-looking tone, while warning that 10% niacinamide and 4% TXA can irritate sensitive skin.</x:v>
      </x:c>
      <x:c r="N37" s="21" t="str">
        <x:v>Visible brightening for some and appealing active combination.</x:v>
      </x:c>
      <x:c r="O37" s="21" t="str">
        <x:v>Sensitivity risk and gradual introduction.</x:v>
      </x:c>
      <x:c r="P37" s="21" t="str">
        <x:v>Sensitive and acne-prone examples</x:v>
      </x:c>
      <x:c r="Q37" s="21" t="str">
        <x:v>Positive / mixed</x:v>
      </x:c>
      <x:c r="R37" s="21" t="str">
        <x:v>Other brightening serums</x:v>
      </x:c>
      <x:c r="S37" s="21" t="str">
        <x:v>Not verified</x:v>
      </x:c>
      <x:c r="T37" s="21" t="str">
        <x:v>Low-Medium</x:v>
      </x:c>
      <x:c r="U37" s="21" t="str">
        <x:v>SRC-ANUA-031</x:v>
      </x:c>
      <x:c r="V37" s="21" t="str">
        <x:v>Anecdotal; no medical conclusion.</x:v>
      </x:c>
    </x:row>
    <x:row r="38" ht="100" customHeight="1">
      <x:c r="A38" s="21" t="str">
        <x:v>REV-ANUA-012</x:v>
      </x:c>
      <x:c r="B38" s="21" t="str">
        <x:v>KB003</x:v>
      </x:c>
      <x:c r="C38" s="21" t="str">
        <x:v>ANUA-P004</x:v>
      </x:c>
      <x:c r="D38" s="21" t="str">
        <x:v>Reddit r/KoreanBeauty</x:v>
      </x:c>
      <x:c r="E38" s="21" t="str">
        <x:v>https://www.reddit.com/r/KoreanBeauty/comments/1dkhmbk/is_the_anua_niacinamide_10_txa_4_serum_supposed/</x:v>
      </x:c>
      <x:c r="F38" s="25" t="str">
        <x:v>2024-06-20</x:v>
      </x:c>
      <x:c r="G38" s="25" t="str">
        <x:v>2026-07-29</x:v>
      </x:c>
      <x:c r="H38" s="33" t="str">
        <x:v>Thread; non-representative</x:v>
      </x:c>
      <x:c r="I38" s="21" t="str">
        <x:v>No</x:v>
      </x:c>
      <x:c r="J38" s="21" t="str">
        <x:v>Forum/self-selection risk</x:v>
      </x:c>
      <x:c r="K38" s="21" t="str">
        <x:v>Mixed-Negative</x:v>
      </x:c>
      <x:c r="L38" s="21" t="str">
        <x:v>Sticky texture</x:v>
      </x:c>
      <x:c r="M38" s="21" t="str">
        <x:v>Consumer discussion centers on unexpectedly sticky/tacky texture and application amount.</x:v>
      </x:c>
      <x:c r="N38" s="21" t="str">
        <x:v>Some commenters find smaller amounts/layering manageable.</x:v>
      </x:c>
      <x:c r="O38" s="21" t="str">
        <x:v>Stickiness and routine compatibility.</x:v>
      </x:c>
      <x:c r="P38" s="21" t="str">
        <x:v>Mixed</x:v>
      </x:c>
      <x:c r="Q38" s="21" t="str">
        <x:v>Mixed</x:v>
      </x:c>
      <x:c r="R38" s="21" t="str">
        <x:v>Other niacinamide/TXA serums</x:v>
      </x:c>
      <x:c r="S38" s="21" t="str">
        <x:v>Not verified</x:v>
      </x:c>
      <x:c r="T38" s="21" t="str">
        <x:v>Low-Medium</x:v>
      </x:c>
      <x:c r="U38" s="21" t="str">
        <x:v>SRC-ANUA-032</x:v>
      </x:c>
      <x:c r="V38" s="21" t="str">
        <x:v>Anecdotal texture evidence.</x:v>
      </x:c>
    </x:row>
    <x:row r="39" ht="100" customHeight="1">
      <x:c r="A39" s="21" t="str">
        <x:v>REV-ANUA-013</x:v>
      </x:c>
      <x:c r="B39" s="21" t="str">
        <x:v>KB003</x:v>
      </x:c>
      <x:c r="C39" s="21" t="str">
        <x:v>ANUA-P003</x:v>
      </x:c>
      <x:c r="D39" s="21" t="str">
        <x:v>Reddit r/AsianBeauty</x:v>
      </x:c>
      <x:c r="E39" s="21" t="str">
        <x:v>https://www.reddit.com/r/AsianBeauty/comments/1r8t12f/acne_prone_people_which_oil_cleanser_worked_best/</x:v>
      </x:c>
      <x:c r="F39" s="25" t="str">
        <x:v>2026-01-01</x:v>
      </x:c>
      <x:c r="G39" s="25" t="str">
        <x:v>2026-07-29</x:v>
      </x:c>
      <x:c r="H39" s="33" t="str">
        <x:v>Thread; non-representative</x:v>
      </x:c>
      <x:c r="I39" s="21" t="str">
        <x:v>No</x:v>
      </x:c>
      <x:c r="J39" s="21" t="str">
        <x:v>Community notes sponsorship/gifting concerns for Anua</x:v>
      </x:c>
      <x:c r="K39" s="21" t="str">
        <x:v>Mixed / Concern</x:v>
      </x:c>
      <x:c r="L39" s="21" t="str">
        <x:v>Oil-cleanser fit and marketing independence</x:v>
      </x:c>
      <x:c r="M39" s="21" t="str">
        <x:v>Users compare acne-prone cleansing oils with mixed Anua experiences; the community's automated note flags paid/gifted promotion and account-manipulation concerns.</x:v>
      </x:c>
      <x:c r="N39" s="21" t="str">
        <x:v>Some users find the oil effective and easy to emulsify.</x:v>
      </x:c>
      <x:c r="O39" s="21" t="str">
        <x:v>Breakout concerns and lower confidence in independent social proof.</x:v>
      </x:c>
      <x:c r="P39" s="21" t="str">
        <x:v>Acne-prone examples</x:v>
      </x:c>
      <x:c r="Q39" s="21" t="str">
        <x:v>Mixed</x:v>
      </x:c>
      <x:c r="R39" s="21" t="str">
        <x:v>SKIN1004, ma:nyo and other oils</x:v>
      </x:c>
      <x:c r="S39" s="21" t="str">
        <x:v>Not verified</x:v>
      </x:c>
      <x:c r="T39" s="21" t="str">
        <x:v>Medium</x:v>
      </x:c>
      <x:c r="U39" s="21" t="str">
        <x:v>SRC-ANUA-033</x:v>
      </x:c>
      <x:c r="V39" s="21" t="str">
        <x:v>Use as consumer-perception/sponsorship-risk evidence, not proof about every review.</x:v>
      </x:c>
    </x:row>
    <x:row r="40" ht="100" customHeight="1">
      <x:c r="A40" s="21" t="str">
        <x:v>REV-ANUA-014</x:v>
      </x:c>
      <x:c r="B40" s="21" t="str">
        <x:v>KB003</x:v>
      </x:c>
      <x:c r="C40" s="21" t="str">
        <x:v>ANUA-P002</x:v>
      </x:c>
      <x:c r="D40" s="21" t="str">
        <x:v>Reddit r/Rosacea</x:v>
      </x:c>
      <x:c r="E40" s="21" t="str">
        <x:v>https://www.reddit.com/r/Rosacea/comments/1smiuze/best_nonprescription_azelaic_acid/</x:v>
      </x:c>
      <x:c r="F40" s="25" t="str">
        <x:v>2026-01-01</x:v>
      </x:c>
      <x:c r="G40" s="25" t="str">
        <x:v>2026-07-29</x:v>
      </x:c>
      <x:c r="H40" s="33" t="str">
        <x:v>Thread; non-representative</x:v>
      </x:c>
      <x:c r="I40" s="21" t="str">
        <x:v>No</x:v>
      </x:c>
      <x:c r="J40" s="21" t="str">
        <x:v>Forum/self-selection risk</x:v>
      </x:c>
      <x:c r="K40" s="21" t="str">
        <x:v>Mixed-Positive</x:v>
      </x:c>
      <x:c r="L40" s="21" t="str">
        <x:v>Watery azelaic texture and repeat use</x:v>
      </x:c>
      <x:c r="M40" s="21" t="str">
        <x:v>A user describes Anua as watery and usable, with possible stickiness if overapplied.</x:v>
      </x:c>
      <x:c r="N40" s="21" t="str">
        <x:v>Light serum texture and repeat-use interest.</x:v>
      </x:c>
      <x:c r="O40" s="21" t="str">
        <x:v>Stickiness/amount sensitivity and individual response.</x:v>
      </x:c>
      <x:c r="P40" s="21" t="str">
        <x:v>Redness-prone examples</x:v>
      </x:c>
      <x:c r="Q40" s="21" t="str">
        <x:v>Positive / mixed</x:v>
      </x:c>
      <x:c r="R40" s="21" t="str">
        <x:v>Other azelaic products</x:v>
      </x:c>
      <x:c r="S40" s="21" t="str">
        <x:v>Not verified</x:v>
      </x:c>
      <x:c r="T40" s="21" t="str">
        <x:v>Low-Medium</x:v>
      </x:c>
      <x:c r="U40" s="21" t="str">
        <x:v>SRC-ANUA-034</x:v>
      </x:c>
      <x:c r="V40" s="21" t="str">
        <x:v>Anecdotal, not medical advice.</x:v>
      </x:c>
    </x:row>
    <x:row r="41" ht="100" customHeight="1">
      <x:c r="A41" s="21" t="str">
        <x:v>REV-ANUA-015</x:v>
      </x:c>
      <x:c r="B41" s="21" t="str">
        <x:v>KB003</x:v>
      </x:c>
      <x:c r="C41" s="21"/>
      <x:c r="D41" s="21" t="str">
        <x:v>Reddit r/koreanskincare</x:v>
      </x:c>
      <x:c r="E41" s="21" t="str">
        <x:v>https://www.reddit.com/r/koreanskincare/comments/1gy265p/did_anua_get_new_packaging_or_did_i_buy_a_fake/</x:v>
      </x:c>
      <x:c r="F41" s="25" t="str">
        <x:v>2024-11-24</x:v>
      </x:c>
      <x:c r="G41" s="25" t="str">
        <x:v>2026-07-29</x:v>
      </x:c>
      <x:c r="H41" s="33" t="str">
        <x:v>Thread; non-representative</x:v>
      </x:c>
      <x:c r="I41" s="21" t="str">
        <x:v>No</x:v>
      </x:c>
      <x:c r="J41" s="21" t="str">
        <x:v>Forum/self-selection risk</x:v>
      </x:c>
      <x:c r="K41" s="21" t="str">
        <x:v>Concern</x:v>
      </x:c>
      <x:c r="L41" s="21" t="str">
        <x:v>Packaging change versus counterfeit uncertainty</x:v>
      </x:c>
      <x:c r="M41" s="21" t="str">
        <x:v>Consumers ask whether packaging differences indicate a counterfeit, demonstrating authenticity confusion.</x:v>
      </x:c>
      <x:c r="N41" s="21" t="str">
        <x:v>Community attempts to compare packaging/batches.</x:v>
      </x:c>
      <x:c r="O41" s="21" t="str">
        <x:v>No reliable product authentication can be made from a thread alone.</x:v>
      </x:c>
      <x:c r="P41" s="21" t="str">
        <x:v>Not applicable</x:v>
      </x:c>
      <x:c r="Q41" s="21" t="str">
        <x:v>Not applicable</x:v>
      </x:c>
      <x:c r="R41" s="21" t="str">
        <x:v>Authorized retailer policy</x:v>
      </x:c>
      <x:c r="S41" s="21" t="str">
        <x:v>Not verified</x:v>
      </x:c>
      <x:c r="T41" s="21" t="str">
        <x:v>Medium</x:v>
      </x:c>
      <x:c r="U41" s="21" t="str">
        <x:v>SRC-ANUA-036</x:v>
      </x:c>
      <x:c r="V41" s="21" t="str">
        <x:v>Use official HiddenTag/authorized-channel policy for action.</x:v>
      </x:c>
    </x:row>
    <x:row r="42" ht="100" customHeight="1">
      <x:c r="A42" s="21" t="str">
        <x:v>REV-ANUA-016</x:v>
      </x:c>
      <x:c r="B42" s="21" t="str">
        <x:v>KB003</x:v>
      </x:c>
      <x:c r="C42" s="21"/>
      <x:c r="D42" s="21" t="str">
        <x:v>Reddit r/koreanskincare</x:v>
      </x:c>
      <x:c r="E42" s="21" t="str">
        <x:v>https://www.reddit.com/r/koreanskincare/comments/1uhazb6/anua_rice_70_milky_toner_is_it_fake/</x:v>
      </x:c>
      <x:c r="F42" s="25" t="str">
        <x:v>2026-01-01</x:v>
      </x:c>
      <x:c r="G42" s="25" t="str">
        <x:v>2026-07-29</x:v>
      </x:c>
      <x:c r="H42" s="33" t="str">
        <x:v>Thread; non-representative</x:v>
      </x:c>
      <x:c r="I42" s="21" t="str">
        <x:v>No</x:v>
      </x:c>
      <x:c r="J42" s="21" t="str">
        <x:v>Forum/self-selection risk</x:v>
      </x:c>
      <x:c r="K42" s="21" t="str">
        <x:v>Concern</x:v>
      </x:c>
      <x:c r="L42" s="21" t="str">
        <x:v>Marketplace authenticity uncertainty</x:v>
      </x:c>
      <x:c r="M42" s="21" t="str">
        <x:v>Consumers question whether packaging/product differences mean a Rice 70 toner is fake.</x:v>
      </x:c>
      <x:c r="N42" s="21" t="str">
        <x:v>Shows recurring need for authorized sourcing and traceability.</x:v>
      </x:c>
      <x:c r="O42" s="21" t="str">
        <x:v>Thread cannot authenticate a product.</x:v>
      </x:c>
      <x:c r="P42" s="21" t="str">
        <x:v>Not applicable</x:v>
      </x:c>
      <x:c r="Q42" s="21" t="str">
        <x:v>Not applicable</x:v>
      </x:c>
      <x:c r="R42" s="21" t="str">
        <x:v>Other marketplace purchases</x:v>
      </x:c>
      <x:c r="S42" s="21" t="str">
        <x:v>Not verified</x:v>
      </x:c>
      <x:c r="T42" s="21" t="str">
        <x:v>Low-Medium</x:v>
      </x:c>
      <x:c r="U42" s="21" t="str">
        <x:v>SRC-ANUA-037</x:v>
      </x:c>
      <x:c r="V42" s="21" t="str">
        <x:v>Anecdotal risk signal.</x:v>
      </x:c>
    </x:row>
    <x:row r="43" ht="100" customHeight="1">
      <x:c r="A43" s="21" t="str">
        <x:v>REV-ANUA-017</x:v>
      </x:c>
      <x:c r="B43" s="21" t="str">
        <x:v>KB003</x:v>
      </x:c>
      <x:c r="C43" s="21"/>
      <x:c r="D43" s="21" t="str">
        <x:v>Official Anua authenticity guide</x:v>
      </x:c>
      <x:c r="E43" s="21" t="str">
        <x:v>https://pages.anua.com/where-to-buy-anua/official-store-vs-amazon-ulta-sephora</x:v>
      </x:c>
      <x:c r="F43" s="25"/>
      <x:c r="G43" s="25" t="str">
        <x:v>2026-07-29</x:v>
      </x:c>
      <x:c r="H43" s="33" t="str">
        <x:v>Brand policy</x:v>
      </x:c>
      <x:c r="I43" s="21" t="str">
        <x:v>Not applicable</x:v>
      </x:c>
      <x:c r="J43" s="21" t="str">
        <x:v>Brand-owned policy</x:v>
      </x:c>
      <x:c r="K43" s="21" t="str">
        <x:v>Caution</x:v>
      </x:c>
      <x:c r="L43" s="21" t="str">
        <x:v>Use official/authorized channels and HiddenTag</x:v>
      </x:c>
      <x:c r="M43" s="21" t="str">
        <x:v>Anua advises buying through official/authorized channels and describes a holographic QR HiddenTag process.</x:v>
      </x:c>
      <x:c r="N43" s="21" t="str">
        <x:v>Clear action for supply-chain traceability.</x:v>
      </x:c>
      <x:c r="O43" s="21" t="str">
        <x:v>Brand-owned editorial content should not substitute for third-party counterfeit statistics.</x:v>
      </x:c>
      <x:c r="P43" s="21" t="str">
        <x:v>Not applicable</x:v>
      </x:c>
      <x:c r="Q43" s="21" t="str">
        <x:v>Not applicable</x:v>
      </x:c>
      <x:c r="R43" s="21" t="str">
        <x:v>Authorized retailers</x:v>
      </x:c>
      <x:c r="S43" s="21" t="str">
        <x:v>U.S. policy relevance</x:v>
      </x:c>
      <x:c r="T43" s="21" t="str">
        <x:v>High</x:v>
      </x:c>
      <x:c r="U43" s="21" t="str">
        <x:v>SRC-ANUA-038</x:v>
      </x:c>
      <x:c r="V43" s="21" t="str">
        <x:v>Policy evidence only; do not reuse unverified statistics from the article.</x:v>
      </x:c>
    </x:row>
    <x:row r="44" ht="102" customHeight="1">
      <x:c r="A44" s="21" t="str">
        <x:v>REV-LAN-001</x:v>
      </x:c>
      <x:c r="B44" s="21" t="str">
        <x:v>KB005</x:v>
      </x:c>
      <x:c r="C44" s="21" t="str">
        <x:v>LAN-P001</x:v>
      </x:c>
      <x:c r="D44" s="21" t="str">
        <x:v>Amazon U.S.</x:v>
      </x:c>
      <x:c r="E44" s="21" t="str">
        <x:v>https://www.amazon.com/dp/B07XXPHQZK</x:v>
      </x:c>
      <x:c r="F44" s="25"/>
      <x:c r="G44" s="25" t="str">
        <x:v>2026-07-30</x:v>
      </x:c>
      <x:c r="H44" s="33" t="n">
        <x:v>37110</x:v>
      </x:c>
      <x:c r="I44" s="21" t="str">
        <x:v>Aggregate current listing</x:v>
      </x:c>
      <x:c r="J44" s="21" t="str">
        <x:v>Amazon reviews may include Vine or other disclosed programs</x:v>
      </x:c>
      <x:c r="K44" s="21" t="str">
        <x:v>Strongly Positive</x:v>
      </x:c>
      <x:c r="L44" s="21" t="str">
        <x:v>Overnight softness and flavor experience</x:v>
      </x:c>
      <x:c r="M44" s="21" t="str">
        <x:v>4.6 rating, 37,110 reviews and 10K+ bought/month support broad adoption.</x:v>
      </x:c>
      <x:c r="N44" s="21" t="str">
        <x:v>Perfume/flavor sensitivity, perceived drying, thickness and price objections.</x:v>
      </x:c>
      <x:c r="O44" s="21" t="str">
        <x:v>These objections recur across independent consumer discussions despite the strong aggregate score.</x:v>
      </x:c>
      <x:c r="P44" s="21" t="str">
        <x:v>Rich, glossy and scented; preference is highly individual.</x:v>
      </x:c>
      <x:c r="Q44" s="21" t="str">
        <x:v>High purchase signal</x:v>
      </x:c>
      <x:c r="R44" s="21" t="str">
        <x:v>Tatcha, Fresh, Ole Henriksen and basic occlusives</x:v>
      </x:c>
      <x:c r="S44" s="21" t="str">
        <x:v>Yes / U.S. marketplace</x:v>
      </x:c>
      <x:c r="T44" s="21" t="str">
        <x:v>High</x:v>
      </x:c>
      <x:c r="U44" s="21" t="str">
        <x:v>SRC-LAN-012,SRC-LAN-034,SRC-LAN-035,SRC-LAN-036,SRC-LAN-037</x:v>
      </x:c>
      <x:c r="V44" s="21" t="str">
        <x:v>Aggregate platform evidence plus self-selected consumer discussions.</x:v>
      </x:c>
    </x:row>
    <x:row r="45" ht="102" customHeight="1">
      <x:c r="A45" s="21" t="str">
        <x:v>REV-LAN-002</x:v>
      </x:c>
      <x:c r="B45" s="21" t="str">
        <x:v>KB005</x:v>
      </x:c>
      <x:c r="C45" s="21" t="str">
        <x:v>LAN-P002</x:v>
      </x:c>
      <x:c r="D45" s="21" t="str">
        <x:v>Amazon U.S.</x:v>
      </x:c>
      <x:c r="E45" s="21" t="str">
        <x:v>https://www.amazon.com/dp/B07DY2QRF6</x:v>
      </x:c>
      <x:c r="F45" s="25"/>
      <x:c r="G45" s="25" t="str">
        <x:v>2026-07-30</x:v>
      </x:c>
      <x:c r="H45" s="33" t="n">
        <x:v>37449</x:v>
      </x:c>
      <x:c r="I45" s="21" t="str">
        <x:v>Aggregate current listing</x:v>
      </x:c>
      <x:c r="J45" s="21" t="str">
        <x:v>Amazon reviews may include Vine or other disclosed programs</x:v>
      </x:c>
      <x:c r="K45" s="21" t="str">
        <x:v>Strongly Positive</x:v>
      </x:c>
      <x:c r="L45" s="21" t="str">
        <x:v>Gloss, portability and hydration</x:v>
      </x:c>
      <x:c r="M45" s="21" t="str">
        <x:v>4.7 rating, 37,449 reviews and 9K+ bought/month; largest sampled review base.</x:v>
      </x:c>
      <x:c r="N45" s="21" t="str">
        <x:v>Sticky feel, scent/flavor sensitivity and premium price per gram.</x:v>
      </x:c>
      <x:c r="O45" s="21" t="str">
        <x:v>The sensory profile and unit price create the main consumer-fit objections.</x:v>
      </x:c>
      <x:c r="P45" s="21" t="str">
        <x:v>Glossy squeeze-tube balm; scent is a purchase driver and risk.</x:v>
      </x:c>
      <x:c r="Q45" s="21" t="str">
        <x:v>Strong purchase signal</x:v>
      </x:c>
      <x:c r="R45" s="21" t="str">
        <x:v>Summer Fridays and Ole Henriksen</x:v>
      </x:c>
      <x:c r="S45" s="21" t="str">
        <x:v>Yes / U.S. marketplace</x:v>
      </x:c>
      <x:c r="T45" s="21" t="str">
        <x:v>High</x:v>
      </x:c>
      <x:c r="U45" s="21" t="str">
        <x:v>SRC-LAN-013</x:v>
      </x:c>
      <x:c r="V45" s="21" t="str">
        <x:v>Aggregate platform evidence.</x:v>
      </x:c>
    </x:row>
    <x:row r="46" ht="102" customHeight="1">
      <x:c r="A46" s="21" t="str">
        <x:v>REV-LAN-003</x:v>
      </x:c>
      <x:c r="B46" s="21" t="str">
        <x:v>KB005</x:v>
      </x:c>
      <x:c r="C46" s="21" t="str">
        <x:v>LAN-P003</x:v>
      </x:c>
      <x:c r="D46" s="21" t="str">
        <x:v>Amazon U.S.</x:v>
      </x:c>
      <x:c r="E46" s="21" t="str">
        <x:v>https://www.amazon.com/dp/B09P54X2NS</x:v>
      </x:c>
      <x:c r="F46" s="25"/>
      <x:c r="G46" s="25" t="str">
        <x:v>2026-07-30</x:v>
      </x:c>
      <x:c r="H46" s="33" t="n">
        <x:v>1849</x:v>
      </x:c>
      <x:c r="I46" s="21" t="str">
        <x:v>Aggregate current listing</x:v>
      </x:c>
      <x:c r="J46" s="21" t="str">
        <x:v>Amazon reviews may include Vine or other disclosed programs</x:v>
      </x:c>
      <x:c r="K46" s="21" t="str">
        <x:v>Strongly Positive</x:v>
      </x:c>
      <x:c r="L46" s="21" t="str">
        <x:v>Hydration, softness and layering</x:v>
      </x:c>
      <x:c r="M46" s="21" t="str">
        <x:v>4.6 rating, 1,849 reviews and 2K+ bought/month support durable facial-care use.</x:v>
      </x:c>
      <x:c r="N46" s="21" t="str">
        <x:v>Some users still need moisturizer; price and refill/size comparison can confuse.</x:v>
      </x:c>
      <x:c r="O46" s="21" t="str">
        <x:v>Forum users explicitly note that it may be a hydration layer rather than a complete moisturizer.</x:v>
      </x:c>
      <x:c r="P46" s="21" t="str">
        <x:v>Watery-milky, fast-layering texture; spray attachment is praised in forums.</x:v>
      </x:c>
      <x:c r="Q46" s="21" t="str">
        <x:v>Moderate-to-strong</x:v>
      </x:c>
      <x:c r="R46" s="21" t="str">
        <x:v>Rhode Glazing Milk and other milky toners</x:v>
      </x:c>
      <x:c r="S46" s="21" t="str">
        <x:v>Yes / U.S. marketplace</x:v>
      </x:c>
      <x:c r="T46" s="21" t="str">
        <x:v>High</x:v>
      </x:c>
      <x:c r="U46" s="21" t="str">
        <x:v>SRC-LAN-014,SRC-LAN-038</x:v>
      </x:c>
      <x:c r="V46" s="21" t="str">
        <x:v>Aggregate platform evidence plus consumer forum.</x:v>
      </x:c>
    </x:row>
    <x:row r="47" ht="102" customHeight="1">
      <x:c r="A47" s="21" t="str">
        <x:v>REV-LAN-004</x:v>
      </x:c>
      <x:c r="B47" s="21" t="str">
        <x:v>KB005</x:v>
      </x:c>
      <x:c r="C47" s="21" t="str">
        <x:v>LAN-P004</x:v>
      </x:c>
      <x:c r="D47" s="21" t="str">
        <x:v>Amazon U.S.</x:v>
      </x:c>
      <x:c r="E47" s="21" t="str">
        <x:v>https://www.amazon.com/dp/B0CNJ1Z2GL</x:v>
      </x:c>
      <x:c r="F47" s="25"/>
      <x:c r="G47" s="25" t="str">
        <x:v>2026-07-30</x:v>
      </x:c>
      <x:c r="H47" s="33" t="n">
        <x:v>3000</x:v>
      </x:c>
      <x:c r="I47" s="21" t="str">
        <x:v>Purchase-badge proxy; not review sample</x:v>
      </x:c>
      <x:c r="J47" s="21" t="str">
        <x:v>Amazon review-program mix not audited</x:v>
      </x:c>
      <x:c r="K47" s="21" t="str">
        <x:v>Positive / rating not captured</x:v>
      </x:c>
      <x:c r="L47" s="21" t="str">
        <x:v>Hydration and soft skin feel</x:v>
      </x:c>
      <x:c r="M47" s="21" t="str">
        <x:v>3K+ bought/month and strong Sephora evidence support product adoption.</x:v>
      </x:c>
      <x:c r="N47" s="21" t="str">
        <x:v>Fragrance and richer texture can be polarizing; Amazon rating/review count was not consistently rendered.</x:v>
      </x:c>
      <x:c r="O47" s="21" t="str">
        <x:v>Independent consumer discussions identify scent as a recurring fit issue.</x:v>
      </x:c>
      <x:c r="P47" s="21" t="str">
        <x:v>Cream moisturizer; fragrance sensitivity recurs in consumer discussion.</x:v>
      </x:c>
      <x:c r="Q47" s="21" t="str">
        <x:v>Moderate-to-strong</x:v>
      </x:c>
      <x:c r="R47" s="21" t="str">
        <x:v>belif Aqua Bomb and gel creams</x:v>
      </x:c>
      <x:c r="S47" s="21" t="str">
        <x:v>Yes / U.S. marketplace</x:v>
      </x:c>
      <x:c r="T47" s="21" t="str">
        <x:v>Medium-High</x:v>
      </x:c>
      <x:c r="U47" s="21" t="str">
        <x:v>SRC-LAN-015,SRC-LAN-024,SRC-LAN-039,SRC-LAN-040</x:v>
      </x:c>
      <x:c r="V47" s="21" t="str">
        <x:v>Do not treat 3K purchase badge as a review count.</x:v>
      </x:c>
    </x:row>
    <x:row r="48" ht="102" customHeight="1">
      <x:c r="A48" s="21" t="str">
        <x:v>REV-LAN-005</x:v>
      </x:c>
      <x:c r="B48" s="21" t="str">
        <x:v>KB005</x:v>
      </x:c>
      <x:c r="C48" s="21" t="str">
        <x:v>LAN-P005</x:v>
      </x:c>
      <x:c r="D48" s="21" t="str">
        <x:v>Amazon U.S.</x:v>
      </x:c>
      <x:c r="E48" s="21" t="str">
        <x:v>https://www.amazon.com/dp/B0CZ7MXPG8</x:v>
      </x:c>
      <x:c r="F48" s="25"/>
      <x:c r="G48" s="25" t="str">
        <x:v>2026-07-30</x:v>
      </x:c>
      <x:c r="H48" s="33" t="n">
        <x:v>1559</x:v>
      </x:c>
      <x:c r="I48" s="21" t="str">
        <x:v>Aggregate current listing</x:v>
      </x:c>
      <x:c r="J48" s="21" t="str">
        <x:v>Amazon reviews may include Vine or other disclosed programs</x:v>
      </x:c>
      <x:c r="K48" s="21" t="str">
        <x:v>Strongly Positive</x:v>
      </x:c>
      <x:c r="L48" s="21" t="str">
        <x:v>Plumper-looking, soft and radiant morning skin</x:v>
      </x:c>
      <x:c r="M48" s="21" t="str">
        <x:v>4.6 rating, 1,559 reviews and 1K+ bought/month support an established newer hero.</x:v>
      </x:c>
      <x:c r="N48" s="21" t="str">
        <x:v>Strong floral scent and sticky feel can reduce sensitive-user fit.</x:v>
      </x:c>
      <x:c r="O48" s="21" t="str">
        <x:v>Reddit discussion corroborates fragrance and stickiness as the main negatives.</x:v>
      </x:c>
      <x:c r="P48" s="21" t="str">
        <x:v>Gel sleeping mask; floral scent is a recurring positive/negative divider.</x:v>
      </x:c>
      <x:c r="Q48" s="21" t="str">
        <x:v>Moderate-to-strong</x:v>
      </x:c>
      <x:c r="R48" s="21" t="str">
        <x:v>Glow Recipe overnight treatments</x:v>
      </x:c>
      <x:c r="S48" s="21" t="str">
        <x:v>Yes / U.S. marketplace</x:v>
      </x:c>
      <x:c r="T48" s="21" t="str">
        <x:v>High</x:v>
      </x:c>
      <x:c r="U48" s="21" t="str">
        <x:v>SRC-LAN-016,SRC-LAN-025,SRC-LAN-041</x:v>
      </x:c>
      <x:c r="V48" s="21" t="str">
        <x:v>Aggregate platform evidence plus forum discussion.</x:v>
      </x:c>
    </x:row>
    <x:row r="49" ht="102" customHeight="1">
      <x:c r="A49" s="21" t="str">
        <x:v>REV-LAN-006</x:v>
      </x:c>
      <x:c r="B49" s="21" t="str">
        <x:v>KB005</x:v>
      </x:c>
      <x:c r="C49" s="21" t="str">
        <x:v>LAN-P001</x:v>
      </x:c>
      <x:c r="D49" s="21" t="str">
        <x:v>Sephora U.S.</x:v>
      </x:c>
      <x:c r="E49" s="21" t="str">
        <x:v>https://www.sephora.com/product/lip-sleeping-mask-P420652</x:v>
      </x:c>
      <x:c r="F49" s="25"/>
      <x:c r="G49" s="25" t="str">
        <x:v>2026-07-30</x:v>
      </x:c>
      <x:c r="H49" s="33" t="n">
        <x:v>22300</x:v>
      </x:c>
      <x:c r="I49" s="21" t="str">
        <x:v>Aggregate product page</x:v>
      </x:c>
      <x:c r="J49" s="21" t="str">
        <x:v>Mixed; Sephora may include incentivized reviews</x:v>
      </x:c>
      <x:c r="K49" s="21" t="str">
        <x:v>Strongly Positive</x:v>
      </x:c>
      <x:c r="L49" s="21" t="str">
        <x:v>Softness, nourishment and flavor choice</x:v>
      </x:c>
      <x:c r="M49" s="21" t="str">
        <x:v>4.5 rating and 22.3K reviews provide large prestige-retail social proof.</x:v>
      </x:c>
      <x:c r="N49" s="21" t="str">
        <x:v>Value, fragrance/flavor, perceived dryness and jar format recur in broader consumer forums.</x:v>
      </x:c>
      <x:c r="O49" s="21" t="str">
        <x:v>Independent consumer forums corroborate these negatives beyond the retailer environment.</x:v>
      </x:c>
      <x:c r="P49" s="21" t="str">
        <x:v>Thick scented overnight mask; strong preference polarization.</x:v>
      </x:c>
      <x:c r="Q49" s="21" t="str">
        <x:v>High review volume</x:v>
      </x:c>
      <x:c r="R49" s="21" t="str">
        <x:v>Tatcha, Fresh, Ole Henriksen and Summer Fridays</x:v>
      </x:c>
      <x:c r="S49" s="21" t="str">
        <x:v>Yes / U.S. retailer</x:v>
      </x:c>
      <x:c r="T49" s="21" t="str">
        <x:v>High</x:v>
      </x:c>
      <x:c r="U49" s="21" t="str">
        <x:v>SRC-LAN-021,SRC-LAN-034,SRC-LAN-035,SRC-LAN-036</x:v>
      </x:c>
      <x:c r="V49" s="21" t="str">
        <x:v>Review count is dynamic.</x:v>
      </x:c>
    </x:row>
    <x:row r="50" ht="102" customHeight="1">
      <x:c r="A50" s="21" t="str">
        <x:v>REV-LAN-007</x:v>
      </x:c>
      <x:c r="B50" s="21" t="str">
        <x:v>KB005</x:v>
      </x:c>
      <x:c r="C50" s="21" t="str">
        <x:v>LAN-P002</x:v>
      </x:c>
      <x:c r="D50" s="21" t="str">
        <x:v>Sephora U.S.</x:v>
      </x:c>
      <x:c r="E50" s="21" t="str">
        <x:v>https://www.sephora.com/product/glowy-lip-balm-P443563</x:v>
      </x:c>
      <x:c r="F50" s="25"/>
      <x:c r="G50" s="25" t="str">
        <x:v>2026-07-30</x:v>
      </x:c>
      <x:c r="H50" s="33" t="n">
        <x:v>7900</x:v>
      </x:c>
      <x:c r="I50" s="21" t="str">
        <x:v>Aggregate product page</x:v>
      </x:c>
      <x:c r="J50" s="21" t="str">
        <x:v>Mixed; Sephora may include incentivized reviews</x:v>
      </x:c>
      <x:c r="K50" s="21" t="str">
        <x:v>Strongly Positive</x:v>
      </x:c>
      <x:c r="L50" s="21" t="str">
        <x:v>Hydration, smell and satisfaction</x:v>
      </x:c>
      <x:c r="M50" s="21" t="str">
        <x:v>4.5 rating and 7.9K reviews support strong prestige repeat interest.</x:v>
      </x:c>
      <x:c r="N50" s="21" t="str">
        <x:v>Some users dislike tackiness, flavor or price.</x:v>
      </x:c>
      <x:c r="O50" s="21" t="str">
        <x:v>The product's scented glossy format creates these predictable fit objections.</x:v>
      </x:c>
      <x:c r="P50" s="21" t="str">
        <x:v>Glossy scented balm.</x:v>
      </x:c>
      <x:c r="Q50" s="21" t="str">
        <x:v>High</x:v>
      </x:c>
      <x:c r="R50" s="21" t="str">
        <x:v>Summer Fridays Lip Butter Balm</x:v>
      </x:c>
      <x:c r="S50" s="21" t="str">
        <x:v>Yes / U.S. retailer</x:v>
      </x:c>
      <x:c r="T50" s="21" t="str">
        <x:v>High</x:v>
      </x:c>
      <x:c r="U50" s="21" t="str">
        <x:v>SRC-LAN-022</x:v>
      </x:c>
      <x:c r="V50" s="21" t="str">
        <x:v>Aggregate retailer themes.</x:v>
      </x:c>
    </x:row>
    <x:row r="51" ht="102" customHeight="1">
      <x:c r="A51" s="21" t="str">
        <x:v>REV-LAN-008</x:v>
      </x:c>
      <x:c r="B51" s="21" t="str">
        <x:v>KB005</x:v>
      </x:c>
      <x:c r="C51" s="21" t="str">
        <x:v>LAN-P003</x:v>
      </x:c>
      <x:c r="D51" s="21" t="str">
        <x:v>Sephora U.S.</x:v>
      </x:c>
      <x:c r="E51" s="21" t="str">
        <x:v>https://www.sephora.com/product/cream-skin-refillable-toner-moisturizer-with-ceramides-peptides-P505897</x:v>
      </x:c>
      <x:c r="F51" s="25"/>
      <x:c r="G51" s="25" t="str">
        <x:v>2026-07-30</x:v>
      </x:c>
      <x:c r="H51" s="33" t="n">
        <x:v>1600</x:v>
      </x:c>
      <x:c r="I51" s="21" t="str">
        <x:v>Aggregate product page</x:v>
      </x:c>
      <x:c r="J51" s="21" t="str">
        <x:v>Mixed; Sephora may include incentivized reviews</x:v>
      </x:c>
      <x:c r="K51" s="21" t="str">
        <x:v>Strongly Positive</x:v>
      </x:c>
      <x:c r="L51" s="21" t="str">
        <x:v>Glow, hydration and radiance</x:v>
      </x:c>
      <x:c r="M51" s="21" t="str">
        <x:v>4.5 rating and 1.6K reviews; retailer themes emphasize hydration and glow.</x:v>
      </x:c>
      <x:c r="N51" s="21" t="str">
        <x:v>Not sufficient as sole moisturizer for some users; price and finish vary by skin type.</x:v>
      </x:c>
      <x:c r="O51" s="21" t="str">
        <x:v>Independent forum discussion supports the need for a separate moisturizer in some routines.</x:v>
      </x:c>
      <x:c r="P51" s="21" t="str">
        <x:v>Milky, light and layering-friendly.</x:v>
      </x:c>
      <x:c r="Q51" s="21" t="str">
        <x:v>Moderate-to-high</x:v>
      </x:c>
      <x:c r="R51" s="21" t="str">
        <x:v>Rhode Glazing Milk</x:v>
      </x:c>
      <x:c r="S51" s="21" t="str">
        <x:v>Yes / U.S. retailer</x:v>
      </x:c>
      <x:c r="T51" s="21" t="str">
        <x:v>High</x:v>
      </x:c>
      <x:c r="U51" s="21" t="str">
        <x:v>SRC-LAN-023,SRC-LAN-038</x:v>
      </x:c>
      <x:c r="V51" s="21" t="str">
        <x:v>Aggregate retailer evidence and self-selected forum.</x:v>
      </x:c>
    </x:row>
    <x:row r="52" ht="102" customHeight="1">
      <x:c r="A52" s="21" t="str">
        <x:v>REV-LAN-009</x:v>
      </x:c>
      <x:c r="B52" s="21" t="str">
        <x:v>KB005</x:v>
      </x:c>
      <x:c r="C52" s="21" t="str">
        <x:v>LAN-P004</x:v>
      </x:c>
      <x:c r="D52" s="21" t="str">
        <x:v>Sephora U.S.</x:v>
      </x:c>
      <x:c r="E52" s="21" t="str">
        <x:v>https://www.sephora.com/product/laneige-water-bank-blue-hyaluronic-cream-moisturizer-P482693</x:v>
      </x:c>
      <x:c r="F52" s="25"/>
      <x:c r="G52" s="25" t="str">
        <x:v>2026-07-30</x:v>
      </x:c>
      <x:c r="H52" s="33" t="n">
        <x:v>2400</x:v>
      </x:c>
      <x:c r="I52" s="21" t="str">
        <x:v>Aggregate product page</x:v>
      </x:c>
      <x:c r="J52" s="21" t="str">
        <x:v>Mixed; Sephora may include incentivized reviews</x:v>
      </x:c>
      <x:c r="K52" s="21" t="str">
        <x:v>Strongly Positive</x:v>
      </x:c>
      <x:c r="L52" s="21" t="str">
        <x:v>Hydration, softness and skin feel</x:v>
      </x:c>
      <x:c r="M52" s="21" t="str">
        <x:v>4.5 rating and 2.4K reviews; retailer themes emphasize hydration and softness.</x:v>
      </x:c>
      <x:c r="N52" s="21" t="str">
        <x:v>Fragrance and richness are not ideal for every sensitive or oily user.</x:v>
      </x:c>
      <x:c r="O52" s="21" t="str">
        <x:v>Consumer discussions specifically identify the scent as a compatibility issue.</x:v>
      </x:c>
      <x:c r="P52" s="21" t="str">
        <x:v>Cream texture with a noticeable scent for some.</x:v>
      </x:c>
      <x:c r="Q52" s="21" t="str">
        <x:v>Moderate-to-high</x:v>
      </x:c>
      <x:c r="R52" s="21" t="str">
        <x:v>belif Aqua Bomb</x:v>
      </x:c>
      <x:c r="S52" s="21" t="str">
        <x:v>Yes / U.S. retailer</x:v>
      </x:c>
      <x:c r="T52" s="21" t="str">
        <x:v>High</x:v>
      </x:c>
      <x:c r="U52" s="21" t="str">
        <x:v>SRC-LAN-024,SRC-LAN-039,SRC-LAN-040</x:v>
      </x:c>
      <x:c r="V52" s="21" t="str">
        <x:v>Aggregate retailer evidence.</x:v>
      </x:c>
    </x:row>
    <x:row r="53" ht="102" customHeight="1">
      <x:c r="A53" s="21" t="str">
        <x:v>REV-LAN-010</x:v>
      </x:c>
      <x:c r="B53" s="21" t="str">
        <x:v>KB005</x:v>
      </x:c>
      <x:c r="C53" s="21" t="str">
        <x:v>LAN-P005</x:v>
      </x:c>
      <x:c r="D53" s="21" t="str">
        <x:v>Sephora U.S.</x:v>
      </x:c>
      <x:c r="E53" s="21" t="str">
        <x:v>https://www.sephora.com/product/laneige-bouncy-firm-radiance-boosting-sleeping-mask-P510369</x:v>
      </x:c>
      <x:c r="F53" s="25"/>
      <x:c r="G53" s="25" t="str">
        <x:v>2026-07-30</x:v>
      </x:c>
      <x:c r="H53" s="33" t="n">
        <x:v>1200</x:v>
      </x:c>
      <x:c r="I53" s="21" t="str">
        <x:v>Aggregate product page</x:v>
      </x:c>
      <x:c r="J53" s="21" t="str">
        <x:v>Mixed; Sephora may include incentivized reviews</x:v>
      </x:c>
      <x:c r="K53" s="21" t="str">
        <x:v>Strongly Positive</x:v>
      </x:c>
      <x:c r="L53" s="21" t="str">
        <x:v>Satisfaction, softness and morning radiance</x:v>
      </x:c>
      <x:c r="M53" s="21" t="str">
        <x:v>4.5 rating and 1.2K reviews; consumers report plump, soft and radiant-looking skin.</x:v>
      </x:c>
      <x:c r="N53" s="21" t="str">
        <x:v>Strong floral scent and sticky texture can be off-putting.</x:v>
      </x:c>
      <x:c r="O53" s="21" t="str">
        <x:v>Independent forum discussion reinforces scent and stickiness as the key drawbacks.</x:v>
      </x:c>
      <x:c r="P53" s="21" t="str">
        <x:v>Bouncy gel texture with pronounced floral scent.</x:v>
      </x:c>
      <x:c r="Q53" s="21" t="str">
        <x:v>Moderate-to-high</x:v>
      </x:c>
      <x:c r="R53" s="21" t="str">
        <x:v>Glow Recipe and collagen sleeping masks</x:v>
      </x:c>
      <x:c r="S53" s="21" t="str">
        <x:v>Yes / U.S. retailer</x:v>
      </x:c>
      <x:c r="T53" s="21" t="str">
        <x:v>High</x:v>
      </x:c>
      <x:c r="U53" s="21" t="str">
        <x:v>SRC-LAN-025,SRC-LAN-041</x:v>
      </x:c>
      <x:c r="V53" s="21" t="str">
        <x:v>Aggregate retailer evidence.</x:v>
      </x:c>
    </x:row>
    <x:row r="54" ht="102" customHeight="1">
      <x:c r="A54" s="21" t="str">
        <x:v>REV-LAN-011</x:v>
      </x:c>
      <x:c r="B54" s="21" t="str">
        <x:v>KB005</x:v>
      </x:c>
      <x:c r="C54" s="21" t="str">
        <x:v>LAN-P001</x:v>
      </x:c>
      <x:c r="D54" s="21" t="str">
        <x:v>Reddit r/Sephora</x:v>
      </x:c>
      <x:c r="E54" s="21" t="str">
        <x:v>https://www.reddit.com/r/Sephora/comments/1b5uxqi</x:v>
      </x:c>
      <x:c r="F54" s="25"/>
      <x:c r="G54" s="25" t="str">
        <x:v>2026-07-30</x:v>
      </x:c>
      <x:c r="H54" s="33" t="str">
        <x:v>Self-selected discussion</x:v>
      </x:c>
      <x:c r="I54" s="21" t="str">
        <x:v>Consumer forum; no verified-purchase filter</x:v>
      </x:c>
      <x:c r="J54" s="21" t="str">
        <x:v>No sponsorship observed / not independently verified</x:v>
      </x:c>
      <x:c r="K54" s="21" t="str">
        <x:v>Polarized</x:v>
      </x:c>
      <x:c r="L54" s="21" t="str">
        <x:v>Holy-grail overnight nourishment</x:v>
      </x:c>
      <x:c r="M54" s="21" t="str">
        <x:v>Multiple users describe strong overnight nourishment and long-term use.</x:v>
      </x:c>
      <x:c r="N54" s="21" t="str">
        <x:v>Others call it perfumed, overpriced or no better than ordinary balm.</x:v>
      </x:c>
      <x:c r="O54" s="21" t="str">
        <x:v>The same thread contains both strong loyalty and direct product rejection.</x:v>
      </x:c>
      <x:c r="P54" s="21" t="str">
        <x:v>Thick and scented; sensory preference dominates.</x:v>
      </x:c>
      <x:c r="Q54" s="21" t="str">
        <x:v>Mixed</x:v>
      </x:c>
      <x:c r="R54" s="21" t="str">
        <x:v>Tatcha, Fresh and occlusive balms</x:v>
      </x:c>
      <x:c r="S54" s="21" t="str">
        <x:v>U.S.-relevant community</x:v>
      </x:c>
      <x:c r="T54" s="21" t="str">
        <x:v>Low-Medium</x:v>
      </x:c>
      <x:c r="U54" s="21" t="str">
        <x:v>SRC-LAN-034</x:v>
      </x:c>
      <x:c r="V54" s="21" t="str">
        <x:v>Anecdotal, non-representative.</x:v>
      </x:c>
    </x:row>
    <x:row r="55" ht="102" customHeight="1">
      <x:c r="A55" s="21" t="str">
        <x:v>REV-LAN-012</x:v>
      </x:c>
      <x:c r="B55" s="21" t="str">
        <x:v>KB005</x:v>
      </x:c>
      <x:c r="C55" s="21" t="str">
        <x:v>LAN-P001</x:v>
      </x:c>
      <x:c r="D55" s="21" t="str">
        <x:v>Reddit lip-care communities</x:v>
      </x:c>
      <x:c r="E55" s="21" t="str">
        <x:v>https://www.reddit.com/r/LipBalm/comments/1r5h068/whats_your_review_and_opinion_on_the_laneige_lip/</x:v>
      </x:c>
      <x:c r="F55" s="25"/>
      <x:c r="G55" s="25" t="str">
        <x:v>2026-07-30</x:v>
      </x:c>
      <x:c r="H55" s="33" t="str">
        <x:v>Multiple self-selected discussions</x:v>
      </x:c>
      <x:c r="I55" s="21" t="str">
        <x:v>Consumer forum; no verified-purchase filter</x:v>
      </x:c>
      <x:c r="J55" s="21" t="str">
        <x:v>No sponsorship observed / not independently verified</x:v>
      </x:c>
      <x:c r="K55" s="21" t="str">
        <x:v>Mixed to Negative</x:v>
      </x:c>
      <x:c r="L55" s="21" t="str">
        <x:v>Some users prefer newer Laneige lip formats</x:v>
      </x:c>
      <x:c r="M55" s="21" t="str">
        <x:v>Recent discussions still identify loyal users and alternative Laneige favorites.</x:v>
      </x:c>
      <x:c r="N55" s="21" t="str">
        <x:v>Underwhelming, drying or fragrance-sensitive experiences and value objections recur.</x:v>
      </x:c>
      <x:c r="O55" s="21" t="str">
        <x:v>Three recent discussions repeat these objections, though they remain anecdotal.</x:v>
      </x:c>
      <x:c r="P55" s="21" t="str">
        <x:v>Perfume/flavor can be attractive or irritating.</x:v>
      </x:c>
      <x:c r="Q55" s="21" t="str">
        <x:v>Mixed</x:v>
      </x:c>
      <x:c r="R55" s="21" t="str">
        <x:v>Traditional balms, Ole Henriksen, Fresh and Bouncy Lip</x:v>
      </x:c>
      <x:c r="S55" s="21" t="str">
        <x:v>U.S.-relevant but global participants</x:v>
      </x:c>
      <x:c r="T55" s="21" t="str">
        <x:v>Low-Medium</x:v>
      </x:c>
      <x:c r="U55" s="21" t="str">
        <x:v>SRC-LAN-035,SRC-LAN-036,SRC-LAN-037</x:v>
      </x:c>
      <x:c r="V55" s="21" t="str">
        <x:v>Anecdotal synthesis across three discussions.</x:v>
      </x:c>
    </x:row>
    <x:row r="56" ht="102" customHeight="1">
      <x:c r="A56" s="21" t="str">
        <x:v>REV-LAN-013</x:v>
      </x:c>
      <x:c r="B56" s="21" t="str">
        <x:v>KB005</x:v>
      </x:c>
      <x:c r="C56" s="21" t="str">
        <x:v>LAN-P003</x:v>
      </x:c>
      <x:c r="D56" s="21" t="str">
        <x:v>Reddit r/SkinbarrierLovers</x:v>
      </x:c>
      <x:c r="E56" s="21" t="str">
        <x:v>https://www.reddit.com/r/SkinbarrierLovers/comments/1rjhtwp/lets_be_honest_laneige_cream_skin_toner/</x:v>
      </x:c>
      <x:c r="F56" s="25"/>
      <x:c r="G56" s="25" t="str">
        <x:v>2026-07-30</x:v>
      </x:c>
      <x:c r="H56" s="33" t="str">
        <x:v>Self-selected discussion</x:v>
      </x:c>
      <x:c r="I56" s="21" t="str">
        <x:v>Consumer forum</x:v>
      </x:c>
      <x:c r="J56" s="21" t="str">
        <x:v>No sponsorship observed / not independently verified</x:v>
      </x:c>
      <x:c r="K56" s="21" t="str">
        <x:v>Mostly Positive</x:v>
      </x:c>
      <x:c r="L56" s="21" t="str">
        <x:v>Softness, hydration and convenient spray use</x:v>
      </x:c>
      <x:c r="M56" s="21" t="str">
        <x:v>Users praise soft skin, layering and the spray attachment.</x:v>
      </x:c>
      <x:c r="N56" s="21" t="str">
        <x:v>Some still need a separate moisturizer and question the price.</x:v>
      </x:c>
      <x:c r="O56" s="21" t="str">
        <x:v>Users explicitly distinguish hydration support from full moisturization.</x:v>
      </x:c>
      <x:c r="P56" s="21" t="str">
        <x:v>Light milky mist/toner texture is a key appeal.</x:v>
      </x:c>
      <x:c r="Q56" s="21" t="str">
        <x:v>Positive</x:v>
      </x:c>
      <x:c r="R56" s="21" t="str">
        <x:v>Rhode Glazing Milk and milky toners</x:v>
      </x:c>
      <x:c r="S56" s="21" t="str">
        <x:v>U.S.-relevant community</x:v>
      </x:c>
      <x:c r="T56" s="21" t="str">
        <x:v>Low-Medium</x:v>
      </x:c>
      <x:c r="U56" s="21" t="str">
        <x:v>SRC-LAN-038</x:v>
      </x:c>
      <x:c r="V56" s="21" t="str">
        <x:v>Anecdotal, non-representative.</x:v>
      </x:c>
    </x:row>
    <x:row r="57" ht="102" customHeight="1">
      <x:c r="A57" s="21" t="str">
        <x:v>REV-LAN-014</x:v>
      </x:c>
      <x:c r="B57" s="21" t="str">
        <x:v>KB005</x:v>
      </x:c>
      <x:c r="C57" s="21" t="str">
        <x:v>LAN-P004</x:v>
      </x:c>
      <x:c r="D57" s="21" t="str">
        <x:v>Reddit r/AsianBeauty</x:v>
      </x:c>
      <x:c r="E57" s="21" t="str">
        <x:v>https://www.reddit.com/r/AsianBeauty/comments/1qik690/thoughts_on_laneige_water_bank_cream_moisturizer/</x:v>
      </x:c>
      <x:c r="F57" s="25"/>
      <x:c r="G57" s="25" t="str">
        <x:v>2026-07-30</x:v>
      </x:c>
      <x:c r="H57" s="33" t="str">
        <x:v>Self-selected discussions</x:v>
      </x:c>
      <x:c r="I57" s="21" t="str">
        <x:v>Consumer forum</x:v>
      </x:c>
      <x:c r="J57" s="21" t="str">
        <x:v>No sponsorship observed / not independently verified</x:v>
      </x:c>
      <x:c r="K57" s="21" t="str">
        <x:v>Mixed</x:v>
      </x:c>
      <x:c r="L57" s="21" t="str">
        <x:v>Hydration and soft finish</x:v>
      </x:c>
      <x:c r="M57" s="21" t="str">
        <x:v>Users report comfortable hydration and softness.</x:v>
      </x:c>
      <x:c r="N57" s="21" t="str">
        <x:v>Fragrance and skin-type fit are recurring objections.</x:v>
      </x:c>
      <x:c r="O57" s="21" t="str">
        <x:v>A separate scent-focused discussion reinforces fragrance as a notable divider.</x:v>
      </x:c>
      <x:c r="P57" s="21" t="str">
        <x:v>Scent is noticeable to some users.</x:v>
      </x:c>
      <x:c r="Q57" s="21" t="str">
        <x:v>Mixed</x:v>
      </x:c>
      <x:c r="R57" s="21" t="str">
        <x:v>belif and fragrance-free moisturizers</x:v>
      </x:c>
      <x:c r="S57" s="21" t="str">
        <x:v>Global community with U.S. relevance</x:v>
      </x:c>
      <x:c r="T57" s="21" t="str">
        <x:v>Low-Medium</x:v>
      </x:c>
      <x:c r="U57" s="21" t="str">
        <x:v>SRC-LAN-039,SRC-LAN-040</x:v>
      </x:c>
      <x:c r="V57" s="21" t="str">
        <x:v>Anecdotal, non-representative.</x:v>
      </x:c>
    </x:row>
    <x:row r="58" ht="102" customHeight="1">
      <x:c r="A58" s="21" t="str">
        <x:v>REV-LAN-015</x:v>
      </x:c>
      <x:c r="B58" s="21" t="str">
        <x:v>KB005</x:v>
      </x:c>
      <x:c r="C58" s="21" t="str">
        <x:v>LAN-P005</x:v>
      </x:c>
      <x:c r="D58" s="21" t="str">
        <x:v>Reddit r/Sephora</x:v>
      </x:c>
      <x:c r="E58" s="21" t="str">
        <x:v>https://www.reddit.com/r/Sephora/comments/1jq8lux</x:v>
      </x:c>
      <x:c r="F58" s="25"/>
      <x:c r="G58" s="25" t="str">
        <x:v>2026-07-30</x:v>
      </x:c>
      <x:c r="H58" s="33" t="str">
        <x:v>Self-selected discussion</x:v>
      </x:c>
      <x:c r="I58" s="21" t="str">
        <x:v>Consumer forum</x:v>
      </x:c>
      <x:c r="J58" s="21" t="str">
        <x:v>No sponsorship observed / not independently verified</x:v>
      </x:c>
      <x:c r="K58" s="21" t="str">
        <x:v>Mostly Positive</x:v>
      </x:c>
      <x:c r="L58" s="21" t="str">
        <x:v>Plump, firm and radiant-looking skin</x:v>
      </x:c>
      <x:c r="M58" s="21" t="str">
        <x:v>Users describe a soft, plump and glowy morning result.</x:v>
      </x:c>
      <x:c r="N58" s="21" t="str">
        <x:v>Strong floral scent and sticky serum/mask feel are concerns for sensitive users.</x:v>
      </x:c>
      <x:c r="O58" s="21" t="str">
        <x:v>The thread repeatedly identifies scent intensity as the principal tradeoff.</x:v>
      </x:c>
      <x:c r="P58" s="21" t="str">
        <x:v>Bouncy gel with pronounced floral scent.</x:v>
      </x:c>
      <x:c r="Q58" s="21" t="str">
        <x:v>Positive but scent-dependent</x:v>
      </x:c>
      <x:c r="R58" s="21" t="str">
        <x:v>Glow Recipe and other sleeping masks</x:v>
      </x:c>
      <x:c r="S58" s="21" t="str">
        <x:v>U.S.-relevant community</x:v>
      </x:c>
      <x:c r="T58" s="21" t="str">
        <x:v>Low-Medium</x:v>
      </x:c>
      <x:c r="U58" s="21" t="str">
        <x:v>SRC-LAN-041</x:v>
      </x:c>
      <x:c r="V58" s="21" t="str">
        <x:v>Anecdotal, non-representative.</x:v>
      </x:c>
    </x:row>
    <x:row r="59" ht="102" customHeight="1">
      <x:c r="A59" s="21" t="str">
        <x:v>REV-LAN-016</x:v>
      </x:c>
      <x:c r="B59" s="21" t="str">
        <x:v>KB005</x:v>
      </x:c>
      <x:c r="C59" s="21" t="str">
        <x:v>LAN-P001</x:v>
      </x:c>
      <x:c r="D59" s="21" t="str">
        <x:v>MakeupAlley</x:v>
      </x:c>
      <x:c r="E59" s="21" t="str">
        <x:v>https://www.makeupalley.com/products/190207/reviews?page=1</x:v>
      </x:c>
      <x:c r="F59" s="25"/>
      <x:c r="G59" s="25" t="str">
        <x:v>2026-07-30</x:v>
      </x:c>
      <x:c r="H59" s="33" t="str">
        <x:v>Consumer review archive</x:v>
      </x:c>
      <x:c r="I59" s="21" t="str">
        <x:v>Self-selected consumer reviews</x:v>
      </x:c>
      <x:c r="J59" s="21" t="str">
        <x:v>No sponsorship observed / not independently verified</x:v>
      </x:c>
      <x:c r="K59" s="21" t="str">
        <x:v>Mixed</x:v>
      </x:c>
      <x:c r="L59" s="21" t="str">
        <x:v>Long-running cult-product loyalty</x:v>
      </x:c>
      <x:c r="M59" s="21" t="str">
        <x:v>Consumer archive confirms a durable, recognizable review history beyond major retailers.</x:v>
      </x:c>
      <x:c r="N59" s="21" t="str">
        <x:v>Value, fragrance, texture and effectiveness remain divisive.</x:v>
      </x:c>
      <x:c r="O59" s="21" t="str">
        <x:v>The archive contains both long-term fans and users who see no benefit over basic balm.</x:v>
      </x:c>
      <x:c r="P59" s="21" t="str">
        <x:v>Thick scented mask.</x:v>
      </x:c>
      <x:c r="Q59" s="21" t="str">
        <x:v>Mixed</x:v>
      </x:c>
      <x:c r="R59" s="21" t="str">
        <x:v>Basic occlusives and prestige lip masks</x:v>
      </x:c>
      <x:c r="S59" s="21" t="str">
        <x:v>U.S.-relevant consumer source</x:v>
      </x:c>
      <x:c r="T59" s="21" t="str">
        <x:v>Low-Medium</x:v>
      </x:c>
      <x:c r="U59" s="21" t="str">
        <x:v>SRC-LAN-042</x:v>
      </x:c>
      <x:c r="V59" s="21" t="str">
        <x:v>Aggregate rating was not used because current display was not consistently captured.</x:v>
      </x:c>
    </x:row>
    <x:row r="60" ht="106" customHeight="1">
      <x:c r="A60" s="21" t="str">
        <x:v>REV-SKN-001</x:v>
      </x:c>
      <x:c r="B60" s="21" t="str">
        <x:v>KB004</x:v>
      </x:c>
      <x:c r="C60" s="21" t="str">
        <x:v>SKN-P001</x:v>
      </x:c>
      <x:c r="D60" s="21" t="str">
        <x:v>Amazon U.S.</x:v>
      </x:c>
      <x:c r="E60" s="21" t="str">
        <x:v>https://www.amazon.com/dp/B06Y15D1LH</x:v>
      </x:c>
      <x:c r="F60" s="25"/>
      <x:c r="G60" s="25" t="str">
        <x:v>2026-07-30</x:v>
      </x:c>
      <x:c r="H60" s="33" t="n">
        <x:v>9278</x:v>
      </x:c>
      <x:c r="I60" s="21" t="str">
        <x:v>Aggregate current listing</x:v>
      </x:c>
      <x:c r="J60" s="21" t="str">
        <x:v>Amazon reviews may include disclosed programs</x:v>
      </x:c>
      <x:c r="K60" s="21" t="str">
        <x:v>Strongly Positive</x:v>
      </x:c>
      <x:c r="L60" s="21" t="str">
        <x:v>Lightweight soothing and value</x:v>
      </x:c>
      <x:c r="M60" s="21" t="str">
        <x:v>4.7/9,278, 10K+ bought/month and #11 Facial Serums support broad satisfaction and repeat demand.</x:v>
      </x:c>
      <x:c r="N60" s="21" t="str">
        <x:v>Independent consumers report no visible effect, inadequate hydration, oiliness, bumps or breakouts for a minority.</x:v>
      </x:c>
      <x:c r="O60" s="21" t="str">
        <x:v>The same objections recur across large Reddit discussions despite the high aggregate score.</x:v>
      </x:c>
      <x:c r="P60" s="21" t="str">
        <x:v>Very watery, fast absorbing and easy to layer.</x:v>
      </x:c>
      <x:c r="Q60" s="21" t="str">
        <x:v>High purchase signal</x:v>
      </x:c>
      <x:c r="R60" s="21" t="str">
        <x:v>PURITO, COSRX and mixsoon centella products</x:v>
      </x:c>
      <x:c r="S60" s="21" t="str">
        <x:v>Yes / U.S. marketplace</x:v>
      </x:c>
      <x:c r="T60" s="21" t="str">
        <x:v>High</x:v>
      </x:c>
      <x:c r="U60" s="21" t="str">
        <x:v>SRC-SKN-014,SRC-SKN-040,SRC-SKN-041</x:v>
      </x:c>
      <x:c r="V60" s="21" t="str">
        <x:v>Aggregate platform evidence plus self-selected forums.</x:v>
      </x:c>
    </x:row>
    <x:row r="61" ht="106" customHeight="1">
      <x:c r="A61" s="21" t="str">
        <x:v>REV-SKN-002</x:v>
      </x:c>
      <x:c r="B61" s="21" t="str">
        <x:v>KB004</x:v>
      </x:c>
      <x:c r="C61" s="21" t="str">
        <x:v>SKN-P002</x:v>
      </x:c>
      <x:c r="D61" s="21" t="str">
        <x:v>Amazon U.S.</x:v>
      </x:c>
      <x:c r="E61" s="21" t="str">
        <x:v>https://www.amazon.com/dp/B07T5BN3P2</x:v>
      </x:c>
      <x:c r="F61" s="25"/>
      <x:c r="G61" s="25" t="str">
        <x:v>2026-07-30</x:v>
      </x:c>
      <x:c r="H61" s="33" t="n">
        <x:v>13226</x:v>
      </x:c>
      <x:c r="I61" s="21" t="str">
        <x:v>Aggregate current listing</x:v>
      </x:c>
      <x:c r="J61" s="21" t="str">
        <x:v>Amazon reviews may include disclosed programs</x:v>
      </x:c>
      <x:c r="K61" s="21" t="str">
        <x:v>Strongly Positive</x:v>
      </x:c>
      <x:c r="L61" s="21" t="str">
        <x:v>Makeup/sunscreen removal and light emulsification</x:v>
      </x:c>
      <x:c r="M61" s="21" t="str">
        <x:v>4.6/13,226, 10K+ bought/month and #2 Makeup Cleansing Oils indicate broad acceptance.</x:v>
      </x:c>
      <x:c r="N61" s="21" t="str">
        <x:v>Clogging or breakout concerns, residue if under-emulsified and the need for a second cleanse.</x:v>
      </x:c>
      <x:c r="O61" s="21" t="str">
        <x:v>A June 2026 Reddit review describes breakouts despite careful emulsification and follow-up foam cleansing.</x:v>
      </x:c>
      <x:c r="P61" s="21" t="str">
        <x:v>Light oil; usage technique materially affects experience.</x:v>
      </x:c>
      <x:c r="Q61" s="21" t="str">
        <x:v>High purchase signal</x:v>
      </x:c>
      <x:c r="R61" s="21" t="str">
        <x:v>Anua and cleansing balms</x:v>
      </x:c>
      <x:c r="S61" s="21" t="str">
        <x:v>Yes / U.S. marketplace</x:v>
      </x:c>
      <x:c r="T61" s="21" t="str">
        <x:v>High</x:v>
      </x:c>
      <x:c r="U61" s="21" t="str">
        <x:v>SRC-SKN-015,SRC-SKN-042</x:v>
      </x:c>
      <x:c r="V61" s="21" t="str">
        <x:v>Aggregate platform evidence plus recent consumer account.</x:v>
      </x:c>
    </x:row>
    <x:row r="62" ht="106" customHeight="1">
      <x:c r="A62" s="21" t="str">
        <x:v>REV-SKN-003</x:v>
      </x:c>
      <x:c r="B62" s="21" t="str">
        <x:v>KB004</x:v>
      </x:c>
      <x:c r="C62" s="21" t="str">
        <x:v>SKN-P003</x:v>
      </x:c>
      <x:c r="D62" s="21" t="str">
        <x:v>Amazon U.S.</x:v>
      </x:c>
      <x:c r="E62" s="21" t="str">
        <x:v>https://www.amazon.com/dp/B0C8Y1TSKZ</x:v>
      </x:c>
      <x:c r="F62" s="25"/>
      <x:c r="G62" s="25" t="str">
        <x:v>2026-07-30</x:v>
      </x:c>
      <x:c r="H62" s="33" t="n">
        <x:v>7956</x:v>
      </x:c>
      <x:c r="I62" s="21" t="str">
        <x:v>Aggregate current listing</x:v>
      </x:c>
      <x:c r="J62" s="21" t="str">
        <x:v>Amazon reviews may include disclosed programs</x:v>
      </x:c>
      <x:c r="K62" s="21" t="str">
        <x:v>Strongly Positive</x:v>
      </x:c>
      <x:c r="L62" s="21" t="str">
        <x:v>Convenient mess-free pore treatment</x:v>
      </x:c>
      <x:c r="M62" s="21" t="str">
        <x:v>4.6/7,956, 10K+ bought/month and #9 Facial Masks support the stick format and visible oil-removal use case.</x:v>
      </x:c>
      <x:c r="N62" s="21" t="str">
        <x:v>Dryness, small size and temporary/appearance-only pore results are the main expected objections.</x:v>
      </x:c>
      <x:c r="O62" s="21" t="str">
        <x:v>Clay-mask performance is inherently short-term; claims must avoid implying permanent pore reduction.</x:v>
      </x:c>
      <x:c r="P62" s="21" t="str">
        <x:v>Smooth clay stick with quick wash-off.</x:v>
      </x:c>
      <x:c r="Q62" s="21" t="str">
        <x:v>High purchase signal</x:v>
      </x:c>
      <x:c r="R62" s="21" t="str">
        <x:v>medicube mud mask and Beauty of Joseon pore masks</x:v>
      </x:c>
      <x:c r="S62" s="21" t="str">
        <x:v>Yes / U.S. marketplace</x:v>
      </x:c>
      <x:c r="T62" s="21" t="str">
        <x:v>High</x:v>
      </x:c>
      <x:c r="U62" s="21" t="str">
        <x:v>SRC-SKN-016,SRC-SKN-021,SRC-SKN-051</x:v>
      </x:c>
      <x:c r="V62" s="21" t="str">
        <x:v>Aggregate platform evidence and product-format assessment.</x:v>
      </x:c>
    </x:row>
    <x:row r="63" ht="106" customHeight="1">
      <x:c r="A63" s="21" t="str">
        <x:v>REV-SKN-004</x:v>
      </x:c>
      <x:c r="B63" s="21" t="str">
        <x:v>KB004</x:v>
      </x:c>
      <x:c r="C63" s="21" t="str">
        <x:v>SKN-P004</x:v>
      </x:c>
      <x:c r="D63" s="21" t="str">
        <x:v>Amazon U.S.</x:v>
      </x:c>
      <x:c r="E63" s="21" t="str">
        <x:v>https://www.amazon.com/dp/B09JBJDFHH</x:v>
      </x:c>
      <x:c r="F63" s="25"/>
      <x:c r="G63" s="25" t="str">
        <x:v>2026-07-30</x:v>
      </x:c>
      <x:c r="H63" s="33" t="n">
        <x:v>10260</x:v>
      </x:c>
      <x:c r="I63" s="21" t="str">
        <x:v>Aggregate current listing</x:v>
      </x:c>
      <x:c r="J63" s="21" t="str">
        <x:v>Amazon reviews may include disclosed programs</x:v>
      </x:c>
      <x:c r="K63" s="21" t="str">
        <x:v>Strongly Positive</x:v>
      </x:c>
      <x:c r="L63" s="21" t="str">
        <x:v>Clean rinse and double-cleansing value</x:v>
      </x:c>
      <x:c r="M63" s="21" t="str">
        <x:v>4.7/10,260 and 9K+ bought/month support strong adoption.</x:v>
      </x:c>
      <x:c r="N63" s="21" t="str">
        <x:v>Some sensitive users describe tightness, inflamed pimples or breakouts.</x:v>
      </x:c>
      <x:c r="O63" s="21" t="str">
        <x:v>Independent SKIN1004 discussions include ampoule-foam breakout reports, reinforcing the need for skin-type guidance.</x:v>
      </x:c>
      <x:c r="P63" s="21" t="str">
        <x:v>Rich foam; cleansing strength can feel different by skin type.</x:v>
      </x:c>
      <x:c r="Q63" s="21" t="str">
        <x:v>High purchase signal</x:v>
      </x:c>
      <x:c r="R63" s="21" t="str">
        <x:v>Anua and Round Lab foam cleansers</x:v>
      </x:c>
      <x:c r="S63" s="21" t="str">
        <x:v>Yes / U.S. marketplace</x:v>
      </x:c>
      <x:c r="T63" s="21" t="str">
        <x:v>High</x:v>
      </x:c>
      <x:c r="U63" s="21" t="str">
        <x:v>SRC-SKN-017,SRC-SKN-043</x:v>
      </x:c>
      <x:c r="V63" s="21" t="str">
        <x:v>Aggregate platform evidence plus self-selected forum.</x:v>
      </x:c>
    </x:row>
    <x:row r="64" ht="106" customHeight="1">
      <x:c r="A64" s="21" t="str">
        <x:v>REV-SKN-005</x:v>
      </x:c>
      <x:c r="B64" s="21" t="str">
        <x:v>KB004</x:v>
      </x:c>
      <x:c r="C64" s="21" t="str">
        <x:v>SKN-P005</x:v>
      </x:c>
      <x:c r="D64" s="21" t="str">
        <x:v>Amazon U.S.</x:v>
      </x:c>
      <x:c r="E64" s="21" t="str">
        <x:v>https://www.amazon.com/dp/B0FXH5LHN8</x:v>
      </x:c>
      <x:c r="F64" s="25"/>
      <x:c r="G64" s="25" t="str">
        <x:v>2026-07-30</x:v>
      </x:c>
      <x:c r="H64" s="33" t="n">
        <x:v>1321</x:v>
      </x:c>
      <x:c r="I64" s="21" t="str">
        <x:v>Aggregate current U.S.-formula listing</x:v>
      </x:c>
      <x:c r="J64" s="21" t="str">
        <x:v>Amazon reviews may include disclosed programs</x:v>
      </x:c>
      <x:c r="K64" s="21" t="str">
        <x:v>Strongly Positive</x:v>
      </x:c>
      <x:c r="L64" s="21" t="str">
        <x:v>No white cast, hydration and SPF convenience</x:v>
      </x:c>
      <x:c r="M64" s="21" t="str">
        <x:v>4.5/1,321 and 30K+ bought/month show exceptional adoption for the new U.S. product.</x:v>
      </x:c>
      <x:c r="N64" s="21" t="str">
        <x:v>Consumers may notice chemical-sunscreen odor, eye sensitivity, greasier feel or a different finish from the Korean formula.</x:v>
      </x:c>
      <x:c r="O64" s="21" t="str">
        <x:v>Formula-difference discussions recur across current U.S. sunscreen threads and require explicit merchandising.</x:v>
      </x:c>
      <x:c r="P64" s="21" t="str">
        <x:v>Serum-like but not identical to the Korean/global version.</x:v>
      </x:c>
      <x:c r="Q64" s="21" t="str">
        <x:v>Exceptional purchase signal</x:v>
      </x:c>
      <x:c r="R64" s="21" t="str">
        <x:v>Beauty of Joseon and Anua U.S. sunscreens</x:v>
      </x:c>
      <x:c r="S64" s="21" t="str">
        <x:v>Yes / U.S. marketplace</x:v>
      </x:c>
      <x:c r="T64" s="21" t="str">
        <x:v>High</x:v>
      </x:c>
      <x:c r="U64" s="21" t="str">
        <x:v>SRC-SKN-018,SRC-SKN-044</x:v>
      </x:c>
      <x:c r="V64" s="21" t="str">
        <x:v>U.S. formula only; do not merge reviews with global formula.</x:v>
      </x:c>
    </x:row>
    <x:row r="65" ht="106" customHeight="1">
      <x:c r="A65" s="21" t="str">
        <x:v>REV-SKN-006</x:v>
      </x:c>
      <x:c r="B65" s="21" t="str">
        <x:v>KB004</x:v>
      </x:c>
      <x:c r="C65" s="21" t="str">
        <x:v>SKN-P001</x:v>
      </x:c>
      <x:c r="D65" s="21" t="str">
        <x:v>Ulta Beauty</x:v>
      </x:c>
      <x:c r="E65" s="21" t="str">
        <x:v>https://www.ulta.com/p/madagascar-centella-ampoule-pimprod2045880</x:v>
      </x:c>
      <x:c r="F65" s="25"/>
      <x:c r="G65" s="25" t="str">
        <x:v>2026-07-30</x:v>
      </x:c>
      <x:c r="H65" s="33" t="n">
        <x:v>114</x:v>
      </x:c>
      <x:c r="I65" s="21" t="str">
        <x:v>Aggregate product page</x:v>
      </x:c>
      <x:c r="J65" s="21" t="str">
        <x:v>Mixed; Ulta may include incentivized reviews</x:v>
      </x:c>
      <x:c r="K65" s="21" t="str">
        <x:v>Positive</x:v>
      </x:c>
      <x:c r="L65" s="21" t="str">
        <x:v>Calming, hydration and easy layering</x:v>
      </x:c>
      <x:c r="M65" s="21" t="str">
        <x:v>4.4/114 at $25 supports authorized-retail demand.</x:v>
      </x:c>
      <x:c r="N65" s="21" t="str">
        <x:v>Some users see limited effect or question the value versus lower Amazon prices.</x:v>
      </x:c>
      <x:c r="O65" s="21" t="str">
        <x:v>The large Amazon price gap can depress perceived value at full MSRP.</x:v>
      </x:c>
      <x:c r="P65" s="21" t="str">
        <x:v>Watery and non-sticky.</x:v>
      </x:c>
      <x:c r="Q65" s="21" t="str">
        <x:v>Moderate</x:v>
      </x:c>
      <x:c r="R65" s="21" t="str">
        <x:v>PURITO and mixsoon</x:v>
      </x:c>
      <x:c r="S65" s="21" t="str">
        <x:v>Yes / U.S. retailer</x:v>
      </x:c>
      <x:c r="T65" s="21" t="str">
        <x:v>High</x:v>
      </x:c>
      <x:c r="U65" s="21" t="str">
        <x:v>SRC-SKN-025</x:v>
      </x:c>
      <x:c r="V65" s="21" t="str">
        <x:v>Dynamic retailer display.</x:v>
      </x:c>
    </x:row>
    <x:row r="66" ht="106" customHeight="1">
      <x:c r="A66" s="21" t="str">
        <x:v>REV-SKN-007</x:v>
      </x:c>
      <x:c r="B66" s="21" t="str">
        <x:v>KB004</x:v>
      </x:c>
      <x:c r="C66" s="21" t="str">
        <x:v>SKN-P002</x:v>
      </x:c>
      <x:c r="D66" s="21" t="str">
        <x:v>Ulta Beauty</x:v>
      </x:c>
      <x:c r="E66" s="21" t="str">
        <x:v>https://www.ulta.com/p/madagascar-centella-light-cleansing-oil-pimprod2045878</x:v>
      </x:c>
      <x:c r="F66" s="25"/>
      <x:c r="G66" s="25" t="str">
        <x:v>2026-07-30</x:v>
      </x:c>
      <x:c r="H66" s="33" t="n">
        <x:v>980</x:v>
      </x:c>
      <x:c r="I66" s="21" t="str">
        <x:v>Aggregate product page</x:v>
      </x:c>
      <x:c r="J66" s="21" t="str">
        <x:v>Mixed; Ulta may include incentivized reviews</x:v>
      </x:c>
      <x:c r="K66" s="21" t="str">
        <x:v>Strongly Positive</x:v>
      </x:c>
      <x:c r="L66" s="21" t="str">
        <x:v>Effective first cleanse and soft skin</x:v>
      </x:c>
      <x:c r="M66" s="21" t="str">
        <x:v>4.5/980 at $25 provides substantial authorized-retail validation.</x:v>
      </x:c>
      <x:c r="N66" s="21" t="str">
        <x:v>Potential breakouts/residue and a much cheaper Amazon offer affect fit and value.</x:v>
      </x:c>
      <x:c r="O66" s="21" t="str">
        <x:v>Independent forum evidence corroborates clogging concerns for a minority.</x:v>
      </x:c>
      <x:c r="P66" s="21" t="str">
        <x:v>Light cleansing oil.</x:v>
      </x:c>
      <x:c r="Q66" s="21" t="str">
        <x:v>High</x:v>
      </x:c>
      <x:c r="R66" s="21" t="str">
        <x:v>Anua cleansing oil</x:v>
      </x:c>
      <x:c r="S66" s="21" t="str">
        <x:v>Yes / U.S. retailer</x:v>
      </x:c>
      <x:c r="T66" s="21" t="str">
        <x:v>High</x:v>
      </x:c>
      <x:c r="U66" s="21" t="str">
        <x:v>SRC-SKN-026,SRC-SKN-042</x:v>
      </x:c>
      <x:c r="V66" s="21" t="str">
        <x:v>Dynamic retailer evidence.</x:v>
      </x:c>
    </x:row>
    <x:row r="67" ht="106" customHeight="1">
      <x:c r="A67" s="21" t="str">
        <x:v>REV-SKN-008</x:v>
      </x:c>
      <x:c r="B67" s="21" t="str">
        <x:v>KB004</x:v>
      </x:c>
      <x:c r="C67" s="21" t="str">
        <x:v>SKN-P003</x:v>
      </x:c>
      <x:c r="D67" s="21" t="str">
        <x:v>Ulta Beauty</x:v>
      </x:c>
      <x:c r="E67" s="21" t="str">
        <x:v>https://www.ulta.com/p/madagascar-centella-poremizing-quick-clay-stick-mask-pimprod2045893</x:v>
      </x:c>
      <x:c r="F67" s="25"/>
      <x:c r="G67" s="25" t="str">
        <x:v>2026-07-30</x:v>
      </x:c>
      <x:c r="H67" s="33" t="n">
        <x:v>50</x:v>
      </x:c>
      <x:c r="I67" s="21" t="str">
        <x:v>Aggregate product page</x:v>
      </x:c>
      <x:c r="J67" s="21" t="str">
        <x:v>Mixed; Ulta may include incentivized reviews</x:v>
      </x:c>
      <x:c r="K67" s="21" t="str">
        <x:v>Strongly Positive</x:v>
      </x:c>
      <x:c r="L67" s="21" t="str">
        <x:v>Convenience and smoother-looking pores</x:v>
      </x:c>
      <x:c r="M67" s="21" t="str">
        <x:v>4.5/50 at $25 supports positive early specialty-retail reception.</x:v>
      </x:c>
      <x:c r="N67" s="21" t="str">
        <x:v>Smaller review base, full-price value and dryness are limitations.</x:v>
      </x:c>
      <x:c r="O67" s="21" t="str">
        <x:v>Amazon scale is much stronger than the sampled Ulta review base.</x:v>
      </x:c>
      <x:c r="P67" s="21" t="str">
        <x:v>Smooth clay stick.</x:v>
      </x:c>
      <x:c r="Q67" s="21" t="str">
        <x:v>Moderate</x:v>
      </x:c>
      <x:c r="R67" s="21" t="str">
        <x:v>medicube mud mask</x:v>
      </x:c>
      <x:c r="S67" s="21" t="str">
        <x:v>Yes / U.S. retailer</x:v>
      </x:c>
      <x:c r="T67" s="21" t="str">
        <x:v>High</x:v>
      </x:c>
      <x:c r="U67" s="21" t="str">
        <x:v>SRC-SKN-027</x:v>
      </x:c>
      <x:c r="V67" s="21" t="str">
        <x:v>Review count is relatively small.</x:v>
      </x:c>
    </x:row>
    <x:row r="68" ht="106" customHeight="1">
      <x:c r="A68" s="21" t="str">
        <x:v>REV-SKN-009</x:v>
      </x:c>
      <x:c r="B68" s="21" t="str">
        <x:v>KB004</x:v>
      </x:c>
      <x:c r="C68" s="21" t="str">
        <x:v>SKN-P004</x:v>
      </x:c>
      <x:c r="D68" s="21" t="str">
        <x:v>Ulta Beauty</x:v>
      </x:c>
      <x:c r="E68" s="21" t="str">
        <x:v>https://www.ulta.com/p/madagascar-centella-ampoule-foam-pimprod2045879</x:v>
      </x:c>
      <x:c r="F68" s="25"/>
      <x:c r="G68" s="25" t="str">
        <x:v>2026-07-30</x:v>
      </x:c>
      <x:c r="H68" s="33" t="n">
        <x:v>899</x:v>
      </x:c>
      <x:c r="I68" s="21" t="str">
        <x:v>Aggregate product page</x:v>
      </x:c>
      <x:c r="J68" s="21" t="str">
        <x:v>Mixed; Ulta may include incentivized reviews</x:v>
      </x:c>
      <x:c r="K68" s="21" t="str">
        <x:v>Strongly Positive</x:v>
      </x:c>
      <x:c r="L68" s="21" t="str">
        <x:v>Clean feel and foaming routine fit</x:v>
      </x:c>
      <x:c r="M68" s="21" t="str">
        <x:v>4.6/899 at $18 supports strong authorized-retail adoption.</x:v>
      </x:c>
      <x:c r="N68" s="21" t="str">
        <x:v>Sensitive users may find it drying or experience breakouts.</x:v>
      </x:c>
      <x:c r="O68" s="21" t="str">
        <x:v>Independent discussion indicates the formula is not universally gentle despite positioning.</x:v>
      </x:c>
      <x:c r="P68" s="21" t="str">
        <x:v>Dense foam and thorough rinse.</x:v>
      </x:c>
      <x:c r="Q68" s="21" t="str">
        <x:v>High</x:v>
      </x:c>
      <x:c r="R68" s="21" t="str">
        <x:v>Anua and Round Lab foam cleansers</x:v>
      </x:c>
      <x:c r="S68" s="21" t="str">
        <x:v>Yes / U.S. retailer</x:v>
      </x:c>
      <x:c r="T68" s="21" t="str">
        <x:v>High</x:v>
      </x:c>
      <x:c r="U68" s="21" t="str">
        <x:v>SRC-SKN-028,SRC-SKN-043</x:v>
      </x:c>
      <x:c r="V68" s="21" t="str">
        <x:v>Dynamic retailer evidence.</x:v>
      </x:c>
    </x:row>
    <x:row r="69" ht="106" customHeight="1">
      <x:c r="A69" s="21" t="str">
        <x:v>REV-SKN-010</x:v>
      </x:c>
      <x:c r="B69" s="21" t="str">
        <x:v>KB004</x:v>
      </x:c>
      <x:c r="C69" s="21" t="str">
        <x:v>SKN-P005</x:v>
      </x:c>
      <x:c r="D69" s="21" t="str">
        <x:v>Ulta Beauty</x:v>
      </x:c>
      <x:c r="E69" s="21" t="str">
        <x:v>https://www.ulta.com/p/madagascar-centella-hyalu-cica-water-fit-sun-serum-uv-spf50-pimprod2055614?sku=2650029</x:v>
      </x:c>
      <x:c r="F69" s="25"/>
      <x:c r="G69" s="25" t="str">
        <x:v>2026-07-30</x:v>
      </x:c>
      <x:c r="H69" s="33" t="n">
        <x:v>622</x:v>
      </x:c>
      <x:c r="I69" s="21" t="str">
        <x:v>Aggregate current SKU page</x:v>
      </x:c>
      <x:c r="J69" s="21" t="str">
        <x:v>Mixed; Ulta may include incentivized reviews</x:v>
      </x:c>
      <x:c r="K69" s="21" t="str">
        <x:v>Strongly Positive</x:v>
      </x:c>
      <x:c r="L69" s="21" t="str">
        <x:v>Hydration, invisible finish and daily wear</x:v>
      </x:c>
      <x:c r="M69" s="21" t="str">
        <x:v>Direct current check displayed 4.7/622, $26 and in-stock status.</x:v>
      </x:c>
      <x:c r="N69" s="21" t="str">
        <x:v>U.S.-formula comparison, sunscreen odor/feel and eye sensitivity remain the principal objections.</x:v>
      </x:c>
      <x:c r="O69" s="21" t="str">
        <x:v>Early/stale page variants showed materially lower counts/ratings; use the current SKU-specific display and date.</x:v>
      </x:c>
      <x:c r="P69" s="21" t="str">
        <x:v>Light cream/serum; U.S. filters change sensory expectations.</x:v>
      </x:c>
      <x:c r="Q69" s="21" t="str">
        <x:v>High and rapidly growing</x:v>
      </x:c>
      <x:c r="R69" s="21" t="str">
        <x:v>Beauty of Joseon Daily Relief and Supergoop</x:v>
      </x:c>
      <x:c r="S69" s="21" t="str">
        <x:v>Yes / U.S. retailer</x:v>
      </x:c>
      <x:c r="T69" s="21" t="str">
        <x:v>High</x:v>
      </x:c>
      <x:c r="U69" s="21" t="str">
        <x:v>SRC-SKN-029,SRC-SKN-030,SRC-SKN-044</x:v>
      </x:c>
      <x:c r="V69" s="21" t="str">
        <x:v>Current direct page captured 2026-07-30.</x:v>
      </x:c>
    </x:row>
    <x:row r="70" ht="106" customHeight="1">
      <x:c r="A70" s="21" t="str">
        <x:v>REV-SKN-011</x:v>
      </x:c>
      <x:c r="B70" s="21" t="str">
        <x:v>KB004</x:v>
      </x:c>
      <x:c r="C70" s="21" t="str">
        <x:v>SKN-P001</x:v>
      </x:c>
      <x:c r="D70" s="21" t="str">
        <x:v>Target U.S.</x:v>
      </x:c>
      <x:c r="E70" s="21" t="str">
        <x:v>https://www.target.com/p/-/A-93287830</x:v>
      </x:c>
      <x:c r="F70" s="25"/>
      <x:c r="G70" s="25" t="str">
        <x:v>2026-07-30</x:v>
      </x:c>
      <x:c r="H70" s="33" t="n">
        <x:v>233</x:v>
      </x:c>
      <x:c r="I70" s="21" t="str">
        <x:v>Aggregate product page</x:v>
      </x:c>
      <x:c r="J70" s="21" t="str">
        <x:v>Includes incentivized reviews per Target summary</x:v>
      </x:c>
      <x:c r="K70" s="21" t="str">
        <x:v>Strongly Positive</x:v>
      </x:c>
      <x:c r="L70" s="21" t="str">
        <x:v>Lightweight calming and value</x:v>
      </x:c>
      <x:c r="M70" s="21" t="str">
        <x:v>Target displayed 4.6/233 for the ampoule and review-summary themes of quick absorption, soothing and reduced visible redness.</x:v>
      </x:c>
      <x:c r="N70" s="21" t="str">
        <x:v>Some guests report no recommendation or limited benefit; seller/account attribution must be checked.</x:v>
      </x:c>
      <x:c r="O70" s="21" t="str">
        <x:v>Target explicitly notes that summaries can include incentivized reviews.</x:v>
      </x:c>
      <x:c r="P70" s="21" t="str">
        <x:v>Watery and fragrance-free.</x:v>
      </x:c>
      <x:c r="Q70" s="21" t="str">
        <x:v>Moderate-to-high</x:v>
      </x:c>
      <x:c r="R70" s="21" t="str">
        <x:v>Other affordable Target K-Beauty serums</x:v>
      </x:c>
      <x:c r="S70" s="21" t="str">
        <x:v>Yes / U.S. retail/marketplace</x:v>
      </x:c>
      <x:c r="T70" s="21" t="str">
        <x:v>Medium-High</x:v>
      </x:c>
      <x:c r="U70" s="21" t="str">
        <x:v>SRC-SKN-036</x:v>
      </x:c>
      <x:c r="V70" s="21" t="str">
        <x:v>Authorization is not established by the brand's official U.S. seller list.</x:v>
      </x:c>
    </x:row>
    <x:row r="71" ht="106" customHeight="1">
      <x:c r="A71" s="21" t="str">
        <x:v>REV-SKN-012</x:v>
      </x:c>
      <x:c r="B71" s="21" t="str">
        <x:v>KB004</x:v>
      </x:c>
      <x:c r="C71" s="21" t="str">
        <x:v>SKN-P001</x:v>
      </x:c>
      <x:c r="D71" s="21" t="str">
        <x:v>Walmart U.S.</x:v>
      </x:c>
      <x:c r="E71" s="21" t="str">
        <x:v>https://www.walmart.com/browse/beauty/skincare/skin1004/1085666_1007039/YnJhbmQ6U0tJTjEwMDQie</x:v>
      </x:c>
      <x:c r="F71" s="25"/>
      <x:c r="G71" s="25" t="str">
        <x:v>2026-07-30</x:v>
      </x:c>
      <x:c r="H71" s="33" t="n">
        <x:v>247</x:v>
      </x:c>
      <x:c r="I71" s="21" t="str">
        <x:v>Aggregate marketplace brand page</x:v>
      </x:c>
      <x:c r="J71" s="21" t="str">
        <x:v>Mixed sellers; sampled reviews may be incentivized</x:v>
      </x:c>
      <x:c r="K71" s="21" t="str">
        <x:v>Strongly Positive</x:v>
      </x:c>
      <x:c r="L71" s="21" t="str">
        <x:v>Affordable access and calming texture</x:v>
      </x:c>
      <x:c r="M71" s="21" t="str">
        <x:v>Walmart displayed the 100 mL ampoule at $18.36 and 4.6/247.</x:v>
      </x:c>
      <x:c r="N71" s="21" t="str">
        <x:v>Marketplace seller ambiguity and incentivized-review disclosures reduce evidentiary quality.</x:v>
      </x:c>
      <x:c r="O71" s="21" t="str">
        <x:v>Sampled SKIN1004 cream reviews included incentivized reviews and multiple sellers.</x:v>
      </x:c>
      <x:c r="P71" s="21" t="str">
        <x:v>Lightweight textures are repeatedly praised.</x:v>
      </x:c>
      <x:c r="Q71" s="21" t="str">
        <x:v>Moderate</x:v>
      </x:c>
      <x:c r="R71" s="21" t="str">
        <x:v>Amazon and Target offers</x:v>
      </x:c>
      <x:c r="S71" s="21" t="str">
        <x:v>Yes / U.S. marketplace</x:v>
      </x:c>
      <x:c r="T71" s="21" t="str">
        <x:v>Medium</x:v>
      </x:c>
      <x:c r="U71" s="21" t="str">
        <x:v>SRC-SKN-037,SRC-SKN-038</x:v>
      </x:c>
      <x:c r="V71" s="21" t="str">
        <x:v>Do not treat aggregate brand-page reviews as one authorized offer.</x:v>
      </x:c>
    </x:row>
    <x:row r="72" ht="106" customHeight="1">
      <x:c r="A72" s="21" t="str">
        <x:v>REV-SKN-013</x:v>
      </x:c>
      <x:c r="B72" s="21" t="str">
        <x:v>KB004</x:v>
      </x:c>
      <x:c r="C72" s="21" t="str">
        <x:v>SKN-P001</x:v>
      </x:c>
      <x:c r="D72" s="21" t="str">
        <x:v>Reddit r/AsianBeauty</x:v>
      </x:c>
      <x:c r="E72" s="21" t="str">
        <x:v>https://www.reddit.com/r/AsianBeauty/comments/tpd8a7</x:v>
      </x:c>
      <x:c r="F72" s="25"/>
      <x:c r="G72" s="25" t="str">
        <x:v>2026-07-30</x:v>
      </x:c>
      <x:c r="H72" s="33" t="str">
        <x:v>Self-selected discussion</x:v>
      </x:c>
      <x:c r="I72" s="21" t="str">
        <x:v>Consumer forum; no verified-purchase filter</x:v>
      </x:c>
      <x:c r="J72" s="21" t="str">
        <x:v>No sponsorship observed / not independently verified</x:v>
      </x:c>
      <x:c r="K72" s="21" t="str">
        <x:v>Mostly Positive</x:v>
      </x:c>
      <x:c r="L72" s="21" t="str">
        <x:v>Soothing, redness comfort and affordable luxury</x:v>
      </x:c>
      <x:c r="M72" s="21" t="str">
        <x:v>Original reviewer describes fast absorption and reduced visible redness/irritation; thread attracted substantial engagement.</x:v>
      </x:c>
      <x:c r="N72" s="21" t="str">
        <x:v>A commenter finished multiple bottles without seeing a difference.</x:v>
      </x:c>
      <x:c r="O72" s="21" t="str">
        <x:v>The thread contains both strong success and null-result experiences.</x:v>
      </x:c>
      <x:c r="P72" s="21" t="str">
        <x:v>Watery with slight tack when layered.</x:v>
      </x:c>
      <x:c r="Q72" s="21" t="str">
        <x:v>Mixed-to-positive</x:v>
      </x:c>
      <x:c r="R72" s="21" t="str">
        <x:v>Other centella and tea-tree serums</x:v>
      </x:c>
      <x:c r="S72" s="21" t="str">
        <x:v>Global community with U.S. relevance</x:v>
      </x:c>
      <x:c r="T72" s="21" t="str">
        <x:v>Low-Medium</x:v>
      </x:c>
      <x:c r="U72" s="21" t="str">
        <x:v>SRC-SKN-040</x:v>
      </x:c>
      <x:c r="V72" s="21" t="str">
        <x:v>Anecdotal and older, used for persistent themes only.</x:v>
      </x:c>
    </x:row>
    <x:row r="73" ht="106" customHeight="1">
      <x:c r="A73" s="21" t="str">
        <x:v>REV-SKN-014</x:v>
      </x:c>
      <x:c r="B73" s="21" t="str">
        <x:v>KB004</x:v>
      </x:c>
      <x:c r="C73" s="21" t="str">
        <x:v>SKN-P001</x:v>
      </x:c>
      <x:c r="D73" s="21" t="str">
        <x:v>Reddit r/AsianBeauty</x:v>
      </x:c>
      <x:c r="E73" s="21" t="str">
        <x:v>https://www.reddit.com/r/AsianBeauty/comments/10tfcca/what_has_your_experience_been_with_the_skin1004/</x:v>
      </x:c>
      <x:c r="F73" s="25"/>
      <x:c r="G73" s="25" t="str">
        <x:v>2026-07-30</x:v>
      </x:c>
      <x:c r="H73" s="33" t="str">
        <x:v>Large self-selected discussion</x:v>
      </x:c>
      <x:c r="I73" s="21" t="str">
        <x:v>Consumer forum</x:v>
      </x:c>
      <x:c r="J73" s="21" t="str">
        <x:v>No sponsorship observed / not independently verified</x:v>
      </x:c>
      <x:c r="K73" s="21" t="str">
        <x:v>Polarized</x:v>
      </x:c>
      <x:c r="L73" s="21" t="str">
        <x:v>Calming irritated or tretinoin-stressed skin</x:v>
      </x:c>
      <x:c r="M73" s="21" t="str">
        <x:v>Many users call it gentle, soothing and effective for visible redness or barrier discomfort.</x:v>
      </x:c>
      <x:c r="N73" s="21" t="str">
        <x:v>Others report no effect, low hydration, oiliness, clogged pores, red bumps or breakouts.</x:v>
      </x:c>
      <x:c r="O73" s="21" t="str">
        <x:v>The thread contains multi-year follow-ups and shows genuine skin-type polarization.</x:v>
      </x:c>
      <x:c r="P73" s="21" t="str">
        <x:v>Watery and easy to layer, but not a complete moisturizer.</x:v>
      </x:c>
      <x:c r="Q73" s="21" t="str">
        <x:v>Mixed</x:v>
      </x:c>
      <x:c r="R73" s="21" t="str">
        <x:v>PURITO, Torriden and other soothing serums</x:v>
      </x:c>
      <x:c r="S73" s="21" t="str">
        <x:v>Global community with U.S. relevance</x:v>
      </x:c>
      <x:c r="T73" s="21" t="str">
        <x:v>Low-Medium</x:v>
      </x:c>
      <x:c r="U73" s="21" t="str">
        <x:v>SRC-SKN-041</x:v>
      </x:c>
      <x:c r="V73" s="21" t="str">
        <x:v>Anecdotal and non-representative.</x:v>
      </x:c>
    </x:row>
    <x:row r="74" ht="106" customHeight="1">
      <x:c r="A74" s="21" t="str">
        <x:v>REV-SKN-015</x:v>
      </x:c>
      <x:c r="B74" s="21" t="str">
        <x:v>KB004</x:v>
      </x:c>
      <x:c r="C74" s="21" t="str">
        <x:v>SKN-P002</x:v>
      </x:c>
      <x:c r="D74" s="21" t="str">
        <x:v>Reddit r/KoreanBeauty</x:v>
      </x:c>
      <x:c r="E74" s="21" t="str">
        <x:v>https://www.reddit.com/r/KoreanBeauty/comments/1tx0w2v/skin1004_madagascar_centella_light_cleansing_oil/</x:v>
      </x:c>
      <x:c r="F74" s="25"/>
      <x:c r="G74" s="25" t="str">
        <x:v>2026-07-30</x:v>
      </x:c>
      <x:c r="H74" s="33" t="str">
        <x:v>Single recent consumer account</x:v>
      </x:c>
      <x:c r="I74" s="21" t="str">
        <x:v>Consumer forum</x:v>
      </x:c>
      <x:c r="J74" s="21" t="str">
        <x:v>No sponsorship observed / not independently verified</x:v>
      </x:c>
      <x:c r="K74" s="21" t="str">
        <x:v>Negative</x:v>
      </x:c>
      <x:c r="L74" s="21" t="str">
        <x:v>User liked the product enough to test careful technique</x:v>
      </x:c>
      <x:c r="M74" s="21" t="str">
        <x:v>June 2026 account describes repeated emulsification and a second cleanse.</x:v>
      </x:c>
      <x:c r="N74" s="21" t="str">
        <x:v>The user attributes new breakouts/clogging to the cleansing oil and plans to switch to a balm.</x:v>
      </x:c>
      <x:c r="O74" s="21" t="str">
        <x:v>One negative report cannot establish causation but is a useful tolerance signal.</x:v>
      </x:c>
      <x:c r="P74" s="21" t="str">
        <x:v>Oil-cleansing technique did not prevent the reported reaction.</x:v>
      </x:c>
      <x:c r="Q74" s="21" t="str">
        <x:v>Negative anecdote</x:v>
      </x:c>
      <x:c r="R74" s="21" t="str">
        <x:v>Cleansing balms</x:v>
      </x:c>
      <x:c r="S74" s="21" t="str">
        <x:v>U.S.-relevant consumer source</x:v>
      </x:c>
      <x:c r="T74" s="21" t="str">
        <x:v>Low</x:v>
      </x:c>
      <x:c r="U74" s="21" t="str">
        <x:v>SRC-SKN-042</x:v>
      </x:c>
      <x:c r="V74" s="21" t="str">
        <x:v>Self-selected, no causation established.</x:v>
      </x:c>
    </x:row>
    <x:row r="75" ht="106" customHeight="1">
      <x:c r="A75" s="21" t="str">
        <x:v>REV-SKN-016</x:v>
      </x:c>
      <x:c r="B75" s="21" t="str">
        <x:v>KB004</x:v>
      </x:c>
      <x:c r="C75" s="21" t="str">
        <x:v>SKN-P005</x:v>
      </x:c>
      <x:c r="D75" s="21" t="str">
        <x:v>Reddit K-Beauty communities</x:v>
      </x:c>
      <x:c r="E75" s="21" t="str">
        <x:v>https://www.reddit.com/r/Ulta/comments/1tnk06q/is_the_skin1004_madagascar_centella_hyalucica/</x:v>
      </x:c>
      <x:c r="F75" s="25"/>
      <x:c r="G75" s="25" t="str">
        <x:v>2026-07-30</x:v>
      </x:c>
      <x:c r="H75" s="33" t="str">
        <x:v>Multiple current discussions</x:v>
      </x:c>
      <x:c r="I75" s="21" t="str">
        <x:v>Consumer forum</x:v>
      </x:c>
      <x:c r="J75" s="21" t="str">
        <x:v>No sponsorship observed / not independently verified</x:v>
      </x:c>
      <x:c r="K75" s="21" t="str">
        <x:v>Mixed / formula-sensitive</x:v>
      </x:c>
      <x:c r="L75" s="21" t="str">
        <x:v>Interest in easy U.S. access and verified SPF</x:v>
      </x:c>
      <x:c r="M75" s="21" t="str">
        <x:v>Users recognize the Ulta/Amazon U.S. product as a compliant, authentic option.</x:v>
      </x:c>
      <x:c r="N75" s="21" t="str">
        <x:v>Consumers compare it unfavorably or cautiously with the Korean/global formula and discuss different filters, smell, feel and labeling.</x:v>
      </x:c>
      <x:c r="O75" s="21" t="str">
        <x:v>Parallel threads about U.S. sun-sale restrictions and formula changes reinforce the same education need.</x:v>
      </x:c>
      <x:c r="P75" s="21" t="str">
        <x:v>U.S. formula has traditional U.S.-monograph filters and a different sensory profile.</x:v>
      </x:c>
      <x:c r="Q75" s="21" t="str">
        <x:v>Mixed but high-interest</x:v>
      </x:c>
      <x:c r="R75" s="21" t="str">
        <x:v>Beauty of Joseon U.S. sunscreen and imported Korean sunscreens</x:v>
      </x:c>
      <x:c r="S75" s="21" t="str">
        <x:v>Yes / U.S. context</x:v>
      </x:c>
      <x:c r="T75" s="21" t="str">
        <x:v>Low-Medium</x:v>
      </x:c>
      <x:c r="U75" s="21" t="str">
        <x:v>SRC-SKN-044,SRC-SKN-045</x:v>
      </x:c>
      <x:c r="V75" s="21" t="str">
        <x:v>Anecdotal; regulator and label sources control compliance conclusions.</x:v>
      </x:c>
    </x:row>
    <x:row r="76" ht="112" customHeight="1">
      <x:c r="A76" s="21" t="str">
        <x:v>REV-TIR-001</x:v>
      </x:c>
      <x:c r="B76" s="21" t="str">
        <x:v>KB006</x:v>
      </x:c>
      <x:c r="C76" s="21" t="str">
        <x:v>TIR-P001</x:v>
      </x:c>
      <x:c r="D76" s="21" t="str">
        <x:v>TIRTIR Official</x:v>
      </x:c>
      <x:c r="E76" s="21" t="str">
        <x:v>https://tirtir.global/collections/cushion/products/mask-fit-red-cushion</x:v>
      </x:c>
      <x:c r="F76" s="25"/>
      <x:c r="G76" s="25" t="str">
        <x:v>2026-07-30</x:v>
      </x:c>
      <x:c r="H76" s="33" t="n">
        <x:v>777</x:v>
      </x:c>
      <x:c r="I76" s="21" t="str">
        <x:v>Verified-buyer tags present on individual reviews</x:v>
      </x:c>
      <x:c r="J76" s="21" t="str">
        <x:v>Brand-owned review environment</x:v>
      </x:c>
      <x:c r="K76" s="21" t="str">
        <x:v>Mostly Positive</x:v>
      </x:c>
      <x:c r="L76" s="21" t="str">
        <x:v>Coverage, shade range and finish</x:v>
      </x:c>
      <x:c r="M76" s="21" t="str">
        <x:v>Official aggregate is highly positive, while retailer/forum evidence supplies the main oxidation caution.</x:v>
      </x:c>
      <x:c r="N76" s="21" t="str">
        <x:v>4.7/777; strong five-star distribution; thin-layer coverage and shade breadth.</x:v>
      </x:c>
      <x:c r="O76" s="21" t="str">
        <x:v>Brand site is not the best source for critical sentiment; sold-out/promotion status changes.</x:v>
      </x:c>
      <x:c r="P76" s="21" t="str">
        <x:v>Mixed</x:v>
      </x:c>
      <x:c r="Q76" s="21" t="str">
        <x:v>Strong positive signal</x:v>
      </x:c>
      <x:c r="R76" s="21" t="str">
        <x:v>CLIO, Fenty and other cushions</x:v>
      </x:c>
      <x:c r="S76" s="21" t="str">
        <x:v>U.S.-serving site</x:v>
      </x:c>
      <x:c r="T76" s="21" t="str">
        <x:v>Medium-High</x:v>
      </x:c>
      <x:c r="U76" s="21" t="str">
        <x:v>SRC-TIR-022</x:v>
      </x:c>
      <x:c r="V76" s="21" t="str">
        <x:v>Aggregate summary; no verbatim quote stored.</x:v>
      </x:c>
    </x:row>
    <x:row r="77" ht="112" customHeight="1">
      <x:c r="A77" s="21" t="str">
        <x:v>REV-TIR-002</x:v>
      </x:c>
      <x:c r="B77" s="21" t="str">
        <x:v>KB006</x:v>
      </x:c>
      <x:c r="C77" s="21" t="str">
        <x:v>TIR-P001</x:v>
      </x:c>
      <x:c r="D77" s="21" t="str">
        <x:v>Amazon U.S.</x:v>
      </x:c>
      <x:c r="E77" s="21" t="str">
        <x:v>https://www.amazon.com/dp/B09LCMQM44</x:v>
      </x:c>
      <x:c r="F77" s="25"/>
      <x:c r="G77" s="25" t="str">
        <x:v>2026-07-30</x:v>
      </x:c>
      <x:c r="H77" s="33" t="n">
        <x:v>7927</x:v>
      </x:c>
      <x:c r="I77" s="21" t="str">
        <x:v>Mixed / aggregate</x:v>
      </x:c>
      <x:c r="J77" s="21" t="str">
        <x:v>Amazon reviews may include variants and incentives</x:v>
      </x:c>
      <x:c r="K77" s="21" t="str">
        <x:v>Mostly Positive</x:v>
      </x:c>
      <x:c r="L77" s="21" t="str">
        <x:v>Coverage and convenience versus shade/oxidation risk</x:v>
      </x:c>
      <x:c r="M77" s="21" t="str">
        <x:v>Large Amazon aggregate supports durable demand but does not eliminate fit complaints.</x:v>
      </x:c>
      <x:c r="N77" s="21" t="str">
        <x:v>4.3/7,927; strong coverage and portable routine fit.</x:v>
      </x:c>
      <x:c r="O77" s="21" t="str">
        <x:v>One-shade page/variant structure; oxidation and shade-match problems recur across consumer sources.</x:v>
      </x:c>
      <x:c r="P77" s="21" t="str">
        <x:v>Mixed</x:v>
      </x:c>
      <x:c r="Q77" s="21" t="str">
        <x:v>High demand / mixed shade risk</x:v>
      </x:c>
      <x:c r="R77" s="21" t="str">
        <x:v>Other TIRTIR shades and cushions</x:v>
      </x:c>
      <x:c r="S77" s="21" t="str">
        <x:v>Yes / U.S. marketplace</x:v>
      </x:c>
      <x:c r="T77" s="21" t="str">
        <x:v>High</x:v>
      </x:c>
      <x:c r="U77" s="21" t="str">
        <x:v>SRC-TIR-019</x:v>
      </x:c>
      <x:c r="V77" s="21" t="str">
        <x:v>Rating and count are dynamic.</x:v>
      </x:c>
    </x:row>
    <x:row r="78" ht="112" customHeight="1">
      <x:c r="A78" s="21" t="str">
        <x:v>REV-TIR-003</x:v>
      </x:c>
      <x:c r="B78" s="21" t="str">
        <x:v>KB006</x:v>
      </x:c>
      <x:c r="C78" s="21" t="str">
        <x:v>TIR-P001</x:v>
      </x:c>
      <x:c r="D78" s="21" t="str">
        <x:v>Ulta</x:v>
      </x:c>
      <x:c r="E78" s="21" t="str">
        <x:v>https://www.ulta.com/p/mask-fit-red-cushion-pimprod2053403</x:v>
      </x:c>
      <x:c r="F78" s="25"/>
      <x:c r="G78" s="25" t="str">
        <x:v>2026-07-30</x:v>
      </x:c>
      <x:c r="H78" s="33" t="n">
        <x:v>308</x:v>
      </x:c>
      <x:c r="I78" s="21" t="str">
        <x:v>Mixed / aggregate</x:v>
      </x:c>
      <x:c r="J78" s="21" t="str">
        <x:v>Retailer reviews can include incentives</x:v>
      </x:c>
      <x:c r="K78" s="21" t="str">
        <x:v>Mostly Positive</x:v>
      </x:c>
      <x:c r="L78" s="21" t="str">
        <x:v>Coverage, colors and mainstream accessibility</x:v>
      </x:c>
      <x:c r="M78" s="21" t="str">
        <x:v>Ulta aggregate confirms U.S. specialty adoption and in-store shade education potential.</x:v>
      </x:c>
      <x:c r="N78" s="21" t="str">
        <x:v>4.3/308; 40 colors; brand answers and store access can reduce online fit risk.</x:v>
      </x:c>
      <x:c r="O78" s="21" t="str">
        <x:v>Oxidation, texture and returns remain category issues; review incentives vary.</x:v>
      </x:c>
      <x:c r="P78" s="21" t="str">
        <x:v>Mixed</x:v>
      </x:c>
      <x:c r="Q78" s="21" t="str">
        <x:v>Positive but not universal</x:v>
      </x:c>
      <x:c r="R78" s="21" t="str">
        <x:v>Prestige and mass foundations</x:v>
      </x:c>
      <x:c r="S78" s="21" t="str">
        <x:v>Yes / U.S. retailer</x:v>
      </x:c>
      <x:c r="T78" s="21" t="str">
        <x:v>High</x:v>
      </x:c>
      <x:c r="U78" s="21" t="str">
        <x:v>SRC-TIR-045</x:v>
      </x:c>
      <x:c r="V78" s="21" t="str">
        <x:v>Current Ulta display.</x:v>
      </x:c>
    </x:row>
    <x:row r="79" ht="112" customHeight="1">
      <x:c r="A79" s="21" t="str">
        <x:v>REV-TIR-004</x:v>
      </x:c>
      <x:c r="B79" s="21" t="str">
        <x:v>KB006</x:v>
      </x:c>
      <x:c r="C79" s="21" t="str">
        <x:v>TIR-P001</x:v>
      </x:c>
      <x:c r="D79" s="21" t="str">
        <x:v>Reddit r/AsianBeauty</x:v>
      </x:c>
      <x:c r="E79" s="21" t="str">
        <x:v>https://www.reddit.com/r/AsianBeauty/comments/1ed4r84/warning_about_the_oxidation_in_tirtir_cushion/</x:v>
      </x:c>
      <x:c r="F79" s="25" t="str">
        <x:v>2024-07-27</x:v>
      </x:c>
      <x:c r="G79" s="25" t="str">
        <x:v>2026-07-30</x:v>
      </x:c>
      <x:c r="H79" s="33" t="str">
        <x:v>Large thread; 546+ post votes</x:v>
      </x:c>
      <x:c r="I79" s="21" t="str">
        <x:v>No</x:v>
      </x:c>
      <x:c r="J79" s="21" t="str">
        <x:v>Self-selected community; no purchase verification</x:v>
      </x:c>
      <x:c r="K79" s="21" t="str">
        <x:v>Mixed / Critical</x:v>
      </x:c>
      <x:c r="L79" s="21" t="str">
        <x:v>Oxidation and orange shift</x:v>
      </x:c>
      <x:c r="M79" s="21" t="str">
        <x:v>Thread visually documents some shades changing warmer/darker, with mixed replies on skin type, shade and application.</x:v>
      </x:c>
      <x:c r="N79" s="21" t="str">
        <x:v>Some users report little oxidation and improved finish with very thin layers or alternate application.</x:v>
      </x:c>
      <x:c r="O79" s="21" t="str">
        <x:v>Many describe severe orange shift and advise trial sizes or lighter shades.</x:v>
      </x:c>
      <x:c r="P79" s="21" t="str">
        <x:v>Mixed, including oily and dry</x:v>
      </x:c>
      <x:c r="Q79" s="21" t="str">
        <x:v>Mixed</x:v>
      </x:c>
      <x:c r="R79" s="21" t="str">
        <x:v>CLIO cushion mentioned positively</x:v>
      </x:c>
      <x:c r="S79" s="21" t="str">
        <x:v>Not necessarily U.S.-only</x:v>
      </x:c>
      <x:c r="T79" s="21" t="str">
        <x:v>Low-Medium</x:v>
      </x:c>
      <x:c r="U79" s="21" t="str">
        <x:v>SRC-TIR-040</x:v>
      </x:c>
      <x:c r="V79" s="21" t="str">
        <x:v>Anecdotal; shade and skin chemistry vary.</x:v>
      </x:c>
    </x:row>
    <x:row r="80" ht="112" customHeight="1">
      <x:c r="A80" s="21" t="str">
        <x:v>REV-TIR-005</x:v>
      </x:c>
      <x:c r="B80" s="21" t="str">
        <x:v>KB006</x:v>
      </x:c>
      <x:c r="C80" s="21" t="str">
        <x:v>TIR-P001</x:v>
      </x:c>
      <x:c r="D80" s="21" t="str">
        <x:v>Reddit r/AsianBeauty</x:v>
      </x:c>
      <x:c r="E80" s="21" t="str">
        <x:v>https://www.reddit.com/r/AsianBeauty/comments/1e66mcm/what_are_your_thoughts_on_the_tirtir_mask_fit_red/</x:v>
      </x:c>
      <x:c r="F80" s="25" t="str">
        <x:v>2024-07-18</x:v>
      </x:c>
      <x:c r="G80" s="25" t="str">
        <x:v>2026-07-30</x:v>
      </x:c>
      <x:c r="H80" s="33" t="str">
        <x:v>Community thread</x:v>
      </x:c>
      <x:c r="I80" s="21" t="str">
        <x:v>No</x:v>
      </x:c>
      <x:c r="J80" s="21" t="str">
        <x:v>Self-selected community</x:v>
      </x:c>
      <x:c r="K80" s="21" t="str">
        <x:v>Mixed Positive</x:v>
      </x:c>
      <x:c r="L80" s="21" t="str">
        <x:v>High coverage and hot-weather wear</x:v>
      </x:c>
      <x:c r="M80" s="21" t="str">
        <x:v>Experienced cushion users emphasize using very little product and tailoring to oily versus dry skin.</x:v>
      </x:c>
      <x:c r="N80" s="21" t="str">
        <x:v>Strong coverage, hot-weather longevity and efficient application for oily users.</x:v>
      </x:c>
      <x:c r="O80" s="21" t="str">
        <x:v>Dry skin may dislike the finish; full coverage can look heavy; some oxidation.</x:v>
      </x:c>
      <x:c r="P80" s="21" t="str">
        <x:v>Oily/combination favored</x:v>
      </x:c>
      <x:c r="Q80" s="21" t="str">
        <x:v>Positive for fit users</x:v>
      </x:c>
      <x:c r="R80" s="21" t="str">
        <x:v>CLIO Mesh cushion</x:v>
      </x:c>
      <x:c r="S80" s="21" t="str">
        <x:v>Not necessarily U.S.-only</x:v>
      </x:c>
      <x:c r="T80" s="21" t="str">
        <x:v>Low-Medium</x:v>
      </x:c>
      <x:c r="U80" s="21" t="str">
        <x:v>SRC-TIR-041</x:v>
      </x:c>
      <x:c r="V80" s="21" t="str">
        <x:v>Anecdotal application guidance.</x:v>
      </x:c>
    </x:row>
    <x:row r="81" ht="112" customHeight="1">
      <x:c r="A81" s="21" t="str">
        <x:v>REV-TIR-006</x:v>
      </x:c>
      <x:c r="B81" s="21" t="str">
        <x:v>KB006</x:v>
      </x:c>
      <x:c r="C81" s="21" t="str">
        <x:v>TIR-P001</x:v>
      </x:c>
      <x:c r="D81" s="21" t="str">
        <x:v>Reddit r/AsianBeauty</x:v>
      </x:c>
      <x:c r="E81" s="21" t="str">
        <x:v>https://www.reddit.com/r/AsianBeauty/comments/15anx1d</x:v>
      </x:c>
      <x:c r="F81" s="25" t="str">
        <x:v>2023-07-27</x:v>
      </x:c>
      <x:c r="G81" s="25" t="str">
        <x:v>2026-07-30</x:v>
      </x:c>
      <x:c r="H81" s="33" t="str">
        <x:v>165+ post votes and thread comments</x:v>
      </x:c>
      <x:c r="I81" s="21" t="str">
        <x:v>No</x:v>
      </x:c>
      <x:c r="J81" s="21" t="str">
        <x:v>Self-selected community</x:v>
      </x:c>
      <x:c r="K81" s="21" t="str">
        <x:v>Mostly Positive</x:v>
      </x:c>
      <x:c r="L81" s="21" t="str">
        <x:v>Coverage and workday longevity</x:v>
      </x:c>
      <x:c r="M81" s="21" t="str">
        <x:v>Reviewer reports strong acne-scar coverage, little product required and 9–6 wear, with mild peachy oxidation.</x:v>
      </x:c>
      <x:c r="N81" s="21" t="str">
        <x:v>High coverage without concealer and good longevity.</x:v>
      </x:c>
      <x:c r="O81" s="21" t="str">
        <x:v>Some transfer and mild oxidation; individual shade fit.</x:v>
      </x:c>
      <x:c r="P81" s="21" t="str">
        <x:v>Acne-scar concern / mixed</x:v>
      </x:c>
      <x:c r="Q81" s="21" t="str">
        <x:v>Positive</x:v>
      </x:c>
      <x:c r="R81" s="21" t="str">
        <x:v>MISSHA cushion context</x:v>
      </x:c>
      <x:c r="S81" s="21" t="str">
        <x:v>Not U.S.-specific</x:v>
      </x:c>
      <x:c r="T81" s="21" t="str">
        <x:v>Low-Medium</x:v>
      </x:c>
      <x:c r="U81" s="21" t="str">
        <x:v>SRC-TIR-041</x:v>
      </x:c>
      <x:c r="V81" s="21" t="str">
        <x:v>Anecdotal and older.</x:v>
      </x:c>
    </x:row>
    <x:row r="82" ht="112" customHeight="1">
      <x:c r="A82" s="21" t="str">
        <x:v>REV-TIR-007</x:v>
      </x:c>
      <x:c r="B82" s="21" t="str">
        <x:v>KB006</x:v>
      </x:c>
      <x:c r="C82" s="21" t="str">
        <x:v>TIR-P002</x:v>
      </x:c>
      <x:c r="D82" s="21" t="str">
        <x:v>TIRTIR Official</x:v>
      </x:c>
      <x:c r="E82" s="21" t="str">
        <x:v>https://tirtir.global/collections/la-pop-up/products/mask-fit-ai-filter-cushion</x:v>
      </x:c>
      <x:c r="F82" s="25"/>
      <x:c r="G82" s="25" t="str">
        <x:v>2026-07-30</x:v>
      </x:c>
      <x:c r="H82" s="33" t="n">
        <x:v>317</x:v>
      </x:c>
      <x:c r="I82" s="21" t="str">
        <x:v>Verified-buyer tags present on individual reviews</x:v>
      </x:c>
      <x:c r="J82" s="21" t="str">
        <x:v>Brand-owned review environment</x:v>
      </x:c>
      <x:c r="K82" s="21" t="str">
        <x:v>Mostly Positive</x:v>
      </x:c>
      <x:c r="L82" s="21" t="str">
        <x:v>Matte blur and lightweight coverage</x:v>
      </x:c>
      <x:c r="M82" s="21" t="str">
        <x:v>Official page shows high satisfaction for the newer cushion.</x:v>
      </x:c>
      <x:c r="N82" s="21" t="str">
        <x:v>4.7/317; 95% recommendation; pore-blur and oily-skin relevance.</x:v>
      </x:c>
      <x:c r="O82" s="21" t="str">
        <x:v>Shorter review history than Red Cushion; brand-site sample may skew positive.</x:v>
      </x:c>
      <x:c r="P82" s="21" t="str">
        <x:v>Oily/combination target</x:v>
      </x:c>
      <x:c r="Q82" s="21" t="str">
        <x:v>Strong positive signal</x:v>
      </x:c>
      <x:c r="R82" s="21" t="str">
        <x:v>CLIO matte cushions</x:v>
      </x:c>
      <x:c r="S82" s="21" t="str">
        <x:v>U.S.-serving site</x:v>
      </x:c>
      <x:c r="T82" s="21" t="str">
        <x:v>Medium-High</x:v>
      </x:c>
      <x:c r="U82" s="21" t="str">
        <x:v>SRC-TIR-023</x:v>
      </x:c>
      <x:c r="V82" s="21" t="str">
        <x:v>30 shades counted from current variants.</x:v>
      </x:c>
    </x:row>
    <x:row r="83" ht="112" customHeight="1">
      <x:c r="A83" s="21" t="str">
        <x:v>REV-TIR-008</x:v>
      </x:c>
      <x:c r="B83" s="21" t="str">
        <x:v>KB006</x:v>
      </x:c>
      <x:c r="C83" s="21" t="str">
        <x:v>TIR-P002</x:v>
      </x:c>
      <x:c r="D83" s="21" t="str">
        <x:v>Amazon U.S. Search</x:v>
      </x:c>
      <x:c r="E83" s="21" t="str">
        <x:v>https://www.amazon.com/s?k=TIRTIR+AI+Filter+Cushion</x:v>
      </x:c>
      <x:c r="F83" s="25"/>
      <x:c r="G83" s="25" t="str">
        <x:v>2026-07-30</x:v>
      </x:c>
      <x:c r="H83" s="33" t="str">
        <x:v>Shade-specific listings</x:v>
      </x:c>
      <x:c r="I83" s="21" t="str">
        <x:v>Mixed / aggregate</x:v>
      </x:c>
      <x:c r="J83" s="21" t="str">
        <x:v>Variant fragmentation and marketplace review mixing</x:v>
      </x:c>
      <x:c r="K83" s="21" t="str">
        <x:v>Mixed Positive</x:v>
      </x:c>
      <x:c r="L83" s="21" t="str">
        <x:v>New-product adoption by shade</x:v>
      </x:c>
      <x:c r="M83" s="21" t="str">
        <x:v>Sampled shade listings showed 4.0–4.2 ratings and 200–300+ bought/month at $18.75.</x:v>
      </x:c>
      <x:c r="N83" s="21" t="str">
        <x:v>Multiple shades already show meaningful monthly-purchase badges.</x:v>
      </x:c>
      <x:c r="O83" s="21" t="str">
        <x:v>Fragmented ASINs, lower ratings than official site and no safe aggregate without deduplication.</x:v>
      </x:c>
      <x:c r="P83" s="21" t="str">
        <x:v>Mixed</x:v>
      </x:c>
      <x:c r="Q83" s="21" t="str">
        <x:v>Emerging positive</x:v>
      </x:c>
      <x:c r="R83" s="21" t="str">
        <x:v>Red Cushion</x:v>
      </x:c>
      <x:c r="S83" s="21" t="str">
        <x:v>Yes / U.S. marketplace</x:v>
      </x:c>
      <x:c r="T83" s="21" t="str">
        <x:v>Medium</x:v>
      </x:c>
      <x:c r="U83" s="21" t="str">
        <x:v>SRC-TIR-021,SRC-TIR-023</x:v>
      </x:c>
      <x:c r="V83" s="21" t="str">
        <x:v>Do not sum shade badges as audited units.</x:v>
      </x:c>
    </x:row>
    <x:row r="84" ht="112" customHeight="1">
      <x:c r="A84" s="21" t="str">
        <x:v>REV-TIR-009</x:v>
      </x:c>
      <x:c r="B84" s="21" t="str">
        <x:v>KB006</x:v>
      </x:c>
      <x:c r="C84" s="21" t="str">
        <x:v>TIR-P002</x:v>
      </x:c>
      <x:c r="D84" s="21" t="str">
        <x:v>Reddit r/kbeauty</x:v>
      </x:c>
      <x:c r="E84" s="21" t="str">
        <x:v>https://www.reddit.com/r/kbeauty/comments/1uy3oye/does_the_tirtir_ai_filter_cushion_oxidise_like/</x:v>
      </x:c>
      <x:c r="F84" s="25" t="str">
        <x:v>2026-07</x:v>
      </x:c>
      <x:c r="G84" s="25" t="str">
        <x:v>2026-07-30</x:v>
      </x:c>
      <x:c r="H84" s="33" t="str">
        <x:v>Small recent thread</x:v>
      </x:c>
      <x:c r="I84" s="21" t="str">
        <x:v>No</x:v>
      </x:c>
      <x:c r="J84" s="21" t="str">
        <x:v>Self-selected community</x:v>
      </x:c>
      <x:c r="K84" s="21" t="str">
        <x:v>Mixed / Critical</x:v>
      </x:c>
      <x:c r="L84" s="21" t="str">
        <x:v>Dryness, cakiness and oxidation</x:v>
      </x:c>
      <x:c r="M84" s="21" t="str">
        <x:v>Recent replies disagree on oxidation, but dryness/cakiness is a salient negative signal.</x:v>
      </x:c>
      <x:c r="N84" s="21" t="str">
        <x:v>Some report exact shade match and repurchase.</x:v>
      </x:c>
      <x:c r="O84" s="21" t="str">
        <x:v>Others describe a very dry, cakey finish and some warming/oxidation.</x:v>
      </x:c>
      <x:c r="P84" s="21" t="str">
        <x:v>Mixed</x:v>
      </x:c>
      <x:c r="Q84" s="21" t="str">
        <x:v>Mixed</x:v>
      </x:c>
      <x:c r="R84" s="21" t="str">
        <x:v>TIRTIR Red Cushion</x:v>
      </x:c>
      <x:c r="S84" s="21" t="str">
        <x:v>Not necessarily U.S.-only</x:v>
      </x:c>
      <x:c r="T84" s="21" t="str">
        <x:v>Low</x:v>
      </x:c>
      <x:c r="U84" s="21" t="str">
        <x:v>SRC-TIR-049</x:v>
      </x:c>
      <x:c r="V84" s="21" t="str">
        <x:v>Small anecdotal sample.</x:v>
      </x:c>
    </x:row>
    <x:row r="85" ht="112" customHeight="1">
      <x:c r="A85" s="21" t="str">
        <x:v>REV-TIR-010</x:v>
      </x:c>
      <x:c r="B85" s="21" t="str">
        <x:v>KB006</x:v>
      </x:c>
      <x:c r="C85" s="21" t="str">
        <x:v>TIR-P003</x:v>
      </x:c>
      <x:c r="D85" s="21" t="str">
        <x:v>TIRTIR Official</x:v>
      </x:c>
      <x:c r="E85" s="21" t="str">
        <x:v>https://tirtir.global/products/mask-fit-waterproof-setting-spray</x:v>
      </x:c>
      <x:c r="F85" s="25"/>
      <x:c r="G85" s="25" t="str">
        <x:v>2026-07-30</x:v>
      </x:c>
      <x:c r="H85" s="33" t="n">
        <x:v>134</x:v>
      </x:c>
      <x:c r="I85" s="21" t="str">
        <x:v>Verified-buyer tags present on individual reviews</x:v>
      </x:c>
      <x:c r="J85" s="21" t="str">
        <x:v>Brand-owned review environment</x:v>
      </x:c>
      <x:c r="K85" s="21" t="str">
        <x:v>Very Positive</x:v>
      </x:c>
      <x:c r="L85" s="21" t="str">
        <x:v>Sweat resistance and all-day hold</x:v>
      </x:c>
      <x:c r="M85" s="21" t="str">
        <x:v>Official page reports an unusually strong current aggregate.</x:v>
      </x:c>
      <x:c r="N85" s="21" t="str">
        <x:v>4.9/134; 100% recommendation; users praise wear through sweat.</x:v>
      </x:c>
      <x:c r="O85" s="21" t="str">
        <x:v>Short review history and brand-owned environment; claims still require substantiation.</x:v>
      </x:c>
      <x:c r="P85" s="21" t="str">
        <x:v>Mixed</x:v>
      </x:c>
      <x:c r="Q85" s="21" t="str">
        <x:v>Strong positive</x:v>
      </x:c>
      <x:c r="R85" s="21" t="str">
        <x:v>Urban Decay setting spray</x:v>
      </x:c>
      <x:c r="S85" s="21" t="str">
        <x:v>U.S.-serving site</x:v>
      </x:c>
      <x:c r="T85" s="21" t="str">
        <x:v>Medium-High</x:v>
      </x:c>
      <x:c r="U85" s="21" t="str">
        <x:v>SRC-TIR-024</x:v>
      </x:c>
      <x:c r="V85" s="21" t="str">
        <x:v>Aggregate summary.</x:v>
      </x:c>
    </x:row>
    <x:row r="86" ht="112" customHeight="1">
      <x:c r="A86" s="21" t="str">
        <x:v>REV-TIR-011</x:v>
      </x:c>
      <x:c r="B86" s="21" t="str">
        <x:v>KB006</x:v>
      </x:c>
      <x:c r="C86" s="21" t="str">
        <x:v>TIR-P003</x:v>
      </x:c>
      <x:c r="D86" s="21" t="str">
        <x:v>Amazon U.S.</x:v>
      </x:c>
      <x:c r="E86" s="21" t="str">
        <x:v>https://www.amazon.com/dp/B0DZMMBF3J</x:v>
      </x:c>
      <x:c r="F86" s="25"/>
      <x:c r="G86" s="25" t="str">
        <x:v>2026-07-30</x:v>
      </x:c>
      <x:c r="H86" s="33" t="n">
        <x:v>1416</x:v>
      </x:c>
      <x:c r="I86" s="21" t="str">
        <x:v>Mixed / aggregate</x:v>
      </x:c>
      <x:c r="J86" s="21" t="str">
        <x:v>Amazon reviews may include variants/incentives</x:v>
      </x:c>
      <x:c r="K86" s="21" t="str">
        <x:v>Mostly Positive</x:v>
      </x:c>
      <x:c r="L86" s="21" t="str">
        <x:v>Longevity for heat, oil and sweat</x:v>
      </x:c>
      <x:c r="M86" s="21" t="str">
        <x:v>Large monthly badge and reviews support real adoption; sampled reviews praised desert heat and oily/sweaty wear.</x:v>
      </x:c>
      <x:c r="N86" s="21" t="str">
        <x:v>4.4/1,416; 20K+ badge; strong staying-power feedback.</x:v>
      </x:c>
      <x:c r="O86" s="21" t="str">
        <x:v>Some lower-star experiences; waterproof removal and nozzle/finish preference vary.</x:v>
      </x:c>
      <x:c r="P86" s="21" t="str">
        <x:v>Oily/sweaty users prominent</x:v>
      </x:c>
      <x:c r="Q86" s="21" t="str">
        <x:v>Strong positive</x:v>
      </x:c>
      <x:c r="R86" s="21" t="str">
        <x:v>Other setting sprays</x:v>
      </x:c>
      <x:c r="S86" s="21" t="str">
        <x:v>Yes / U.S. marketplace</x:v>
      </x:c>
      <x:c r="T86" s="21" t="str">
        <x:v>High</x:v>
      </x:c>
      <x:c r="U86" s="21" t="str">
        <x:v>SRC-TIR-016</x:v>
      </x:c>
      <x:c r="V86" s="21" t="str">
        <x:v>Aggregate plus direct page snippets.</x:v>
      </x:c>
    </x:row>
    <x:row r="87" ht="112" customHeight="1">
      <x:c r="A87" s="21" t="str">
        <x:v>REV-TIR-012</x:v>
      </x:c>
      <x:c r="B87" s="21" t="str">
        <x:v>KB006</x:v>
      </x:c>
      <x:c r="C87" s="21" t="str">
        <x:v>TIR-P004</x:v>
      </x:c>
      <x:c r="D87" s="21" t="str">
        <x:v>TIRTIR Official</x:v>
      </x:c>
      <x:c r="E87" s="21" t="str">
        <x:v>https://tirtir.global/collections/la-pop-up/products/glide-hide-blurring-concealer</x:v>
      </x:c>
      <x:c r="F87" s="25"/>
      <x:c r="G87" s="25" t="str">
        <x:v>2026-07-30</x:v>
      </x:c>
      <x:c r="H87" s="33" t="n">
        <x:v>255</x:v>
      </x:c>
      <x:c r="I87" s="21" t="str">
        <x:v>Verified-buyer tags present on individual reviews</x:v>
      </x:c>
      <x:c r="J87" s="21" t="str">
        <x:v>Brand-owned review environment</x:v>
      </x:c>
      <x:c r="K87" s="21" t="str">
        <x:v>Very Positive</x:v>
      </x:c>
      <x:c r="L87" s="21" t="str">
        <x:v>Two-in-one convenience and blurring</x:v>
      </x:c>
      <x:c r="M87" s="21" t="str">
        <x:v>Official page shows strong early satisfaction.</x:v>
      </x:c>
      <x:c r="N87" s="21" t="str">
        <x:v>4.8/255; 99% recommendation; multi-use shade/coverage flexibility.</x:v>
      </x:c>
      <x:c r="O87" s="21" t="str">
        <x:v>Brand-owned environment and shorter history; three one-star reviews recorded.</x:v>
      </x:c>
      <x:c r="P87" s="21" t="str">
        <x:v>Mixed</x:v>
      </x:c>
      <x:c r="Q87" s="21" t="str">
        <x:v>Strong positive</x:v>
      </x:c>
      <x:c r="R87" s="21" t="str">
        <x:v>NYX and prestige concealers</x:v>
      </x:c>
      <x:c r="S87" s="21" t="str">
        <x:v>U.S.-serving site</x:v>
      </x:c>
      <x:c r="T87" s="21" t="str">
        <x:v>Medium-High</x:v>
      </x:c>
      <x:c r="U87" s="21" t="str">
        <x:v>SRC-TIR-025</x:v>
      </x:c>
      <x:c r="V87" s="21" t="str">
        <x:v>23 variants on official page.</x:v>
      </x:c>
    </x:row>
    <x:row r="88" ht="112" customHeight="1">
      <x:c r="A88" s="21" t="str">
        <x:v>REV-TIR-013</x:v>
      </x:c>
      <x:c r="B88" s="21" t="str">
        <x:v>KB006</x:v>
      </x:c>
      <x:c r="C88" s="21" t="str">
        <x:v>TIR-P004</x:v>
      </x:c>
      <x:c r="D88" s="21" t="str">
        <x:v>Ulta</x:v>
      </x:c>
      <x:c r="E88" s="21" t="str">
        <x:v>https://www.ulta.com/p/glide-hide-blurring-concealer-pimprod2053414</x:v>
      </x:c>
      <x:c r="F88" s="25"/>
      <x:c r="G88" s="25" t="str">
        <x:v>2026-07-30</x:v>
      </x:c>
      <x:c r="H88" s="33" t="n">
        <x:v>158</x:v>
      </x:c>
      <x:c r="I88" s="21" t="str">
        <x:v>Mixed / aggregate</x:v>
      </x:c>
      <x:c r="J88" s="21" t="str">
        <x:v>Some sampled reviews disclosed free product</x:v>
      </x:c>
      <x:c r="K88" s="21" t="str">
        <x:v>Mostly Positive</x:v>
      </x:c>
      <x:c r="L88" s="21" t="str">
        <x:v>Dual texture and shade usefulness</x:v>
      </x:c>
      <x:c r="M88" s="21" t="str">
        <x:v>Ulta reviews praise selecting stick or liquid by area and the portable format.</x:v>
      </x:c>
      <x:c r="N88" s="21" t="str">
        <x:v>4.6/158; 20 colors; useful under-eye, contour and pore-blur flexibility.</x:v>
      </x:c>
      <x:c r="O88" s="21" t="str">
        <x:v>Some note the liquid side appears small; incentives and shade fit affect sentiment.</x:v>
      </x:c>
      <x:c r="P88" s="21" t="str">
        <x:v>Mixed</x:v>
      </x:c>
      <x:c r="Q88" s="21" t="str">
        <x:v>Positive</x:v>
      </x:c>
      <x:c r="R88" s="21" t="str">
        <x:v>Other concealers</x:v>
      </x:c>
      <x:c r="S88" s="21" t="str">
        <x:v>Yes / U.S. retailer</x:v>
      </x:c>
      <x:c r="T88" s="21" t="str">
        <x:v>High</x:v>
      </x:c>
      <x:c r="U88" s="21" t="str">
        <x:v>SRC-TIR-046</x:v>
      </x:c>
      <x:c r="V88" s="21" t="str">
        <x:v>Current count is dynamic.</x:v>
      </x:c>
    </x:row>
    <x:row r="89" ht="112" customHeight="1">
      <x:c r="A89" s="21" t="str">
        <x:v>REV-TIR-014</x:v>
      </x:c>
      <x:c r="B89" s="21" t="str">
        <x:v>KB006</x:v>
      </x:c>
      <x:c r="C89" s="21" t="str">
        <x:v>TIR-P005</x:v>
      </x:c>
      <x:c r="D89" s="21" t="str">
        <x:v>iHerb</x:v>
      </x:c>
      <x:c r="E89" s="21" t="str">
        <x:v>https://www.iherb.com/r/tirtir-milk-skin-toner-5-07-fl-oz-150-ml/138593</x:v>
      </x:c>
      <x:c r="F89" s="25"/>
      <x:c r="G89" s="25" t="str">
        <x:v>2026-07-30</x:v>
      </x:c>
      <x:c r="H89" s="33" t="n">
        <x:v>2005</x:v>
      </x:c>
      <x:c r="I89" s="21" t="str">
        <x:v>Verified-purchase tags on individual reviews</x:v>
      </x:c>
      <x:c r="J89" s="21" t="str">
        <x:v>Retailer-generated summaries and reviews</x:v>
      </x:c>
      <x:c r="K89" s="21" t="str">
        <x:v>Very Positive</x:v>
      </x:c>
      <x:c r="L89" s="21" t="str">
        <x:v>Hydration, glow and value</x:v>
      </x:c>
      <x:c r="M89" s="21" t="str">
        <x:v>Large authorized-retailer aggregate strongly supports hydration and softness benefits.</x:v>
      </x:c>
      <x:c r="N89" s="21" t="str">
        <x:v>4.7/~2,005; many users praise silky hydration, glow and large size.</x:v>
      </x:c>
      <x:c r="O89" s="21" t="str">
        <x:v>Some consumers still experience irritation or texture; retailer AI summary is secondary.</x:v>
      </x:c>
      <x:c r="P89" s="21" t="str">
        <x:v>Dry/sensitive and mixed</x:v>
      </x:c>
      <x:c r="Q89" s="21" t="str">
        <x:v>Strong positive</x:v>
      </x:c>
      <x:c r="R89" s="21" t="str">
        <x:v>LANEIGE, I'm From and other milky toners</x:v>
      </x:c>
      <x:c r="S89" s="21" t="str">
        <x:v>U.S.-accessible retailer</x:v>
      </x:c>
      <x:c r="T89" s="21" t="str">
        <x:v>High</x:v>
      </x:c>
      <x:c r="U89" s="21" t="str">
        <x:v>SRC-TIR-047</x:v>
      </x:c>
      <x:c r="V89" s="21" t="str">
        <x:v>Counts varied slightly by crawl.</x:v>
      </x:c>
    </x:row>
    <x:row r="90" ht="112" customHeight="1">
      <x:c r="A90" s="21" t="str">
        <x:v>REV-TIR-015</x:v>
      </x:c>
      <x:c r="B90" s="21" t="str">
        <x:v>KB006</x:v>
      </x:c>
      <x:c r="C90" s="21" t="str">
        <x:v>TIR-P005</x:v>
      </x:c>
      <x:c r="D90" s="21" t="str">
        <x:v>Reddit r/AsianBeauty</x:v>
      </x:c>
      <x:c r="E90" s="21" t="str">
        <x:v>https://www.reddit.com/r/AsianBeauty/comments/1cyqblf/is_the_tirtir_toner_worth_it/</x:v>
      </x:c>
      <x:c r="F90" s="25" t="str">
        <x:v>2024-05-23</x:v>
      </x:c>
      <x:c r="G90" s="25" t="str">
        <x:v>2026-07-30</x:v>
      </x:c>
      <x:c r="H90" s="33" t="str">
        <x:v>Large multi-year thread</x:v>
      </x:c>
      <x:c r="I90" s="21" t="str">
        <x:v>No</x:v>
      </x:c>
      <x:c r="J90" s="21" t="str">
        <x:v>Self-selected community</x:v>
      </x:c>
      <x:c r="K90" s="21" t="str">
        <x:v>Polarized</x:v>
      </x:c>
      <x:c r="L90" s="21" t="str">
        <x:v>Glow/hydration versus sticky texture and breakouts</x:v>
      </x:c>
      <x:c r="M90" s="21" t="str">
        <x:v>Thread ranges from instant-glow praise to repeated complaints about bumps, burning, rough texture and breakouts.</x:v>
      </x:c>
      <x:c r="N90" s="21" t="str">
        <x:v>Hydrating, silky, soothing and glass-skin results for some users.</x:v>
      </x:c>
      <x:c r="O90" s="21" t="str">
        <x:v>Sticky/greasy feel, burning, rough texture and breakouts for others; niacinamide suspected but not proven.</x:v>
      </x:c>
      <x:c r="P90" s="21" t="str">
        <x:v>Mixed, including oily/dehydrated and sensitive</x:v>
      </x:c>
      <x:c r="Q90" s="21" t="str">
        <x:v>Polarized</x:v>
      </x:c>
      <x:c r="R90" s="21" t="str">
        <x:v>Other milky toners</x:v>
      </x:c>
      <x:c r="S90" s="21" t="str">
        <x:v>Not necessarily U.S.-only</x:v>
      </x:c>
      <x:c r="T90" s="21" t="str">
        <x:v>Low-Medium</x:v>
      </x:c>
      <x:c r="U90" s="21" t="str">
        <x:v>SRC-TIR-042</x:v>
      </x:c>
      <x:c r="V90" s="21" t="str">
        <x:v>No causation; patch testing remains prudent.</x:v>
      </x:c>
    </x:row>
    <x:row r="91" ht="112" customHeight="1">
      <x:c r="A91" s="21" t="str">
        <x:v>REV-TIR-016</x:v>
      </x:c>
      <x:c r="B91" s="21" t="str">
        <x:v>KB006</x:v>
      </x:c>
      <x:c r="C91" s="21" t="str">
        <x:v>TIR-P005</x:v>
      </x:c>
      <x:c r="D91" s="21" t="str">
        <x:v>Reddit r/AsianBeauty</x:v>
      </x:c>
      <x:c r="E91" s="21" t="str">
        <x:v>https://www.reddit.com/r/AsianBeauty/comments/1g8440i</x:v>
      </x:c>
      <x:c r="F91" s="25" t="str">
        <x:v>2024-10-20</x:v>
      </x:c>
      <x:c r="G91" s="25" t="str">
        <x:v>2026-07-30</x:v>
      </x:c>
      <x:c r="H91" s="33" t="str">
        <x:v>Detailed review plus thread</x:v>
      </x:c>
      <x:c r="I91" s="21" t="str">
        <x:v>No</x:v>
      </x:c>
      <x:c r="J91" s="21" t="str">
        <x:v>Self-selected community</x:v>
      </x:c>
      <x:c r="K91" s="21" t="str">
        <x:v>Mixed Positive</x:v>
      </x:c>
      <x:c r="L91" s="21" t="str">
        <x:v>Dry/sensitive mature-skin hydration and ingredient sensitivity</x:v>
      </x:c>
      <x:c r="M91" s="21" t="str">
        <x:v>Detailed review praises hydrated, smooth skin while commenters note niacinamide, witch hazel or other sensitivities and some breakouts.</x:v>
      </x:c>
      <x:c r="N91" s="21" t="str">
        <x:v>Favorite-toner and rosacea-comfort reports; strong hydration.</x:v>
      </x:c>
      <x:c r="O91" s="21" t="str">
        <x:v>Breakouts, pore appearance and sensitivity concerns for a minority.</x:v>
      </x:c>
      <x:c r="P91" s="21" t="str">
        <x:v>Dry, sensitive, mature and mixed</x:v>
      </x:c>
      <x:c r="Q91" s="21" t="str">
        <x:v>Mostly positive</x:v>
      </x:c>
      <x:c r="R91" s="21" t="str">
        <x:v>Other milky toners</x:v>
      </x:c>
      <x:c r="S91" s="21" t="str">
        <x:v>Not U.S.-only</x:v>
      </x:c>
      <x:c r="T91" s="21" t="str">
        <x:v>Low-Medium</x:v>
      </x:c>
      <x:c r="U91" s="21" t="str">
        <x:v>SRC-TIR-043</x:v>
      </x:c>
      <x:c r="V91" s="21" t="str">
        <x:v>Anecdotal and individual.</x:v>
      </x:c>
    </x:row>
    <x:row r="92" ht="120" customHeight="1">
      <x:c r="A92" s="21" t="str">
        <x:v>REV-VT-001</x:v>
      </x:c>
      <x:c r="B92" s="21" t="str">
        <x:v>KB007</x:v>
      </x:c>
      <x:c r="C92" s="21" t="str">
        <x:v>VT-P001</x:v>
      </x:c>
      <x:c r="D92" s="21" t="str">
        <x:v>Amazon U.S.</x:v>
      </x:c>
      <x:c r="E92" s="21" t="str">
        <x:v>https://www.amazon.com/dp/B0C2TQ24VY</x:v>
      </x:c>
      <x:c r="F92" s="25"/>
      <x:c r="G92" s="25" t="str">
        <x:v>2026-07-30</x:v>
      </x:c>
      <x:c r="H92" s="33" t="n">
        <x:v>12535</x:v>
      </x:c>
      <x:c r="I92" s="21" t="str">
        <x:v>Mixed / aggregate</x:v>
      </x:c>
      <x:c r="J92" s="21" t="str">
        <x:v>Amazon reviews may include incentives or variant effects</x:v>
      </x:c>
      <x:c r="K92" s="21" t="str">
        <x:v>Mostly Positive / Polarized</x:v>
      </x:c>
      <x:c r="L92" s="21" t="str">
        <x:v>Texture and glow versus prickling and irritation</x:v>
      </x:c>
      <x:c r="M92" s="21" t="str">
        <x:v>Large aggregate and 10K+ badge support durable adoption, but the sensory mechanism produces a meaningful negative tail.</x:v>
      </x:c>
      <x:c r="N92" s="21" t="str">
        <x:v>4.5/12,535; high monthly badge; many consumers value smoother-looking texture and glow.</x:v>
      </x:c>
      <x:c r="O92" s="21" t="str">
        <x:v>Stinging, redness, irritation, breakouts and no-effect reports require education and returns planning.</x:v>
      </x:c>
      <x:c r="P92" s="21" t="str">
        <x:v>Mixed, sensitive users at higher risk</x:v>
      </x:c>
      <x:c r="Q92" s="21" t="str">
        <x:v>Strong demand / mixed tolerance</x:v>
      </x:c>
      <x:c r="R92" s="21" t="str">
        <x:v>Medicube spicule products</x:v>
      </x:c>
      <x:c r="S92" s="21" t="str">
        <x:v>Yes / U.S. marketplace</x:v>
      </x:c>
      <x:c r="T92" s="21" t="str">
        <x:v>High</x:v>
      </x:c>
      <x:c r="U92" s="21" t="str">
        <x:v>SRC-VT-017</x:v>
      </x:c>
      <x:c r="V92" s="21" t="str">
        <x:v>Rating and count are dynamic.</x:v>
      </x:c>
    </x:row>
    <x:row r="93" ht="120" customHeight="1">
      <x:c r="A93" s="21" t="str">
        <x:v>REV-VT-002</x:v>
      </x:c>
      <x:c r="B93" s="21" t="str">
        <x:v>KB007</x:v>
      </x:c>
      <x:c r="C93" s="21" t="str">
        <x:v>VT-P001</x:v>
      </x:c>
      <x:c r="D93" s="21" t="str">
        <x:v>Ulta</x:v>
      </x:c>
      <x:c r="E93" s="21" t="str">
        <x:v>https://www.ulta.com/p/reedle-shot-100-pimprod2051958</x:v>
      </x:c>
      <x:c r="F93" s="25"/>
      <x:c r="G93" s="25" t="str">
        <x:v>2026-07-30</x:v>
      </x:c>
      <x:c r="H93" s="33" t="n">
        <x:v>535</x:v>
      </x:c>
      <x:c r="I93" s="21" t="str">
        <x:v>Mixed / aggregate</x:v>
      </x:c>
      <x:c r="J93" s="21" t="str">
        <x:v>Many reviews may include complimentary/incentivized product</x:v>
      </x:c>
      <x:c r="K93" s="21" t="str">
        <x:v>Very Positive</x:v>
      </x:c>
      <x:c r="L93" s="21" t="str">
        <x:v>Mainstream adoption and routine use</x:v>
      </x:c>
      <x:c r="M93" s="21" t="str">
        <x:v>Ulta's current aggregate is unusually strong and confirms national specialty adoption.</x:v>
      </x:c>
      <x:c r="N93" s="21" t="str">
        <x:v>4.8/535 and 100% recommendation; praise for glow, smoother feel and manageable sensation.</x:v>
      </x:c>
      <x:c r="O93" s="21" t="str">
        <x:v>Incentivized-review prevalence and brand answers may skew the aggregate; contraindication/active-stacking education remains important.</x:v>
      </x:c>
      <x:c r="P93" s="21" t="str">
        <x:v>Mixed</x:v>
      </x:c>
      <x:c r="Q93" s="21" t="str">
        <x:v>Strong positive</x:v>
      </x:c>
      <x:c r="R93" s="21" t="str">
        <x:v>Other serums and spicule boosters</x:v>
      </x:c>
      <x:c r="S93" s="21" t="str">
        <x:v>Yes / U.S. retailer</x:v>
      </x:c>
      <x:c r="T93" s="21" t="str">
        <x:v>High</x:v>
      </x:c>
      <x:c r="U93" s="21" t="str">
        <x:v>SRC-VT-026</x:v>
      </x:c>
      <x:c r="V93" s="21" t="str">
        <x:v>Use aggregate, not promotional claims, as evidence.</x:v>
      </x:c>
    </x:row>
    <x:row r="94" ht="120" customHeight="1">
      <x:c r="A94" s="21" t="str">
        <x:v>REV-VT-003</x:v>
      </x:c>
      <x:c r="B94" s="21" t="str">
        <x:v>KB007</x:v>
      </x:c>
      <x:c r="C94" s="21" t="str">
        <x:v>VT-P001</x:v>
      </x:c>
      <x:c r="D94" s="21" t="str">
        <x:v>Target</x:v>
      </x:c>
      <x:c r="E94" s="21" t="str">
        <x:v>https://www.target.com/p/-/A-94495770</x:v>
      </x:c>
      <x:c r="F94" s="25"/>
      <x:c r="G94" s="25" t="str">
        <x:v>2026-07-30</x:v>
      </x:c>
      <x:c r="H94" s="33" t="n">
        <x:v>8</x:v>
      </x:c>
      <x:c r="I94" s="21" t="str">
        <x:v>Verified-purchase tags on some reviews</x:v>
      </x:c>
      <x:c r="J94" s="21" t="str">
        <x:v>Small retailer sample</x:v>
      </x:c>
      <x:c r="K94" s="21" t="str">
        <x:v>Mixed Positive</x:v>
      </x:c>
      <x:c r="L94" s="21" t="str">
        <x:v>Travel-size trial and texture improvement</x:v>
      </x:c>
      <x:c r="M94" s="21" t="str">
        <x:v>Small Target sample supports a try-before-full-size role.</x:v>
      </x:c>
      <x:c r="N94" s="21" t="str">
        <x:v>4.0/8; positive reviews cite texture/pore appearance and manageable use frequency.</x:v>
      </x:c>
      <x:c r="O94" s="21" t="str">
        <x:v>Two one-star ratings in a very small sample; product page includes aggressive acne/wrinkle/absorption wording.</x:v>
      </x:c>
      <x:c r="P94" s="21" t="str">
        <x:v>Mixed / sensitive</x:v>
      </x:c>
      <x:c r="Q94" s="21" t="str">
        <x:v>Emerging positive</x:v>
      </x:c>
      <x:c r="R94" s="21" t="str">
        <x:v>Starter sticks and Reedle 300</x:v>
      </x:c>
      <x:c r="S94" s="21" t="str">
        <x:v>Yes / U.S. retailer</x:v>
      </x:c>
      <x:c r="T94" s="21" t="str">
        <x:v>Medium</x:v>
      </x:c>
      <x:c r="U94" s="21" t="str">
        <x:v>SRC-VT-052</x:v>
      </x:c>
      <x:c r="V94" s="21" t="str">
        <x:v>Small dynamic sample.</x:v>
      </x:c>
    </x:row>
    <x:row r="95" ht="120" customHeight="1">
      <x:c r="A95" s="21" t="str">
        <x:v>REV-VT-004</x:v>
      </x:c>
      <x:c r="B95" s="21" t="str">
        <x:v>KB007</x:v>
      </x:c>
      <x:c r="C95" s="21" t="str">
        <x:v>VT-P001</x:v>
      </x:c>
      <x:c r="D95" s="21" t="str">
        <x:v>Reddit r/AsianBeauty</x:v>
      </x:c>
      <x:c r="E95" s="21" t="str">
        <x:v>https://www.reddit.com/r/AsianBeauty/comments/1d4mgx8/has_anyone_with_sensitive_skin_tried_the_vt/</x:v>
      </x:c>
      <x:c r="F95" s="25" t="str">
        <x:v>2024-05-30</x:v>
      </x:c>
      <x:c r="G95" s="25" t="str">
        <x:v>2026-07-30</x:v>
      </x:c>
      <x:c r="H95" s="33" t="str">
        <x:v>Community thread</x:v>
      </x:c>
      <x:c r="I95" s="21" t="str">
        <x:v>No</x:v>
      </x:c>
      <x:c r="J95" s="21" t="str">
        <x:v>Self-selected sensitive-skin community</x:v>
      </x:c>
      <x:c r="K95" s="21" t="str">
        <x:v>Polarized</x:v>
      </x:c>
      <x:c r="L95" s="21" t="str">
        <x:v>Sensitive-skin tolerance and acclimation</x:v>
      </x:c>
      <x:c r="M95" s="21" t="str">
        <x:v>Users describe prickling, hours of redness and gradual acclimation; some tolerate lower strengths, including Reedle 50.</x:v>
      </x:c>
      <x:c r="N95" s="21" t="str">
        <x:v>Several report successful cautious use, especially lower strength and spaced nighttime application.</x:v>
      </x:c>
      <x:c r="O95" s="21" t="str">
        <x:v>Others report significant discomfort, prolonged redness or avoidance due eczema/sensitivity.</x:v>
      </x:c>
      <x:c r="P95" s="21" t="str">
        <x:v>Sensitive, eczema-prone and mixed</x:v>
      </x:c>
      <x:c r="Q95" s="21" t="str">
        <x:v>Polarized / high caution</x:v>
      </x:c>
      <x:c r="R95" s="21" t="str">
        <x:v>Lower-strength Reedle 50</x:v>
      </x:c>
      <x:c r="S95" s="21" t="str">
        <x:v>Not necessarily U.S.-only</x:v>
      </x:c>
      <x:c r="T95" s="21" t="str">
        <x:v>Low-Medium</x:v>
      </x:c>
      <x:c r="U95" s="21" t="str">
        <x:v>SRC-VT-029</x:v>
      </x:c>
      <x:c r="V95" s="21" t="str">
        <x:v>Anecdotal; patch test and individual tolerance vary.</x:v>
      </x:c>
    </x:row>
    <x:row r="96" ht="120" customHeight="1">
      <x:c r="A96" s="21" t="str">
        <x:v>REV-VT-005</x:v>
      </x:c>
      <x:c r="B96" s="21" t="str">
        <x:v>KB007</x:v>
      </x:c>
      <x:c r="C96" s="21" t="str">
        <x:v>VT-P001</x:v>
      </x:c>
      <x:c r="D96" s="21" t="str">
        <x:v>Reddit r/AsianBeauty</x:v>
      </x:c>
      <x:c r="E96" s="21" t="str">
        <x:v>https://www.reddit.com/r/AsianBeauty/comments/1aw5qv8/vt_cosmetics_reedle_shot/</x:v>
      </x:c>
      <x:c r="F96" s="25" t="str">
        <x:v>2024-02-22</x:v>
      </x:c>
      <x:c r="G96" s="25" t="str">
        <x:v>2026-07-30</x:v>
      </x:c>
      <x:c r="H96" s="33" t="str">
        <x:v>Large community thread</x:v>
      </x:c>
      <x:c r="I96" s="21" t="str">
        <x:v>No</x:v>
      </x:c>
      <x:c r="J96" s="21" t="str">
        <x:v>Self-selected community</x:v>
      </x:c>
      <x:c r="K96" s="21" t="str">
        <x:v>Mixed Positive</x:v>
      </x:c>
      <x:c r="L96" s="21" t="str">
        <x:v>Prickly mechanism, layering and visible texture</x:v>
      </x:c>
      <x:c r="M96" s="21" t="str">
        <x:v>Thread captures high curiosity and many positive routines alongside uncertainty about safety and active combinations.</x:v>
      </x:c>
      <x:c r="N96" s="21" t="str">
        <x:v>Texture/glow improvement and enhanced-feeling routines are recurring positives.</x:v>
      </x:c>
      <x:c r="O96" s="21" t="str">
        <x:v>Questions about pain, particles, retinoids/acids and mechanism remain unresolved for consumers.</x:v>
      </x:c>
      <x:c r="P96" s="21" t="str">
        <x:v>Mixed</x:v>
      </x:c>
      <x:c r="Q96" s="21" t="str">
        <x:v>Positive with caution</x:v>
      </x:c>
      <x:c r="R96" s="21" t="str">
        <x:v>Professional treatments and other actives</x:v>
      </x:c>
      <x:c r="S96" s="21" t="str">
        <x:v>Not U.S.-only</x:v>
      </x:c>
      <x:c r="T96" s="21" t="str">
        <x:v>Low-Medium</x:v>
      </x:c>
      <x:c r="U96" s="21" t="str">
        <x:v>SRC-VT-030</x:v>
      </x:c>
      <x:c r="V96" s="21" t="str">
        <x:v>Anecdotal; no device or drug conclusion.</x:v>
      </x:c>
    </x:row>
    <x:row r="97" ht="120" customHeight="1">
      <x:c r="A97" s="21" t="str">
        <x:v>REV-VT-006</x:v>
      </x:c>
      <x:c r="B97" s="21" t="str">
        <x:v>KB007</x:v>
      </x:c>
      <x:c r="C97" s="21" t="str">
        <x:v>VT-P001</x:v>
      </x:c>
      <x:c r="D97" s="21" t="str">
        <x:v>Reddit r/AsianBeauty</x:v>
      </x:c>
      <x:c r="E97" s="21" t="str">
        <x:v>https://www.reddit.com/r/AsianBeauty/comments/1pujpi0/unpopular_opinion_vt_reedle_products_are/</x:v>
      </x:c>
      <x:c r="F97" s="25" t="str">
        <x:v>2025-12-22</x:v>
      </x:c>
      <x:c r="G97" s="25" t="str">
        <x:v>2026-07-30</x:v>
      </x:c>
      <x:c r="H97" s="33" t="str">
        <x:v>Community thread</x:v>
      </x:c>
      <x:c r="I97" s="21" t="str">
        <x:v>No</x:v>
      </x:c>
      <x:c r="J97" s="21" t="str">
        <x:v>Self-selected critical thread</x:v>
      </x:c>
      <x:c r="K97" s="21" t="str">
        <x:v>Critical</x:v>
      </x:c>
      <x:c r="L97" s="21" t="str">
        <x:v>Overhype, whiteheads and irritation</x:v>
      </x:c>
      <x:c r="M97" s="21" t="str">
        <x:v>Critical users report whiteheads, pimples, reactions or improvement after discontinuation.</x:v>
      </x:c>
      <x:c r="N97" s="21" t="str">
        <x:v>Some replies defend lower strengths or careful frequency.</x:v>
      </x:c>
      <x:c r="O97" s="21" t="str">
        <x:v>Adverse skin reactions and no-value perceptions are salient.</x:v>
      </x:c>
      <x:c r="P97" s="21" t="str">
        <x:v>Mixed</x:v>
      </x:c>
      <x:c r="Q97" s="21" t="str">
        <x:v>Critical signal</x:v>
      </x:c>
      <x:c r="R97" s="21" t="str">
        <x:v>Gentler serums</x:v>
      </x:c>
      <x:c r="S97" s="21" t="str">
        <x:v>Not necessarily U.S.-only</x:v>
      </x:c>
      <x:c r="T97" s="21" t="str">
        <x:v>Low-Medium</x:v>
      </x:c>
      <x:c r="U97" s="21" t="str">
        <x:v>SRC-VT-032</x:v>
      </x:c>
      <x:c r="V97" s="21" t="str">
        <x:v>Anecdotal; does not establish causation.</x:v>
      </x:c>
    </x:row>
    <x:row r="98" ht="120" customHeight="1">
      <x:c r="A98" s="21" t="str">
        <x:v>REV-VT-007</x:v>
      </x:c>
      <x:c r="B98" s="21" t="str">
        <x:v>KB007</x:v>
      </x:c>
      <x:c r="C98" s="21" t="str">
        <x:v>VT-P002</x:v>
      </x:c>
      <x:c r="D98" s="21" t="str">
        <x:v>Amazon U.S.</x:v>
      </x:c>
      <x:c r="E98" s="21" t="str">
        <x:v>https://www.amazon.com/dp/B0CRKPZ9PQ</x:v>
      </x:c>
      <x:c r="F98" s="25"/>
      <x:c r="G98" s="25" t="str">
        <x:v>2026-07-30</x:v>
      </x:c>
      <x:c r="H98" s="33" t="n">
        <x:v>2506</x:v>
      </x:c>
      <x:c r="I98" s="21" t="str">
        <x:v>Mixed / aggregate</x:v>
      </x:c>
      <x:c r="J98" s="21" t="str">
        <x:v>Amazon reviews may include incentives</x:v>
      </x:c>
      <x:c r="K98" s="21" t="str">
        <x:v>Mostly Positive</x:v>
      </x:c>
      <x:c r="L98" s="21" t="str">
        <x:v>Hydration, glow and value</x:v>
      </x:c>
      <x:c r="M98" s="21" t="str">
        <x:v>Current Amazon aggregate and 10K+ badge indicate strong PDRN conversion.</x:v>
      </x:c>
      <x:c r="N98" s="21" t="str">
        <x:v>4.6/2,506; 10K+ badge; high current velocity.</x:v>
      </x:c>
      <x:c r="O98" s="21" t="str">
        <x:v>PDRN mechanism and elasticity/repair expectations may exceed visible outcomes; pump/texture preferences vary.</x:v>
      </x:c>
      <x:c r="P98" s="21" t="str">
        <x:v>Mixed</x:v>
      </x:c>
      <x:c r="Q98" s="21" t="str">
        <x:v>Strong positive</x:v>
      </x:c>
      <x:c r="R98" s="21" t="str">
        <x:v>Medicube and Anua PDRN serums</x:v>
      </x:c>
      <x:c r="S98" s="21" t="str">
        <x:v>Yes / U.S. marketplace</x:v>
      </x:c>
      <x:c r="T98" s="21" t="str">
        <x:v>High</x:v>
      </x:c>
      <x:c r="U98" s="21" t="str">
        <x:v>SRC-VT-018</x:v>
      </x:c>
      <x:c r="V98" s="21" t="str">
        <x:v>Dynamic count and price.</x:v>
      </x:c>
    </x:row>
    <x:row r="99" ht="120" customHeight="1">
      <x:c r="A99" s="21" t="str">
        <x:v>REV-VT-008</x:v>
      </x:c>
      <x:c r="B99" s="21" t="str">
        <x:v>KB007</x:v>
      </x:c>
      <x:c r="C99" s="21" t="str">
        <x:v>VT-P002</x:v>
      </x:c>
      <x:c r="D99" s="21" t="str">
        <x:v>Ulta</x:v>
      </x:c>
      <x:c r="E99" s="21" t="str">
        <x:v>https://www.ulta.com/p/pdrn-essence-100-pimprod2051957</x:v>
      </x:c>
      <x:c r="F99" s="25"/>
      <x:c r="G99" s="25" t="str">
        <x:v>2026-07-30</x:v>
      </x:c>
      <x:c r="H99" s="33" t="n">
        <x:v>527</x:v>
      </x:c>
      <x:c r="I99" s="21" t="str">
        <x:v>Mixed / aggregate</x:v>
      </x:c>
      <x:c r="J99" s="21" t="str">
        <x:v>Many sampled reviews disclosed complimentary product</x:v>
      </x:c>
      <x:c r="K99" s="21" t="str">
        <x:v>Very Positive</x:v>
      </x:c>
      <x:c r="L99" s="21" t="str">
        <x:v>Glow, lightweight hydration and plant PDRN</x:v>
      </x:c>
      <x:c r="M99" s="21" t="str">
        <x:v>Ulta aggregate is highly positive but review incentives require disclosure awareness.</x:v>
      </x:c>
      <x:c r="N99" s="21" t="str">
        <x:v>4.9/527; 98% recommendation; repeated glow, plumpness and lightweight hydration themes.</x:v>
      </x:c>
      <x:c r="O99" s="21" t="str">
        <x:v>Some users cite sticky residue, little visible change or bottle/pump frustration; incentivization may skew sentiment.</x:v>
      </x:c>
      <x:c r="P99" s="21" t="str">
        <x:v>Mixed</x:v>
      </x:c>
      <x:c r="Q99" s="21" t="str">
        <x:v>Strong positive</x:v>
      </x:c>
      <x:c r="R99" s="21" t="str">
        <x:v>Medicube and Anua PDRN</x:v>
      </x:c>
      <x:c r="S99" s="21" t="str">
        <x:v>Yes / U.S. retailer</x:v>
      </x:c>
      <x:c r="T99" s="21" t="str">
        <x:v>High</x:v>
      </x:c>
      <x:c r="U99" s="21" t="str">
        <x:v>SRC-VT-027</x:v>
      </x:c>
      <x:c r="V99" s="21" t="str">
        <x:v>Aggregate plus disclosure caveat.</x:v>
      </x:c>
    </x:row>
    <x:row r="100" ht="120" customHeight="1">
      <x:c r="A100" s="21" t="str">
        <x:v>REV-VT-009</x:v>
      </x:c>
      <x:c r="B100" s="21" t="str">
        <x:v>KB007</x:v>
      </x:c>
      <x:c r="C100" s="21" t="str">
        <x:v>VT-P002</x:v>
      </x:c>
      <x:c r="D100" s="21" t="str">
        <x:v>Reddit r/AsianBeauty</x:v>
      </x:c>
      <x:c r="E100" s="21" t="str">
        <x:v>https://www.reddit.com/r/AsianBeauty/comments/1e2p52p/thoughts_on_pdrn_as_a_topical_skincare_ingredient/</x:v>
      </x:c>
      <x:c r="F100" s="25" t="str">
        <x:v>2024-07-13</x:v>
      </x:c>
      <x:c r="G100" s="25" t="str">
        <x:v>2026-07-30</x:v>
      </x:c>
      <x:c r="H100" s="33" t="str">
        <x:v>Community discussion</x:v>
      </x:c>
      <x:c r="I100" s="21" t="str">
        <x:v>No</x:v>
      </x:c>
      <x:c r="J100" s="21" t="str">
        <x:v>Ingredient-interest forum</x:v>
      </x:c>
      <x:c r="K100" s="21" t="str">
        <x:v>Mixed / Skeptical</x:v>
      </x:c>
      <x:c r="L100" s="21" t="str">
        <x:v>Topical PDRN evidence and repurchase intent</x:v>
      </x:c>
      <x:c r="M100" s="21" t="str">
        <x:v>Users report hydration and repurchase interest, but many question whether topical PDRN provides benefits beyond the base formula.</x:v>
      </x:c>
      <x:c r="N100" s="21" t="str">
        <x:v>Some consumers specifically like VT's PDRN products and report glow/hydration.</x:v>
      </x:c>
      <x:c r="O100" s="21" t="str">
        <x:v>Mechanism/evidence skepticism and trend fatigue recur.</x:v>
      </x:c>
      <x:c r="P100" s="21" t="str">
        <x:v>Mixed</x:v>
      </x:c>
      <x:c r="Q100" s="21" t="str">
        <x:v>Mixed</x:v>
      </x:c>
      <x:c r="R100" s="21" t="str">
        <x:v>Other hydrating essences</x:v>
      </x:c>
      <x:c r="S100" s="21" t="str">
        <x:v>Not U.S.-only</x:v>
      </x:c>
      <x:c r="T100" s="21" t="str">
        <x:v>Low-Medium</x:v>
      </x:c>
      <x:c r="U100" s="21" t="str">
        <x:v>SRC-VT-035</x:v>
      </x:c>
      <x:c r="V100" s="21" t="str">
        <x:v>Anecdotal; scientific efficacy not established by the thread.</x:v>
      </x:c>
    </x:row>
    <x:row r="101" ht="120" customHeight="1">
      <x:c r="A101" s="21" t="str">
        <x:v>REV-VT-010</x:v>
      </x:c>
      <x:c r="B101" s="21" t="str">
        <x:v>KB007</x:v>
      </x:c>
      <x:c r="C101" s="21" t="str">
        <x:v>VT-P003</x:v>
      </x:c>
      <x:c r="D101" s="21" t="str">
        <x:v>Ulta</x:v>
      </x:c>
      <x:c r="E101" s="21" t="str">
        <x:v>https://www.ulta.com/p/pdrn-capsule-cream-100-pimprod2056426</x:v>
      </x:c>
      <x:c r="F101" s="25"/>
      <x:c r="G101" s="25" t="str">
        <x:v>2026-07-30</x:v>
      </x:c>
      <x:c r="H101" s="33" t="n">
        <x:v>35</x:v>
      </x:c>
      <x:c r="I101" s="21" t="str">
        <x:v>Mixed / aggregate</x:v>
      </x:c>
      <x:c r="J101" s="21" t="str">
        <x:v>Retailer reviews may include incentives</x:v>
      </x:c>
      <x:c r="K101" s="21" t="str">
        <x:v>Very Positive</x:v>
      </x:c>
      <x:c r="L101" s="21" t="str">
        <x:v>Light gel texture, hydration and makeup compatibility</x:v>
      </x:c>
      <x:c r="M101" s="21" t="str">
        <x:v>Small but highly positive aggregate supports the $20 moisturizer proposition.</x:v>
      </x:c>
      <x:c r="N101" s="21" t="str">
        <x:v>4.9/35; 97% recommendation; quick absorption, smooth feel and dewy hydration.</x:v>
      </x:c>
      <x:c r="O101" s="21" t="str">
        <x:v>Short history, likely incentive effects and few independent critical reviews.</x:v>
      </x:c>
      <x:c r="P101" s="21" t="str">
        <x:v>Dry/dehydrated and mixed</x:v>
      </x:c>
      <x:c r="Q101" s="21" t="str">
        <x:v>Positive / early</x:v>
      </x:c>
      <x:c r="R101" s="21" t="str">
        <x:v>Anua PDRN serum and gel creams</x:v>
      </x:c>
      <x:c r="S101" s="21" t="str">
        <x:v>Yes / U.S. retailer</x:v>
      </x:c>
      <x:c r="T101" s="21" t="str">
        <x:v>Medium-High</x:v>
      </x:c>
      <x:c r="U101" s="21" t="str">
        <x:v>SRC-VT-028</x:v>
      </x:c>
      <x:c r="V101" s="21" t="str">
        <x:v>Small dynamic sample.</x:v>
      </x:c>
    </x:row>
    <x:row r="102" ht="120" customHeight="1">
      <x:c r="A102" s="21" t="str">
        <x:v>REV-VT-011</x:v>
      </x:c>
      <x:c r="B102" s="21" t="str">
        <x:v>KB007</x:v>
      </x:c>
      <x:c r="C102" s="21" t="str">
        <x:v>VT-P003</x:v>
      </x:c>
      <x:c r="D102" s="21" t="str">
        <x:v>Reddit r/AsianBeauty</x:v>
      </x:c>
      <x:c r="E102" s="21" t="str">
        <x:v>https://www.reddit.com/r/AsianBeauty/comments/1qzed0g/vt_cosmetics_pdrn_capsule_cream_review/</x:v>
      </x:c>
      <x:c r="F102" s="25" t="str">
        <x:v>2026-01-26</x:v>
      </x:c>
      <x:c r="G102" s="25" t="str">
        <x:v>2026-07-30</x:v>
      </x:c>
      <x:c r="H102" s="33" t="str">
        <x:v>Detailed review</x:v>
      </x:c>
      <x:c r="I102" s="21" t="str">
        <x:v>No</x:v>
      </x:c>
      <x:c r="J102" s="21" t="str">
        <x:v>Self-selected single review</x:v>
      </x:c>
      <x:c r="K102" s="21" t="str">
        <x:v>Positive</x:v>
      </x:c>
      <x:c r="L102" s="21" t="str">
        <x:v>Light texture and glow</x:v>
      </x:c>
      <x:c r="M102" s="21" t="str">
        <x:v>Reviewer describes fast absorption, glow and non-oily hydration.</x:v>
      </x:c>
      <x:c r="N102" s="21" t="str">
        <x:v>Lightweight texture and visible radiance are aligned with retailer feedback.</x:v>
      </x:c>
      <x:c r="O102" s="21" t="str">
        <x:v>Single-user evidence; cannot support regeneration or anti-aging claims.</x:v>
      </x:c>
      <x:c r="P102" s="21" t="str">
        <x:v>Mixed</x:v>
      </x:c>
      <x:c r="Q102" s="21" t="str">
        <x:v>Positive / low sample</x:v>
      </x:c>
      <x:c r="R102" s="21" t="str">
        <x:v>Other gel creams</x:v>
      </x:c>
      <x:c r="S102" s="21" t="str">
        <x:v>Not U.S.-specific</x:v>
      </x:c>
      <x:c r="T102" s="21" t="str">
        <x:v>Low</x:v>
      </x:c>
      <x:c r="U102" s="21" t="str">
        <x:v>SRC-VT-036</x:v>
      </x:c>
      <x:c r="V102" s="21" t="str">
        <x:v>Anecdotal single review.</x:v>
      </x:c>
    </x:row>
    <x:row r="103" ht="120" customHeight="1">
      <x:c r="A103" s="21" t="str">
        <x:v>REV-VT-012</x:v>
      </x:c>
      <x:c r="B103" s="21" t="str">
        <x:v>KB007</x:v>
      </x:c>
      <x:c r="C103" s="21" t="str">
        <x:v>VT-P004</x:v>
      </x:c>
      <x:c r="D103" s="21" t="str">
        <x:v>TikTok Shop U.S.</x:v>
      </x:c>
      <x:c r="E103" s="21" t="str">
        <x:v>https://shop.tiktok.com/us/pdp/lip-plumper-vt-cosmetics-reedle-shot-gloss-with-cica-jojoba-oil/1730766974399910277</x:v>
      </x:c>
      <x:c r="F103" s="25"/>
      <x:c r="G103" s="25" t="str">
        <x:v>2026-07-30</x:v>
      </x:c>
      <x:c r="H103" s="33" t="n">
        <x:v>17800</x:v>
      </x:c>
      <x:c r="I103" s="21" t="str">
        <x:v>Verified-purchase examples visible</x:v>
      </x:c>
      <x:c r="J103" s="21" t="str">
        <x:v>Platform social-commerce reviews</x:v>
      </x:c>
      <x:c r="K103" s="21" t="str">
        <x:v>Polarized / High Conversion</x:v>
      </x:c>
      <x:c r="L103" s="21" t="str">
        <x:v>Visible plumping versus pain/burning</x:v>
      </x:c>
      <x:c r="M103" s="21" t="str">
        <x:v>The product's 187.9K sold display is exceptional, while the 3.8 rating and pain comments show meaningful dissatisfaction.</x:v>
      </x:c>
      <x:c r="N103" s="21" t="str">
        <x:v>Many buyers report dramatic visible plumping and multi-hour effects.</x:v>
      </x:c>
      <x:c r="O103" s="21" t="str">
        <x:v>Pain/burning can be intense; suitability is low for sensitive/chapped lips; claim language can overreach.</x:v>
      </x:c>
      <x:c r="P103" s="21" t="str">
        <x:v>Lip-plumper enthusiasts</x:v>
      </x:c>
      <x:c r="Q103" s="21" t="str">
        <x:v>High sales / polarized satisfaction</x:v>
      </x:c>
      <x:c r="R103" s="21" t="str">
        <x:v>Laka, NYX and Too Faced plumpers</x:v>
      </x:c>
      <x:c r="S103" s="21" t="str">
        <x:v>Yes / U.S. social commerce</x:v>
      </x:c>
      <x:c r="T103" s="21" t="str">
        <x:v>Medium-High</x:v>
      </x:c>
      <x:c r="U103" s="21" t="str">
        <x:v>SRC-VT-007,SRC-VT-038</x:v>
      </x:c>
      <x:c r="V103" s="21" t="str">
        <x:v>Cumulative display; dynamic.</x:v>
      </x:c>
    </x:row>
    <x:row r="104" ht="120" customHeight="1">
      <x:c r="A104" s="21" t="str">
        <x:v>REV-VT-013</x:v>
      </x:c>
      <x:c r="B104" s="21" t="str">
        <x:v>KB007</x:v>
      </x:c>
      <x:c r="C104" s="21" t="str">
        <x:v>VT-P004</x:v>
      </x:c>
      <x:c r="D104" s="21" t="str">
        <x:v>Ulta</x:v>
      </x:c>
      <x:c r="E104" s="21" t="str">
        <x:v>https://www.ulta.com/p/reedle-shot-lip-plumper-expert-pimprod2056423</x:v>
      </x:c>
      <x:c r="F104" s="25"/>
      <x:c r="G104" s="25" t="str">
        <x:v>2026-07-30</x:v>
      </x:c>
      <x:c r="H104" s="33" t="n">
        <x:v>48</x:v>
      </x:c>
      <x:c r="I104" s="21" t="str">
        <x:v>Mixed / aggregate</x:v>
      </x:c>
      <x:c r="J104" s="21" t="str">
        <x:v>Retailer reviews may include incentives</x:v>
      </x:c>
      <x:c r="K104" s="21" t="str">
        <x:v>Mostly Positive</x:v>
      </x:c>
      <x:c r="L104" s="21" t="str">
        <x:v>Strong sensation and visible effect</x:v>
      </x:c>
      <x:c r="M104" s="21" t="str">
        <x:v>Ulta aggregate is stronger than TikTok but far smaller.</x:v>
      </x:c>
      <x:c r="N104" s="21" t="str">
        <x:v>4.6/48 at $16; many consumers value the dramatic Expert result.</x:v>
      </x:c>
      <x:c r="O104" s="21" t="str">
        <x:v>Strong tingling/burning remains a built-in negative; patch test and damaged-lip exclusion are important.</x:v>
      </x:c>
      <x:c r="P104" s="21" t="str">
        <x:v>Mixed</x:v>
      </x:c>
      <x:c r="Q104" s="21" t="str">
        <x:v>Positive / polarized mechanism</x:v>
      </x:c>
      <x:c r="R104" s="21" t="str">
        <x:v>NYX and prestige lip plumpers</x:v>
      </x:c>
      <x:c r="S104" s="21" t="str">
        <x:v>Yes / U.S. retailer</x:v>
      </x:c>
      <x:c r="T104" s="21" t="str">
        <x:v>High</x:v>
      </x:c>
      <x:c r="U104" s="21" t="str">
        <x:v>SRC-VT-024</x:v>
      </x:c>
      <x:c r="V104" s="21" t="str">
        <x:v>Current count is dynamic.</x:v>
      </x:c>
    </x:row>
    <x:row r="105" ht="120" customHeight="1">
      <x:c r="A105" s="21" t="str">
        <x:v>REV-VT-014</x:v>
      </x:c>
      <x:c r="B105" s="21" t="str">
        <x:v>KB007</x:v>
      </x:c>
      <x:c r="C105" s="21" t="str">
        <x:v>VT-P005</x:v>
      </x:c>
      <x:c r="D105" s="21" t="str">
        <x:v>Reddit r/AsianBeauty</x:v>
      </x:c>
      <x:c r="E105" s="21" t="str">
        <x:v>https://www.reddit.com/r/AsianBeauty/comments/1cq0j38/sheet_masks_every_day_reviving_an_old_topic/</x:v>
      </x:c>
      <x:c r="F105" s="25" t="str">
        <x:v>2024-05-14</x:v>
      </x:c>
      <x:c r="G105" s="25" t="str">
        <x:v>2026-07-30</x:v>
      </x:c>
      <x:c r="H105" s="33" t="str">
        <x:v>Community discussion</x:v>
      </x:c>
      <x:c r="I105" s="21" t="str">
        <x:v>No</x:v>
      </x:c>
      <x:c r="J105" s="21" t="str">
        <x:v>Self-selected sheet-mask users</x:v>
      </x:c>
      <x:c r="K105" s="21" t="str">
        <x:v>Mostly Positive</x:v>
      </x:c>
      <x:c r="L105" s="21" t="str">
        <x:v>Daily masking convenience and calming</x:v>
      </x:c>
      <x:c r="M105" s="21" t="str">
        <x:v>Users praise tub-style daily masks for stressed/dehydrated skin but debate whether daily use is necessary.</x:v>
      </x:c>
      <x:c r="N105" s="21" t="str">
        <x:v>Calming, hydration and easy routine fit.</x:v>
      </x:c>
      <x:c r="O105" s="21" t="str">
        <x:v>Daily masking may be unnecessary or irritating for some; tub hygiene/essence evaporation matter.</x:v>
      </x:c>
      <x:c r="P105" s="21" t="str">
        <x:v>Dry, stressed and mixed</x:v>
      </x:c>
      <x:c r="Q105" s="21" t="str">
        <x:v>Positive with routine caveat</x:v>
      </x:c>
      <x:c r="R105" s="21" t="str">
        <x:v>Mediheal and other daily masks</x:v>
      </x:c>
      <x:c r="S105" s="21" t="str">
        <x:v>Not U.S.-only</x:v>
      </x:c>
      <x:c r="T105" s="21" t="str">
        <x:v>Low-Medium</x:v>
      </x:c>
      <x:c r="U105" s="21" t="str">
        <x:v>SRC-VT-037</x:v>
      </x:c>
      <x:c r="V105" s="21" t="str">
        <x:v>Anecdotal category discussion.</x:v>
      </x:c>
    </x:row>
    <x:row r="106" ht="120" customHeight="1">
      <x:c r="A106" s="21" t="str">
        <x:v>REV-VT-015</x:v>
      </x:c>
      <x:c r="B106" s="21" t="str">
        <x:v>KB007</x:v>
      </x:c>
      <x:c r="C106" s="21" t="str">
        <x:v>VT-P001</x:v>
      </x:c>
      <x:c r="D106" s="21" t="str">
        <x:v>Walmart U.S. Marketplace</x:v>
      </x:c>
      <x:c r="E106" s="21" t="str">
        <x:v>https://www.walmart.com/ip/5105205780</x:v>
      </x:c>
      <x:c r="F106" s="25"/>
      <x:c r="G106" s="25" t="str">
        <x:v>2026-07-30</x:v>
      </x:c>
      <x:c r="H106" s="33" t="n">
        <x:v>15</x:v>
      </x:c>
      <x:c r="I106" s="21" t="str">
        <x:v>Seller/verified-purchase tags vary</x:v>
      </x:c>
      <x:c r="J106" s="21" t="str">
        <x:v>Multiple third-party sellers</x:v>
      </x:c>
      <x:c r="K106" s="21" t="str">
        <x:v>Critical Risk Signal</x:v>
      </x:c>
      <x:c r="L106" s="21" t="str">
        <x:v>Authenticity and rash complaints</x:v>
      </x:c>
      <x:c r="M106" s="21" t="str">
        <x:v>Walmart aggregate is shallow and includes seller-specific fake-product complaints.</x:v>
      </x:c>
      <x:c r="N106" s="21" t="str">
        <x:v>Some five-star ratings and first-party fulfillment convenience.</x:v>
      </x:c>
      <x:c r="O106" s="21" t="str">
        <x:v>Verified-purchase reviews reported rash and alleged counterfeit products; seller changes prevent generalization.</x:v>
      </x:c>
      <x:c r="P106" s="21" t="str">
        <x:v>Mixed</x:v>
      </x:c>
      <x:c r="Q106" s="21" t="str">
        <x:v>High seller-risk / inconclusive product signal</x:v>
      </x:c>
      <x:c r="R106" s="21" t="str">
        <x:v>Official Amazon/Ulta offers</x:v>
      </x:c>
      <x:c r="S106" s="21" t="str">
        <x:v>Yes / U.S. marketplace</x:v>
      </x:c>
      <x:c r="T106" s="21" t="str">
        <x:v>Medium-High</x:v>
      </x:c>
      <x:c r="U106" s="21" t="str">
        <x:v>SRC-VT-013,SRC-VT-044</x:v>
      </x:c>
      <x:c r="V106" s="21" t="str">
        <x:v>Complaints are anecdotal; not proof that all marketplace units are counterfeit.</x:v>
      </x:c>
    </x:row>
    <x:row r="107" ht="120" customHeight="1">
      <x:c r="A107" s="21" t="str">
        <x:v>REV-VT-016</x:v>
      </x:c>
      <x:c r="B107" s="21" t="str">
        <x:v>KB007</x:v>
      </x:c>
      <x:c r="C107" s="21"/>
      <x:c r="D107" s="21" t="str">
        <x:v>Reddit r/AsianBeauty</x:v>
      </x:c>
      <x:c r="E107" s="21" t="str">
        <x:v>https://www.reddit.com/r/AsianBeauty/comments/1q61zh6/vt_cosmetics_review/</x:v>
      </x:c>
      <x:c r="F107" s="25" t="str">
        <x:v>2026-01-08</x:v>
      </x:c>
      <x:c r="G107" s="25" t="str">
        <x:v>2026-07-30</x:v>
      </x:c>
      <x:c r="H107" s="33" t="str">
        <x:v>Detailed multi-product review</x:v>
      </x:c>
      <x:c r="I107" s="21" t="str">
        <x:v>No</x:v>
      </x:c>
      <x:c r="J107" s="21" t="str">
        <x:v>Self-selected; commenters note many social posts are ads</x:v>
      </x:c>
      <x:c r="K107" s="21" t="str">
        <x:v>Mostly Positive / Cautious</x:v>
      </x:c>
      <x:c r="L107" s="21" t="str">
        <x:v>PDRN and Reedle results versus advertising saturation</x:v>
      </x:c>
      <x:c r="M107" s="21" t="str">
        <x:v>Recent brand review praises texture and glow while acknowledging pervasive sponsorship/advertising concerns.</x:v>
      </x:c>
      <x:c r="N107" s="21" t="str">
        <x:v>Positive multi-product experience and repurchase interest.</x:v>
      </x:c>
      <x:c r="O107" s="21" t="str">
        <x:v>High creator-ad density makes disclosure and independent review quality important.</x:v>
      </x:c>
      <x:c r="P107" s="21" t="str">
        <x:v>Mixed</x:v>
      </x:c>
      <x:c r="Q107" s="21" t="str">
        <x:v>Positive with credibility caveat</x:v>
      </x:c>
      <x:c r="R107" s="21" t="str">
        <x:v>Other viral K-Beauty brands</x:v>
      </x:c>
      <x:c r="S107" s="21" t="str">
        <x:v>Not U.S.-specific</x:v>
      </x:c>
      <x:c r="T107" s="21" t="str">
        <x:v>Low-Medium</x:v>
      </x:c>
      <x:c r="U107" s="21" t="str">
        <x:v>SRC-VT-031</x:v>
      </x:c>
      <x:c r="V107" s="21" t="str">
        <x:v>Anecdotal; useful for theme triangulation.</x:v>
      </x:c>
    </x:row>
    <x:row r="108" ht="116" customHeight="1">
      <x:c r="A108" s="21" t="str">
        <x:v>REV-RL-001</x:v>
      </x:c>
      <x:c r="B108" s="21" t="str">
        <x:v>KB008</x:v>
      </x:c>
      <x:c r="C108" s="21" t="str">
        <x:v>RL-P001</x:v>
      </x:c>
      <x:c r="D108" s="21" t="str">
        <x:v>Round Lab Official U.S.</x:v>
      </x:c>
      <x:c r="E108" s="21" t="str">
        <x:v>https://roundlab.com/products/birch-moisturizing-uv-sunscreen</x:v>
      </x:c>
      <x:c r="F108" s="25"/>
      <x:c r="G108" s="25" t="str">
        <x:v>2026-07-30</x:v>
      </x:c>
      <x:c r="H108" s="33" t="str">
        <x:v>512 official-site reviews displayed</x:v>
      </x:c>
      <x:c r="I108" s="21" t="str">
        <x:v>Mixed verification status</x:v>
      </x:c>
      <x:c r="J108" s="21" t="str">
        <x:v>Brand-owned review module</x:v>
      </x:c>
      <x:c r="K108" s="21" t="str">
        <x:v>Positive</x:v>
      </x:c>
      <x:c r="L108" s="21" t="str">
        <x:v>Elegant feel / hydration</x:v>
      </x:c>
      <x:c r="M108" s="21" t="str">
        <x:v>Many reviewers describe easy application, light moisturization, little residue and good compatibility under makeup.</x:v>
      </x:c>
      <x:c r="N108" s="21" t="str">
        <x:v>Moisturizer-like, not heavy, comfortable daily wear and minimal white cast for many users.</x:v>
      </x:c>
      <x:c r="O108" s="21" t="str">
        <x:v>Some users describe stronger scent or a different feel versus the Korean formula; a few report rash, burning or irritation.</x:v>
      </x:c>
      <x:c r="P108" s="21" t="str">
        <x:v>Mixed</x:v>
      </x:c>
      <x:c r="Q108" s="21" t="str">
        <x:v>Strong for satisfied users</x:v>
      </x:c>
      <x:c r="R108" s="21"/>
      <x:c r="S108" s="21" t="str">
        <x:v>Likely mixed; country flags visible for some reviews</x:v>
      </x:c>
      <x:c r="T108" s="21" t="str">
        <x:v>Medium-High</x:v>
      </x:c>
      <x:c r="U108" s="21" t="str">
        <x:v>SRC-RL-019</x:v>
      </x:c>
      <x:c r="V108" s="21" t="str">
        <x:v>Brand-owned reviews may be moderated and do not substitute for adverse-event data.</x:v>
      </x:c>
    </x:row>
    <x:row r="109" ht="116" customHeight="1">
      <x:c r="A109" s="21" t="str">
        <x:v>REV-RL-002</x:v>
      </x:c>
      <x:c r="B109" s="21" t="str">
        <x:v>KB008</x:v>
      </x:c>
      <x:c r="C109" s="21" t="str">
        <x:v>RL-P001</x:v>
      </x:c>
      <x:c r="D109" s="21" t="str">
        <x:v>Ulta Beauty</x:v>
      </x:c>
      <x:c r="E109" s="21" t="str">
        <x:v>https://www.ulta.com/p/birch-juice-moisturizing-uvlock-spf-45-pimprod2049647?pr_rd_page=2</x:v>
      </x:c>
      <x:c r="F109" s="25"/>
      <x:c r="G109" s="25" t="str">
        <x:v>2026-07-30</x:v>
      </x:c>
      <x:c r="H109" s="33" t="str">
        <x:v>527 reviews snapshot</x:v>
      </x:c>
      <x:c r="I109" s="21" t="str">
        <x:v>Mixed</x:v>
      </x:c>
      <x:c r="J109" s="21" t="str">
        <x:v>Some reviews may be incentivized</x:v>
      </x:c>
      <x:c r="K109" s="21" t="str">
        <x:v>Mixed</x:v>
      </x:c>
      <x:c r="L109" s="21" t="str">
        <x:v>Finish / skin-type fit</x:v>
      </x:c>
      <x:c r="M109" s="21" t="str">
        <x:v>Positive reviewers call it hydrating and unusually wearable; critical reviewers describe a greasy/oily film or irritation.</x:v>
      </x:c>
      <x:c r="N109" s="21" t="str">
        <x:v>Works well for many dry and acne-prone users; comfortable enough to replace a separate morning moisturizer.</x:v>
      </x:c>
      <x:c r="O109" s="21" t="str">
        <x:v>Can appear shiny/greasy, pill or sting; results vary by skin type and applied quantity.</x:v>
      </x:c>
      <x:c r="P109" s="21" t="str">
        <x:v>Dry, acne-prone and mixed</x:v>
      </x:c>
      <x:c r="Q109" s="21" t="str">
        <x:v>Moderate-positive</x:v>
      </x:c>
      <x:c r="R109" s="21"/>
      <x:c r="S109" s="21" t="str">
        <x:v>Yes / U.S. retailer</x:v>
      </x:c>
      <x:c r="T109" s="21" t="str">
        <x:v>Medium-High</x:v>
      </x:c>
      <x:c r="U109" s="21" t="str">
        <x:v>SRC-RL-013</x:v>
      </x:c>
      <x:c r="V109" s="21" t="str">
        <x:v>Retailer aggregate changes; review incentives should be checked.</x:v>
      </x:c>
    </x:row>
    <x:row r="110" ht="116" customHeight="1">
      <x:c r="A110" s="21" t="str">
        <x:v>REV-RL-003</x:v>
      </x:c>
      <x:c r="B110" s="21" t="str">
        <x:v>KB008</x:v>
      </x:c>
      <x:c r="C110" s="21" t="str">
        <x:v>RL-P001</x:v>
      </x:c>
      <x:c r="D110" s="21" t="str">
        <x:v>Target</x:v>
      </x:c>
      <x:c r="E110" s="21" t="str">
        <x:v>https://www.target.com/b/round-lab/-/N-q643lega5t</x:v>
      </x:c>
      <x:c r="F110" s="25"/>
      <x:c r="G110" s="25" t="str">
        <x:v>2026-07-30</x:v>
      </x:c>
      <x:c r="H110" s="33" t="str">
        <x:v>625 reviews displayed</x:v>
      </x:c>
      <x:c r="I110" s="21" t="str">
        <x:v>Mixed</x:v>
      </x:c>
      <x:c r="J110" s="21" t="str">
        <x:v>Retailer review syndication possible</x:v>
      </x:c>
      <x:c r="K110" s="21" t="str">
        <x:v>Positive</x:v>
      </x:c>
      <x:c r="L110" s="21" t="str">
        <x:v>Mainstream satisfaction</x:v>
      </x:c>
      <x:c r="M110" s="21" t="str">
        <x:v>Target's UVLock aggregate was 4.6/625, supporting broad satisfaction at mass retail.</x:v>
      </x:c>
      <x:c r="N110" s="21" t="str">
        <x:v>Large review base and strong rating at $24.99.</x:v>
      </x:c>
      <x:c r="O110" s="21" t="str">
        <x:v>Aggregate alone does not show formula-specific adverse-event rate or incentive mix.</x:v>
      </x:c>
      <x:c r="P110" s="21" t="str">
        <x:v>Mixed</x:v>
      </x:c>
      <x:c r="Q110" s="21" t="str">
        <x:v>Strong</x:v>
      </x:c>
      <x:c r="R110" s="21"/>
      <x:c r="S110" s="21" t="str">
        <x:v>Yes / U.S. retailer</x:v>
      </x:c>
      <x:c r="T110" s="21" t="str">
        <x:v>High</x:v>
      </x:c>
      <x:c r="U110" s="21" t="str">
        <x:v>SRC-RL-014</x:v>
      </x:c>
      <x:c r="V110" s="21" t="str">
        <x:v>Use as aggregate signal, not clinical evidence.</x:v>
      </x:c>
    </x:row>
    <x:row r="111" ht="116" customHeight="1">
      <x:c r="A111" s="21" t="str">
        <x:v>REV-RL-004</x:v>
      </x:c>
      <x:c r="B111" s="21" t="str">
        <x:v>KB008</x:v>
      </x:c>
      <x:c r="C111" s="21" t="str">
        <x:v>RL-P002</x:v>
      </x:c>
      <x:c r="D111" s="21" t="str">
        <x:v>Round Lab Official U.S.</x:v>
      </x:c>
      <x:c r="E111" s="21" t="str">
        <x:v>https://roundlab.com/products/1025-dokdo-toner?variant=43023567716566</x:v>
      </x:c>
      <x:c r="F111" s="25"/>
      <x:c r="G111" s="25" t="str">
        <x:v>2026-07-30</x:v>
      </x:c>
      <x:c r="H111" s="33" t="str">
        <x:v>213 official-site reviews</x:v>
      </x:c>
      <x:c r="I111" s="21" t="str">
        <x:v>Mixed verification status</x:v>
      </x:c>
      <x:c r="J111" s="21" t="str">
        <x:v>Brand-owned review module</x:v>
      </x:c>
      <x:c r="K111" s="21" t="str">
        <x:v>Positive</x:v>
      </x:c>
      <x:c r="L111" s="21" t="str">
        <x:v>Gentle hydration / no residue</x:v>
      </x:c>
      <x:c r="M111" s="21" t="str">
        <x:v>Recent U.S.-flagged reviews praise hydration, daily use, zero irritation and a clean no-residue finish.</x:v>
      </x:c>
      <x:c r="N111" s="21" t="str">
        <x:v>Calming, watery, layers easily, beginner-friendly and frequently repurchased.</x:v>
      </x:c>
      <x:c r="O111" s="21" t="str">
        <x:v>Some users wish for more brightening or stronger results.</x:v>
      </x:c>
      <x:c r="P111" s="21" t="str">
        <x:v>Dry, sensitive, acne-prone</x:v>
      </x:c>
      <x:c r="Q111" s="21" t="str">
        <x:v>Strong</x:v>
      </x:c>
      <x:c r="R111" s="21" t="str">
        <x:v>None</x:v>
      </x:c>
      <x:c r="S111" s="21" t="str">
        <x:v>Several U.S.-flagged reviews</x:v>
      </x:c>
      <x:c r="T111" s="21" t="str">
        <x:v>Medium-High</x:v>
      </x:c>
      <x:c r="U111" s="21" t="str">
        <x:v>SRC-RL-021</x:v>
      </x:c>
      <x:c r="V111" s="21" t="str">
        <x:v>Brand-owned review module; medical/eczema statements are individual anecdotes.</x:v>
      </x:c>
    </x:row>
    <x:row r="112" ht="116" customHeight="1">
      <x:c r="A112" s="21" t="str">
        <x:v>REV-RL-005</x:v>
      </x:c>
      <x:c r="B112" s="21" t="str">
        <x:v>KB008</x:v>
      </x:c>
      <x:c r="C112" s="21" t="str">
        <x:v>RL-P002</x:v>
      </x:c>
      <x:c r="D112" s="21" t="str">
        <x:v>Reddit r/koreanskincare</x:v>
      </x:c>
      <x:c r="E112" s="21" t="str">
        <x:v>https://www.reddit.com/r/koreanskincare/comments/1uv5c9q/round_lab_1025_dokdo_toner_the_gentle_exfoliating/</x:v>
      </x:c>
      <x:c r="F112" s="25"/>
      <x:c r="G112" s="25" t="str">
        <x:v>2026-07-30</x:v>
      </x:c>
      <x:c r="H112" s="33" t="str">
        <x:v>Thread and comments</x:v>
      </x:c>
      <x:c r="I112" s="21" t="str">
        <x:v>No</x:v>
      </x:c>
      <x:c r="J112" s="21" t="str">
        <x:v>Community sponsorship/disclosure varies</x:v>
      </x:c>
      <x:c r="K112" s="21" t="str">
        <x:v>Mixed</x:v>
      </x:c>
      <x:c r="L112" s="21" t="str">
        <x:v>Gentle versus too basic</x:v>
      </x:c>
      <x:c r="M112" s="21" t="str">
        <x:v>Some users report no redness, breakouts, fragrance or stickiness; others say it does little, needs layers or is not exfoliating enough.</x:v>
      </x:c>
      <x:c r="N112" s="21" t="str">
        <x:v>Calming, unobtrusive, low residue and compatible with sensitive routines for some.</x:v>
      </x:c>
      <x:c r="O112" s="21" t="str">
        <x:v>Can feel like water, insufficiently moisturizing/exfoliating, or cause irritation/breakouts for some.</x:v>
      </x:c>
      <x:c r="P112" s="21" t="str">
        <x:v>Sensitive, acne-prone, mixed</x:v>
      </x:c>
      <x:c r="Q112" s="21" t="str">
        <x:v>Mixed</x:v>
      </x:c>
      <x:c r="R112" s="21"/>
      <x:c r="S112" s="21" t="str">
        <x:v>Unclear</x:v>
      </x:c>
      <x:c r="T112" s="21" t="str">
        <x:v>Low-Medium</x:v>
      </x:c>
      <x:c r="U112" s="21" t="str">
        <x:v>SRC-RL-033</x:v>
      </x:c>
      <x:c r="V112" s="21" t="str">
        <x:v>Anecdotal, self-selected and not necessarily U.S.-specific.</x:v>
      </x:c>
    </x:row>
    <x:row r="113" ht="116" customHeight="1">
      <x:c r="A113" s="21" t="str">
        <x:v>REV-RL-006</x:v>
      </x:c>
      <x:c r="B113" s="21" t="str">
        <x:v>KB008</x:v>
      </x:c>
      <x:c r="C113" s="21" t="str">
        <x:v>RL-P002</x:v>
      </x:c>
      <x:c r="D113" s="21" t="str">
        <x:v>Reddit r/AsianBeauty</x:v>
      </x:c>
      <x:c r="E113" s="21" t="str">
        <x:v>https://www.reddit.com/r/AsianBeauty/comments/nzoyrh/review_roundlab_dokdo_1025_toner/</x:v>
      </x:c>
      <x:c r="F113" s="25"/>
      <x:c r="G113" s="25" t="str">
        <x:v>2026-07-30</x:v>
      </x:c>
      <x:c r="H113" s="33" t="str">
        <x:v>Single review plus comments</x:v>
      </x:c>
      <x:c r="I113" s="21" t="str">
        <x:v>No</x:v>
      </x:c>
      <x:c r="J113" s="21" t="str">
        <x:v>Low commercial disclosure</x:v>
      </x:c>
      <x:c r="K113" s="21" t="str">
        <x:v>Mixed</x:v>
      </x:c>
      <x:c r="L113" s="21" t="str">
        <x:v>Hydration / dryness</x:v>
      </x:c>
      <x:c r="M113" s="21" t="str">
        <x:v>Long-form users discuss light hydration and layering; some report tightness or dryness.</x:v>
      </x:c>
      <x:c r="N113" s="21" t="str">
        <x:v>Simple watery texture can suit layering and oily/combination routines.</x:v>
      </x:c>
      <x:c r="O113" s="21" t="str">
        <x:v>May not provide enough moisture and can feel drying for some users.</x:v>
      </x:c>
      <x:c r="P113" s="21" t="str">
        <x:v>Mixed</x:v>
      </x:c>
      <x:c r="Q113" s="21" t="str">
        <x:v>Mixed</x:v>
      </x:c>
      <x:c r="R113" s="21"/>
      <x:c r="S113" s="21" t="str">
        <x:v>Unclear</x:v>
      </x:c>
      <x:c r="T113" s="21" t="str">
        <x:v>Low-Medium</x:v>
      </x:c>
      <x:c r="U113" s="21" t="str">
        <x:v>SRC-RL-034</x:v>
      </x:c>
      <x:c r="V113" s="21" t="str">
        <x:v>Historical anecdotal review; formulations and skin conditions may differ.</x:v>
      </x:c>
    </x:row>
    <x:row r="114" ht="116" customHeight="1">
      <x:c r="A114" s="21" t="str">
        <x:v>REV-RL-007</x:v>
      </x:c>
      <x:c r="B114" s="21" t="str">
        <x:v>KB008</x:v>
      </x:c>
      <x:c r="C114" s="21" t="str">
        <x:v>RL-P003</x:v>
      </x:c>
      <x:c r="D114" s="21" t="str">
        <x:v>Round Lab Official U.S.</x:v>
      </x:c>
      <x:c r="E114" s="21" t="str">
        <x:v>https://roundlab.com/products/1025-dokdo-cleanser</x:v>
      </x:c>
      <x:c r="F114" s="25"/>
      <x:c r="G114" s="25" t="str">
        <x:v>2026-07-30</x:v>
      </x:c>
      <x:c r="H114" s="33" t="str">
        <x:v>466 reviews displayed</x:v>
      </x:c>
      <x:c r="I114" s="21" t="str">
        <x:v>Mixed verification status</x:v>
      </x:c>
      <x:c r="J114" s="21" t="str">
        <x:v>Brand-owned review module</x:v>
      </x:c>
      <x:c r="K114" s="21" t="str">
        <x:v>Positive</x:v>
      </x:c>
      <x:c r="L114" s="21" t="str">
        <x:v>Creamy low-pH cleanse</x:v>
      </x:c>
      <x:c r="M114" s="21" t="str">
        <x:v>Official aggregate and product framing emphasize gentle daily cleansing without over-drying.</x:v>
      </x:c>
      <x:c r="N114" s="21" t="str">
        <x:v>Soft foam, effective impurity removal and easy Dokdo Toner cross-sell.</x:v>
      </x:c>
      <x:c r="O114" s="21" t="str">
        <x:v>Brand-owned aggregate does not reveal all negative experiences; exact cleanser versus cleansing-gel distinction matters.</x:v>
      </x:c>
      <x:c r="P114" s="21" t="str">
        <x:v>Mixed</x:v>
      </x:c>
      <x:c r="Q114" s="21" t="str">
        <x:v>Strong</x:v>
      </x:c>
      <x:c r="R114" s="21"/>
      <x:c r="S114" s="21" t="str">
        <x:v>Likely mixed</x:v>
      </x:c>
      <x:c r="T114" s="21" t="str">
        <x:v>Medium-High</x:v>
      </x:c>
      <x:c r="U114" s="21" t="str">
        <x:v>SRC-RL-022</x:v>
      </x:c>
      <x:c r="V114" s="21" t="str">
        <x:v>Do not confuse 1025 Dokdo Cleanser with the separate Cleansing Gel.</x:v>
      </x:c>
    </x:row>
    <x:row r="115" ht="116" customHeight="1">
      <x:c r="A115" s="21" t="str">
        <x:v>REV-RL-008</x:v>
      </x:c>
      <x:c r="B115" s="21" t="str">
        <x:v>KB008</x:v>
      </x:c>
      <x:c r="C115" s="21" t="str">
        <x:v>RL-P003</x:v>
      </x:c>
      <x:c r="D115" s="21" t="str">
        <x:v>Reddit r/AsianBeauty</x:v>
      </x:c>
      <x:c r="E115" s="21" t="str">
        <x:v>https://www.reddit.com/r/AsianBeauty/comments/1hoqr19/first_impression_review_round_lab_1025_dokko/</x:v>
      </x:c>
      <x:c r="F115" s="25"/>
      <x:c r="G115" s="25" t="str">
        <x:v>2026-07-30</x:v>
      </x:c>
      <x:c r="H115" s="33" t="str">
        <x:v>Single review plus comments</x:v>
      </x:c>
      <x:c r="I115" s="21" t="str">
        <x:v>No</x:v>
      </x:c>
      <x:c r="J115" s="21" t="str">
        <x:v>Low commercial disclosure</x:v>
      </x:c>
      <x:c r="K115" s="21" t="str">
        <x:v>Mixed</x:v>
      </x:c>
      <x:c r="L115" s="21" t="str">
        <x:v>Gentle foam versus eye irritation</x:v>
      </x:c>
      <x:c r="M115" s="21" t="str">
        <x:v>Review describes a gentle, non-stripping initial cleanse; negative comments include tightness, dryness, itching or puffy eyes.</x:v>
      </x:c>
      <x:c r="N115" s="21" t="str">
        <x:v>Pleasant foam and clean feel without obvious stripping for some users.</x:v>
      </x:c>
      <x:c r="O115" s="21" t="str">
        <x:v>Possible dryness, itch and eye-area irritation; short-use impressions limit reliability.</x:v>
      </x:c>
      <x:c r="P115" s="21" t="str">
        <x:v>Mixed</x:v>
      </x:c>
      <x:c r="Q115" s="21" t="str">
        <x:v>Mixed</x:v>
      </x:c>
      <x:c r="R115" s="21"/>
      <x:c r="S115" s="21" t="str">
        <x:v>Unclear</x:v>
      </x:c>
      <x:c r="T115" s="21" t="str">
        <x:v>Low-Medium</x:v>
      </x:c>
      <x:c r="U115" s="21" t="str">
        <x:v>SRC-RL-035</x:v>
      </x:c>
      <x:c r="V115" s="21" t="str">
        <x:v>Anecdotal first impression; no causation established.</x:v>
      </x:c>
    </x:row>
    <x:row r="116" ht="116" customHeight="1">
      <x:c r="A116" s="21" t="str">
        <x:v>REV-RL-009</x:v>
      </x:c>
      <x:c r="B116" s="21" t="str">
        <x:v>KB008</x:v>
      </x:c>
      <x:c r="C116" s="21" t="str">
        <x:v>RL-P003</x:v>
      </x:c>
      <x:c r="D116" s="21" t="str">
        <x:v>Reddit r/koreanskincare</x:v>
      </x:c>
      <x:c r="E116" s="21" t="str">
        <x:v>https://www.reddit.com/r/koreanskincare/comments/1v09821/anyone_else_had_a_negative_experience_with_round/</x:v>
      </x:c>
      <x:c r="F116" s="25"/>
      <x:c r="G116" s="25" t="str">
        <x:v>2026-07-30</x:v>
      </x:c>
      <x:c r="H116" s="33" t="str">
        <x:v>Thread and comments</x:v>
      </x:c>
      <x:c r="I116" s="21" t="str">
        <x:v>No</x:v>
      </x:c>
      <x:c r="J116" s="21" t="str">
        <x:v>Community sponsorship/disclosure varies</x:v>
      </x:c>
      <x:c r="K116" s="21" t="str">
        <x:v>Mixed / Negative</x:v>
      </x:c>
      <x:c r="L116" s="21" t="str">
        <x:v>Barrier tolerance</x:v>
      </x:c>
      <x:c r="M116" s="21" t="str">
        <x:v>Some users describe stripping, redness or rawness; others in the same discussion call the cleanser gentle and repurchase-worthy.</x:v>
      </x:c>
      <x:c r="N116" s="21" t="str">
        <x:v>Several users report good tolerance and repeat purchase.</x:v>
      </x:c>
      <x:c r="O116" s="21" t="str">
        <x:v>Others report significant dryness, redness and irritation.</x:v>
      </x:c>
      <x:c r="P116" s="21" t="str">
        <x:v>Sensitive, dry, mixed</x:v>
      </x:c>
      <x:c r="Q116" s="21" t="str">
        <x:v>Polarized</x:v>
      </x:c>
      <x:c r="R116" s="21"/>
      <x:c r="S116" s="21" t="str">
        <x:v>Unclear</x:v>
      </x:c>
      <x:c r="T116" s="21" t="str">
        <x:v>Low-Medium</x:v>
      </x:c>
      <x:c r="U116" s="21" t="str">
        <x:v>SRC-RL-036</x:v>
      </x:c>
      <x:c r="V116" s="21" t="str">
        <x:v>Self-selected adverse-experience thread; no product defect or causation finding.</x:v>
      </x:c>
    </x:row>
    <x:row r="117" ht="116" customHeight="1">
      <x:c r="A117" s="21" t="str">
        <x:v>REV-RL-010</x:v>
      </x:c>
      <x:c r="B117" s="21" t="str">
        <x:v>KB008</x:v>
      </x:c>
      <x:c r="C117" s="21" t="str">
        <x:v>RL-P003</x:v>
      </x:c>
      <x:c r="D117" s="21" t="str">
        <x:v>Reddit r/koreanskincare</x:v>
      </x:c>
      <x:c r="E117" s="21" t="str">
        <x:v>https://www.reddit.com/r/koreanskincare/comments/1tqcgs9/round_lab_dokodo_cleanser_review/</x:v>
      </x:c>
      <x:c r="F117" s="25"/>
      <x:c r="G117" s="25" t="str">
        <x:v>2026-07-30</x:v>
      </x:c>
      <x:c r="H117" s="33" t="str">
        <x:v>Single review plus comments</x:v>
      </x:c>
      <x:c r="I117" s="21" t="str">
        <x:v>No</x:v>
      </x:c>
      <x:c r="J117" s="21" t="str">
        <x:v>Low commercial disclosure</x:v>
      </x:c>
      <x:c r="K117" s="21" t="str">
        <x:v>Mixed</x:v>
      </x:c>
      <x:c r="L117" s="21" t="str">
        <x:v>Adaptation / mild redness</x:v>
      </x:c>
      <x:c r="M117" s="21" t="str">
        <x:v>User reported mild red patches initially and better tolerance later, with positive foam and cleansing experience.</x:v>
      </x:c>
      <x:c r="N117" s="21" t="str">
        <x:v>Good foam and acceptable ongoing use after initial adjustment.</x:v>
      </x:c>
      <x:c r="O117" s="21" t="str">
        <x:v>Initial redness suggests patch testing and cautious use for reactive skin.</x:v>
      </x:c>
      <x:c r="P117" s="21" t="str">
        <x:v>Reactive / mixed</x:v>
      </x:c>
      <x:c r="Q117" s="21" t="str">
        <x:v>Moderate</x:v>
      </x:c>
      <x:c r="R117" s="21"/>
      <x:c r="S117" s="21" t="str">
        <x:v>Unclear</x:v>
      </x:c>
      <x:c r="T117" s="21" t="str">
        <x:v>Low</x:v>
      </x:c>
      <x:c r="U117" s="21" t="str">
        <x:v>SRC-RL-037</x:v>
      </x:c>
      <x:c r="V117" s="21" t="str">
        <x:v>Single-user anecdote; timing and routine confounders apply.</x:v>
      </x:c>
    </x:row>
    <x:row r="118" ht="116" customHeight="1">
      <x:c r="A118" s="21" t="str">
        <x:v>REV-RL-011</x:v>
      </x:c>
      <x:c r="B118" s="21" t="str">
        <x:v>KB008</x:v>
      </x:c>
      <x:c r="C118" s="21" t="str">
        <x:v>RL-P004</x:v>
      </x:c>
      <x:c r="D118" s="21" t="str">
        <x:v>Reddit r/AsianBeauty</x:v>
      </x:c>
      <x:c r="E118" s="21" t="str">
        <x:v>https://www.reddit.com/r/AsianBeauty/comments/1dig41m/round_lab_birch_juice_moisturizing_cream_review/</x:v>
      </x:c>
      <x:c r="F118" s="25"/>
      <x:c r="G118" s="25" t="str">
        <x:v>2026-07-30</x:v>
      </x:c>
      <x:c r="H118" s="33" t="str">
        <x:v>Single review plus comments</x:v>
      </x:c>
      <x:c r="I118" s="21" t="str">
        <x:v>No</x:v>
      </x:c>
      <x:c r="J118" s="21" t="str">
        <x:v>Low commercial disclosure</x:v>
      </x:c>
      <x:c r="K118" s="21" t="str">
        <x:v>Mixed / Positive</x:v>
      </x:c>
      <x:c r="L118" s="21" t="str">
        <x:v>Light gel-cream / shine</x:v>
      </x:c>
      <x:c r="M118" s="21" t="str">
        <x:v>Review describes light hydration, improved oil balance and a pleasant mild texture.</x:v>
      </x:c>
      <x:c r="N118" s="21" t="str">
        <x:v>Hydrating, lightweight and useful for oily/combination skin.</x:v>
      </x:c>
      <x:c r="O118" s="21" t="str">
        <x:v>Can look shiny/greasy and may be insufficient for very dry skin.</x:v>
      </x:c>
      <x:c r="P118" s="21" t="str">
        <x:v>Oily, combination, dry</x:v>
      </x:c>
      <x:c r="Q118" s="21" t="str">
        <x:v>Positive-mixed</x:v>
      </x:c>
      <x:c r="R118" s="21"/>
      <x:c r="S118" s="21" t="str">
        <x:v>Unclear</x:v>
      </x:c>
      <x:c r="T118" s="21" t="str">
        <x:v>Low-Medium</x:v>
      </x:c>
      <x:c r="U118" s="21" t="str">
        <x:v>SRC-RL-038</x:v>
      </x:c>
      <x:c r="V118" s="21" t="str">
        <x:v>Anecdotal; not a controlled product comparison.</x:v>
      </x:c>
    </x:row>
    <x:row r="119" ht="116" customHeight="1">
      <x:c r="A119" s="21" t="str">
        <x:v>REV-RL-012</x:v>
      </x:c>
      <x:c r="B119" s="21" t="str">
        <x:v>KB008</x:v>
      </x:c>
      <x:c r="C119" s="21"/>
      <x:c r="D119" s="21" t="str">
        <x:v>Reddit r/SkinbarrierLovers</x:v>
      </x:c>
      <x:c r="E119" s="21" t="str">
        <x:v>https://www.reddit.com/r/SkinbarrierLovers/comments/1uyvw5a/community_brand_review_round_lab/</x:v>
      </x:c>
      <x:c r="F119" s="25"/>
      <x:c r="G119" s="25" t="str">
        <x:v>2026-07-30</x:v>
      </x:c>
      <x:c r="H119" s="33" t="str">
        <x:v>Community brand thread</x:v>
      </x:c>
      <x:c r="I119" s="21" t="str">
        <x:v>No</x:v>
      </x:c>
      <x:c r="J119" s="21" t="str">
        <x:v>Community sponsorship/disclosure varies</x:v>
      </x:c>
      <x:c r="K119" s="21" t="str">
        <x:v>Mixed</x:v>
      </x:c>
      <x:c r="L119" s="21" t="str">
        <x:v>Brand tolerance</x:v>
      </x:c>
      <x:c r="M119" s="21" t="str">
        <x:v>Users share both strong affinity and negative cleanser/cream experiences.</x:v>
      </x:c>
      <x:c r="N119" s="21" t="str">
        <x:v>Several users love the gentle hydration and repeat selected products.</x:v>
      </x:c>
      <x:c r="O119" s="21" t="str">
        <x:v>Others report cleanser breakouts/dryness or cream thickness and poor fit.</x:v>
      </x:c>
      <x:c r="P119" s="21" t="str">
        <x:v>Barrier-impaired and mixed</x:v>
      </x:c>
      <x:c r="Q119" s="21" t="str">
        <x:v>Mixed</x:v>
      </x:c>
      <x:c r="R119" s="21"/>
      <x:c r="S119" s="21" t="str">
        <x:v>Unclear</x:v>
      </x:c>
      <x:c r="T119" s="21" t="str">
        <x:v>Low-Medium</x:v>
      </x:c>
      <x:c r="U119" s="21" t="str">
        <x:v>SRC-RL-039</x:v>
      </x:c>
      <x:c r="V119" s="21" t="str">
        <x:v>Category community is self-selected; useful for risk themes, not prevalence.</x:v>
      </x:c>
    </x:row>
    <x:row r="120" ht="116" customHeight="1">
      <x:c r="A120" s="21" t="str">
        <x:v>REV-RL-013</x:v>
      </x:c>
      <x:c r="B120" s="21" t="str">
        <x:v>KB008</x:v>
      </x:c>
      <x:c r="C120" s="21"/>
      <x:c r="D120" s="21" t="str">
        <x:v>Reddit r/AsianBeauty</x:v>
      </x:c>
      <x:c r="E120" s="21" t="str">
        <x:v>https://www.reddit.com/r/AsianBeauty/comments/1drh945</x:v>
      </x:c>
      <x:c r="F120" s="25"/>
      <x:c r="G120" s="25" t="str">
        <x:v>2026-07-30</x:v>
      </x:c>
      <x:c r="H120" s="33" t="str">
        <x:v>Thread and comments</x:v>
      </x:c>
      <x:c r="I120" s="21" t="str">
        <x:v>No</x:v>
      </x:c>
      <x:c r="J120" s="21" t="str">
        <x:v>Low commercial disclosure</x:v>
      </x:c>
      <x:c r="K120" s="21" t="str">
        <x:v>Negative / Risk</x:v>
      </x:c>
      <x:c r="L120" s="21" t="str">
        <x:v>Amazon seller switching</x:v>
      </x:c>
      <x:c r="M120" s="21" t="str">
        <x:v>Consumers discuss seller-switching and suspected counterfeit or different product arriving from marketplace offers.</x:v>
      </x:c>
      <x:c r="N120" s="21"/>
      <x:c r="O120" s="21" t="str">
        <x:v>Authenticity uncertainty, packaging/formula differences and seller changes reduce trust.</x:v>
      </x:c>
      <x:c r="P120" s="21"/>
      <x:c r="Q120" s="21" t="str">
        <x:v>Low</x:v>
      </x:c>
      <x:c r="R120" s="21"/>
      <x:c r="S120" s="21" t="str">
        <x:v>Unclear</x:v>
      </x:c>
      <x:c r="T120" s="21" t="str">
        <x:v>Low-Medium</x:v>
      </x:c>
      <x:c r="U120" s="21" t="str">
        <x:v>SRC-RL-040</x:v>
      </x:c>
      <x:c r="V120" s="21" t="str">
        <x:v>Anecdotal; does not prove counterfeit. Supports seller/lot verification controls.</x:v>
      </x:c>
    </x:row>
    <x:row r="121" ht="116" customHeight="1">
      <x:c r="A121" s="21" t="str">
        <x:v>REV-RL-014</x:v>
      </x:c>
      <x:c r="B121" s="21" t="str">
        <x:v>KB008</x:v>
      </x:c>
      <x:c r="C121" s="21"/>
      <x:c r="D121" s="21" t="str">
        <x:v>Reddit r/AsianBeauty</x:v>
      </x:c>
      <x:c r="E121" s="21" t="str">
        <x:v>https://www.reddit.com/r/AsianBeauty/comments/1dbqwox</x:v>
      </x:c>
      <x:c r="F121" s="25"/>
      <x:c r="G121" s="25" t="str">
        <x:v>2026-07-30</x:v>
      </x:c>
      <x:c r="H121" s="33" t="str">
        <x:v>Thread and comments</x:v>
      </x:c>
      <x:c r="I121" s="21" t="str">
        <x:v>No</x:v>
      </x:c>
      <x:c r="J121" s="21" t="str">
        <x:v>Low commercial disclosure</x:v>
      </x:c>
      <x:c r="K121" s="21" t="str">
        <x:v>Negative / Risk</x:v>
      </x:c>
      <x:c r="L121" s="21" t="str">
        <x:v>Formula and authenticity confusion</x:v>
      </x:c>
      <x:c r="M121" s="21" t="str">
        <x:v>Users compare Korean and U.S. sunscreen versions and question authenticity when texture, scent, filters or packaging differ.</x:v>
      </x:c>
      <x:c r="N121" s="21"/>
      <x:c r="O121" s="21" t="str">
        <x:v>Dual-market formulas create avoidable consumer confusion and gray-market risk.</x:v>
      </x:c>
      <x:c r="P121" s="21"/>
      <x:c r="Q121" s="21" t="str">
        <x:v>Low</x:v>
      </x:c>
      <x:c r="R121" s="21"/>
      <x:c r="S121" s="21" t="str">
        <x:v>Unclear</x:v>
      </x:c>
      <x:c r="T121" s="21" t="str">
        <x:v>Low-Medium</x:v>
      </x:c>
      <x:c r="U121" s="21" t="str">
        <x:v>SRC-RL-041</x:v>
      </x:c>
      <x:c r="V121" s="21" t="str">
        <x:v>Anecdotal; formula differences may be legitimate. Exact SKU/NDC/seller evidence is required.</x:v>
      </x:c>
    </x:row>
    <x:row r="122" ht="116" customHeight="1">
      <x:c r="A122" s="21" t="str">
        <x:v>REV-RL-015</x:v>
      </x:c>
      <x:c r="B122" s="21" t="str">
        <x:v>KB008</x:v>
      </x:c>
      <x:c r="C122" s="21"/>
      <x:c r="D122" s="21" t="str">
        <x:v>Reddit r/AsianBeauty</x:v>
      </x:c>
      <x:c r="E122" s="21" t="str">
        <x:v>https://www.reddit.com/r/AsianBeauty/comments/1cfd2ck</x:v>
      </x:c>
      <x:c r="F122" s="25"/>
      <x:c r="G122" s="25" t="str">
        <x:v>2026-07-30</x:v>
      </x:c>
      <x:c r="H122" s="33" t="str">
        <x:v>Thread and comments</x:v>
      </x:c>
      <x:c r="I122" s="21" t="str">
        <x:v>No</x:v>
      </x:c>
      <x:c r="J122" s="21" t="str">
        <x:v>Low commercial disclosure</x:v>
      </x:c>
      <x:c r="K122" s="21" t="str">
        <x:v>Negative / Risk</x:v>
      </x:c>
      <x:c r="L122" s="21" t="str">
        <x:v>Marketplace authenticity</x:v>
      </x:c>
      <x:c r="M122" s="21" t="str">
        <x:v>Consumers discuss whether Amazon purchases were genuine and emphasize checking seller identity and packaging.</x:v>
      </x:c>
      <x:c r="N122" s="21"/>
      <x:c r="O122" s="21" t="str">
        <x:v>Recurrent suspicion can damage reviews and increase returns even when units are authentic.</x:v>
      </x:c>
      <x:c r="P122" s="21"/>
      <x:c r="Q122" s="21" t="str">
        <x:v>Low</x:v>
      </x:c>
      <x:c r="R122" s="21"/>
      <x:c r="S122" s="21" t="str">
        <x:v>Unclear</x:v>
      </x:c>
      <x:c r="T122" s="21" t="str">
        <x:v>Low-Medium</x:v>
      </x:c>
      <x:c r="U122" s="21" t="str">
        <x:v>SRC-RL-042</x:v>
      </x:c>
      <x:c r="V122" s="21" t="str">
        <x:v>Anecdotal; no universal counterfeit finding.</x:v>
      </x:c>
    </x:row>
    <x:row r="123" ht="116" customHeight="1">
      <x:c r="A123" s="21" t="str">
        <x:v>REV-RL-016</x:v>
      </x:c>
      <x:c r="B123" s="21" t="str">
        <x:v>KB008</x:v>
      </x:c>
      <x:c r="C123" s="21" t="str">
        <x:v>RL-P001</x:v>
      </x:c>
      <x:c r="D123" s="21" t="str">
        <x:v>NBC Select</x:v>
      </x:c>
      <x:c r="E123" s="21" t="str">
        <x:v>https://www.nbcnews.com/select/shopping/round-lab-sunscreen-deal-of-the-day-2025-rcna212398</x:v>
      </x:c>
      <x:c r="F123" s="25" t="str">
        <x:v>2025-06-11</x:v>
      </x:c>
      <x:c r="G123" s="25" t="str">
        <x:v>2026-07-30</x:v>
      </x:c>
      <x:c r="H123" s="33" t="str">
        <x:v>Editorial test covering 100+ sunscreens</x:v>
      </x:c>
      <x:c r="I123" s="21" t="str">
        <x:v>N/A</x:v>
      </x:c>
      <x:c r="J123" s="21" t="str">
        <x:v>Editorial/commercial affiliate context</x:v>
      </x:c>
      <x:c r="K123" s="21" t="str">
        <x:v>Positive</x:v>
      </x:c>
      <x:c r="L123" s="21" t="str">
        <x:v>Independent editorial validation</x:v>
      </x:c>
      <x:c r="M123" s="21" t="str">
        <x:v>NBC Select reported that its testing of more than 100 sunscreens selected Round Lab UVLock as the top facial sunscreen.</x:v>
      </x:c>
      <x:c r="N123" s="21" t="str">
        <x:v>Strong wearability and consumer-facing credibility from an independent editorial test.</x:v>
      </x:c>
      <x:c r="O123" s="21" t="str">
        <x:v>Editorial testing is not FDA approval, clinical evidence or audited sales.</x:v>
      </x:c>
      <x:c r="P123" s="21" t="str">
        <x:v>Mixed</x:v>
      </x:c>
      <x:c r="Q123" s="21" t="str">
        <x:v>N/A</x:v>
      </x:c>
      <x:c r="R123" s="21"/>
      <x:c r="S123" s="21" t="str">
        <x:v>Yes / U.S. editorial</x:v>
      </x:c>
      <x:c r="T123" s="21" t="str">
        <x:v>High</x:v>
      </x:c>
      <x:c r="U123" s="21" t="str">
        <x:v>SRC-RL-032</x:v>
      </x:c>
      <x:c r="V123" s="21" t="str">
        <x:v>Affiliate links may create commercial context; claim is limited to the outlet's test result.</x:v>
      </x:c>
    </x:row>
    <x:row r="124" ht="122" customHeight="1">
      <x:c r="A124" s="21" t="str">
        <x:v>REV-MED-001</x:v>
      </x:c>
      <x:c r="B124" s="21" t="str">
        <x:v>KB009</x:v>
      </x:c>
      <x:c r="C124" s="21" t="str">
        <x:v>MED-P001</x:v>
      </x:c>
      <x:c r="D124" s="21" t="str">
        <x:v>Mediheal Official DTC</x:v>
      </x:c>
      <x:c r="E124" s="21" t="str">
        <x:v>https://mediheal.com/products/madecassoside-blemish-pad</x:v>
      </x:c>
      <x:c r="F124" s="25"/>
      <x:c r="G124" s="25" t="str">
        <x:v>2026-07-30</x:v>
      </x:c>
      <x:c r="H124" s="33" t="str">
        <x:v>5,264 reviews displayed</x:v>
      </x:c>
      <x:c r="I124" s="21" t="str">
        <x:v>Mixed verification status</x:v>
      </x:c>
      <x:c r="J124" s="21" t="str">
        <x:v>Brand-owned review module</x:v>
      </x:c>
      <x:c r="K124" s="21" t="str">
        <x:v>Positive</x:v>
      </x:c>
      <x:c r="L124" s="21" t="str">
        <x:v>Cooling / calming / hydration</x:v>
      </x:c>
      <x:c r="M124" s="21" t="str">
        <x:v>The official module summarizes strong cooling, hydration and calming themes, with many repeat-purchase comments.</x:v>
      </x:c>
      <x:c r="N124" s="21" t="str">
        <x:v>Large saturated pads, visible calming for many users, easy mini-mask use and repeat-purchase behavior.</x:v>
      </x:c>
      <x:c r="O124" s="21" t="str">
        <x:v>Some users report severe blemishes; texture, scent and container seal opinions vary.</x:v>
      </x:c>
      <x:c r="P124" s="21" t="str">
        <x:v>Sensitive, blemish-prone, mixed</x:v>
      </x:c>
      <x:c r="Q124" s="21" t="str">
        <x:v>Strong</x:v>
      </x:c>
      <x:c r="R124" s="21"/>
      <x:c r="S124" s="21" t="str">
        <x:v>Global/unclear</x:v>
      </x:c>
      <x:c r="T124" s="21" t="str">
        <x:v>Medium-High</x:v>
      </x:c>
      <x:c r="U124" s="21" t="str">
        <x:v>SRC-MED-007</x:v>
      </x:c>
      <x:c r="V124" s="21" t="str">
        <x:v>Brand-owned reviews may be moderated and are not U.S.-only or clinical evidence.</x:v>
      </x:c>
    </x:row>
    <x:row r="125" ht="122" customHeight="1">
      <x:c r="A125" s="21" t="str">
        <x:v>REV-MED-002</x:v>
      </x:c>
      <x:c r="B125" s="21" t="str">
        <x:v>KB009</x:v>
      </x:c>
      <x:c r="C125" s="21" t="str">
        <x:v>MED-P001</x:v>
      </x:c>
      <x:c r="D125" s="21" t="str">
        <x:v>Amazon U.S.</x:v>
      </x:c>
      <x:c r="E125" s="21" t="str">
        <x:v>https://www.amazon.com/dp/B0BHVBVRYY</x:v>
      </x:c>
      <x:c r="F125" s="25"/>
      <x:c r="G125" s="25" t="str">
        <x:v>2026-07-30</x:v>
      </x:c>
      <x:c r="H125" s="33" t="str">
        <x:v>4.6/10,184; 4K+ bought/month</x:v>
      </x:c>
      <x:c r="I125" s="21" t="str">
        <x:v>No</x:v>
      </x:c>
      <x:c r="J125" s="21" t="str">
        <x:v>Marketplace review and variant-family aggregation</x:v>
      </x:c>
      <x:c r="K125" s="21" t="str">
        <x:v>Positive</x:v>
      </x:c>
      <x:c r="L125" s="21" t="str">
        <x:v>Scale / routine utility</x:v>
      </x:c>
      <x:c r="M125" s="21" t="str">
        <x:v>The direct listing has a very large rating base and strong current purchase badge under the official store.</x:v>
      </x:c>
      <x:c r="N125" s="21" t="str">
        <x:v>Large social proof, 100-pad value and official seller Mediheal Cos.</x:v>
      </x:c>
      <x:c r="O125" s="21" t="str">
        <x:v>The 10,184 review count is shared across toner-pad variants and does not isolate Madecassoside-specific outcomes.</x:v>
      </x:c>
      <x:c r="P125" s="21" t="str">
        <x:v>Mixed</x:v>
      </x:c>
      <x:c r="Q125" s="21" t="str">
        <x:v>Very strong</x:v>
      </x:c>
      <x:c r="R125" s="21"/>
      <x:c r="S125" s="21" t="str">
        <x:v>U.S. marketplace</x:v>
      </x:c>
      <x:c r="T125" s="21" t="str">
        <x:v>High</x:v>
      </x:c>
      <x:c r="U125" s="21" t="str">
        <x:v>SRC-MED-022</x:v>
      </x:c>
      <x:c r="V125" s="21" t="str">
        <x:v>Marketplace counts and variation families change; not audited sales.</x:v>
      </x:c>
    </x:row>
    <x:row r="126" ht="122" customHeight="1">
      <x:c r="A126" s="21" t="str">
        <x:v>REV-MED-003</x:v>
      </x:c>
      <x:c r="B126" s="21" t="str">
        <x:v>KB009</x:v>
      </x:c>
      <x:c r="C126" s="21" t="str">
        <x:v>MED-P001</x:v>
      </x:c>
      <x:c r="D126" s="21" t="str">
        <x:v>Ulta Beauty</x:v>
      </x:c>
      <x:c r="E126" s="21" t="str">
        <x:v>https://www.ulta.com/p/madecassoside-blemish-pad-pimprod2045858?sku=2655777</x:v>
      </x:c>
      <x:c r="F126" s="25"/>
      <x:c r="G126" s="25" t="str">
        <x:v>2026-07-30</x:v>
      </x:c>
      <x:c r="H126" s="33" t="str">
        <x:v>4.6/3,064 reviews</x:v>
      </x:c>
      <x:c r="I126" s="21" t="str">
        <x:v>Mixed</x:v>
      </x:c>
      <x:c r="J126" s="21" t="str">
        <x:v>Retailer review incentives/syndication possible</x:v>
      </x:c>
      <x:c r="K126" s="21" t="str">
        <x:v>Mixed / Positive</x:v>
      </x:c>
      <x:c r="L126" s="21" t="str">
        <x:v>Dark spots / sensitivity</x:v>
      </x:c>
      <x:c r="M126" s="21" t="str">
        <x:v>Ulta's large aggregate supports mainstream satisfaction, while Q&amp;A and critical reviews reinforce patch testing and realistic expectations.</x:v>
      </x:c>
      <x:c r="N126" s="21" t="str">
        <x:v>Convenient prep, soothing and uneven-tone support; 14-count trial option reduces adoption risk.</x:v>
      </x:c>
      <x:c r="O126" s="21" t="str">
        <x:v>Can cause acne or irritation for some users and will not remove deep acne scars; essential oils may matter for reactive skin.</x:v>
      </x:c>
      <x:c r="P126" s="21" t="str">
        <x:v>Mixed</x:v>
      </x:c>
      <x:c r="Q126" s="21" t="str">
        <x:v>Strong</x:v>
      </x:c>
      <x:c r="R126" s="21"/>
      <x:c r="S126" s="21" t="str">
        <x:v>Yes / U.S. retailer</x:v>
      </x:c>
      <x:c r="T126" s="21" t="str">
        <x:v>High</x:v>
      </x:c>
      <x:c r="U126" s="21" t="str">
        <x:v>SRC-MED-029</x:v>
      </x:c>
      <x:c r="V126" s="21" t="str">
        <x:v>Use aggregate as consumer evidence, not claim substantiation.</x:v>
      </x:c>
    </x:row>
    <x:row r="127" ht="122" customHeight="1">
      <x:c r="A127" s="21" t="str">
        <x:v>REV-MED-004</x:v>
      </x:c>
      <x:c r="B127" s="21" t="str">
        <x:v>KB009</x:v>
      </x:c>
      <x:c r="C127" s="21" t="str">
        <x:v>MED-P002</x:v>
      </x:c>
      <x:c r="D127" s="21" t="str">
        <x:v>Mediheal Official DTC</x:v>
      </x:c>
      <x:c r="E127" s="21" t="str">
        <x:v>https://mediheal.com/products/teatree-trouble-pad</x:v>
      </x:c>
      <x:c r="F127" s="25"/>
      <x:c r="G127" s="25" t="str">
        <x:v>2026-07-30</x:v>
      </x:c>
      <x:c r="H127" s="33" t="str">
        <x:v>4.60/6,178 reviews</x:v>
      </x:c>
      <x:c r="I127" s="21" t="str">
        <x:v>Mixed verification status</x:v>
      </x:c>
      <x:c r="J127" s="21" t="str">
        <x:v>Brand-owned review module</x:v>
      </x:c>
      <x:c r="K127" s="21" t="str">
        <x:v>Positive</x:v>
      </x:c>
      <x:c r="L127" s="21" t="str">
        <x:v>Redness / oil balance</x:v>
      </x:c>
      <x:c r="M127" s="21" t="str">
        <x:v>Official reviews repeatedly praise quick cooling, comfortable hydration and calming of visible redness.</x:v>
      </x:c>
      <x:c r="N127" s="21" t="str">
        <x:v>Large gauze pad, strong adherence, daily mini-mask convenience and high repeat intent.</x:v>
      </x:c>
      <x:c r="O127" s="21" t="str">
        <x:v>Some users call the pad rough, dislike the tongs or find redness relief temporary.</x:v>
      </x:c>
      <x:c r="P127" s="21" t="str">
        <x:v>Oily, combination, blemish-prone</x:v>
      </x:c>
      <x:c r="Q127" s="21" t="str">
        <x:v>Strong</x:v>
      </x:c>
      <x:c r="R127" s="21"/>
      <x:c r="S127" s="21" t="str">
        <x:v>Global/unclear</x:v>
      </x:c>
      <x:c r="T127" s="21" t="str">
        <x:v>Medium-High</x:v>
      </x:c>
      <x:c r="U127" s="21" t="str">
        <x:v>SRC-MED-008</x:v>
      </x:c>
      <x:c r="V127" s="21" t="str">
        <x:v>Brand-owned reviews and claim summaries are not independent clinical evidence.</x:v>
      </x:c>
    </x:row>
    <x:row r="128" ht="122" customHeight="1">
      <x:c r="A128" s="21" t="str">
        <x:v>REV-MED-005</x:v>
      </x:c>
      <x:c r="B128" s="21" t="str">
        <x:v>KB009</x:v>
      </x:c>
      <x:c r="C128" s="21" t="str">
        <x:v>MED-P002</x:v>
      </x:c>
      <x:c r="D128" s="21" t="str">
        <x:v>Ulta Beauty</x:v>
      </x:c>
      <x:c r="E128" s="21" t="str">
        <x:v>https://www.ulta.com/p/teatree-trouble-pad-pimprod2049270?sku=2634871</x:v>
      </x:c>
      <x:c r="F128" s="25"/>
      <x:c r="G128" s="25" t="str">
        <x:v>2026-07-30</x:v>
      </x:c>
      <x:c r="H128" s="33" t="str">
        <x:v>4.6/3,929 reviews</x:v>
      </x:c>
      <x:c r="I128" s="21" t="str">
        <x:v>Mixed</x:v>
      </x:c>
      <x:c r="J128" s="21" t="str">
        <x:v>Retailer review incentives/syndication possible</x:v>
      </x:c>
      <x:c r="K128" s="21" t="str">
        <x:v>Positive</x:v>
      </x:c>
      <x:c r="L128" s="21" t="str">
        <x:v>Concern-based repeat use</x:v>
      </x:c>
      <x:c r="M128" s="21" t="str">
        <x:v>Ulta's large review base supports broad adoption of the Teatree variant at mainstream specialty retail.</x:v>
      </x:c>
      <x:c r="N128" s="21" t="str">
        <x:v>Strong blemish-prone routine fit and repeat potential.</x:v>
      </x:c>
      <x:c r="O128" s="21" t="str">
        <x:v>Variant-specific adverse-event prevalence and incentive mix are not public.</x:v>
      </x:c>
      <x:c r="P128" s="21" t="str">
        <x:v>Mixed</x:v>
      </x:c>
      <x:c r="Q128" s="21" t="str">
        <x:v>Strong</x:v>
      </x:c>
      <x:c r="R128" s="21"/>
      <x:c r="S128" s="21" t="str">
        <x:v>Yes / U.S. retailer</x:v>
      </x:c>
      <x:c r="T128" s="21" t="str">
        <x:v>High</x:v>
      </x:c>
      <x:c r="U128" s="21" t="str">
        <x:v>SRC-MED-030</x:v>
      </x:c>
      <x:c r="V128" s="21" t="str">
        <x:v>Retailer aggregate is dynamic.</x:v>
      </x:c>
    </x:row>
    <x:row r="129" ht="122" customHeight="1">
      <x:c r="A129" s="21" t="str">
        <x:v>REV-MED-006</x:v>
      </x:c>
      <x:c r="B129" s="21" t="str">
        <x:v>KB009</x:v>
      </x:c>
      <x:c r="C129" s="21"/>
      <x:c r="D129" s="21" t="str">
        <x:v>Ulta Beauty — Watermide</x:v>
      </x:c>
      <x:c r="E129" s="21" t="str">
        <x:v>https://www.ulta.com/p/watermide-moisture-pad-pimprod2045861?sku=2626999</x:v>
      </x:c>
      <x:c r="F129" s="25"/>
      <x:c r="G129" s="25" t="str">
        <x:v>2026-07-30</x:v>
      </x:c>
      <x:c r="H129" s="33" t="str">
        <x:v>4.6/228; 88% recommend</x:v>
      </x:c>
      <x:c r="I129" s="21" t="str">
        <x:v>Mixed</x:v>
      </x:c>
      <x:c r="J129" s="21" t="str">
        <x:v>Retailer review incentives/syndication possible</x:v>
      </x:c>
      <x:c r="K129" s="21" t="str">
        <x:v>Mixed / Positive</x:v>
      </x:c>
      <x:c r="L129" s="21" t="str">
        <x:v>Hydration / de-puffing</x:v>
      </x:c>
      <x:c r="M129" s="21" t="str">
        <x:v>Positive users describe deep hydration and cooling; a critical recent review said the pads felt drier the longer they remained on skin.</x:v>
      </x:c>
      <x:c r="N129" s="21" t="str">
        <x:v>Cooling, saturated essence and dry-skin convenience.</x:v>
      </x:c>
      <x:c r="O129" s="21" t="str">
        <x:v>Some users experience dryness or underwhelming results; jar preservation affects experience.</x:v>
      </x:c>
      <x:c r="P129" s="21" t="str">
        <x:v>Dry, dehydrated, mixed</x:v>
      </x:c>
      <x:c r="Q129" s="21" t="str">
        <x:v>Positive-mixed</x:v>
      </x:c>
      <x:c r="R129" s="21"/>
      <x:c r="S129" s="21" t="str">
        <x:v>Yes / U.S. retailer</x:v>
      </x:c>
      <x:c r="T129" s="21" t="str">
        <x:v>High</x:v>
      </x:c>
      <x:c r="U129" s="21" t="str">
        <x:v>SRC-MED-031</x:v>
      </x:c>
      <x:c r="V129" s="21" t="str">
        <x:v>Useful for product-fit and packaging risk themes.</x:v>
      </x:c>
    </x:row>
    <x:row r="130" ht="122" customHeight="1">
      <x:c r="A130" s="21" t="str">
        <x:v>REV-MED-007</x:v>
      </x:c>
      <x:c r="B130" s="21" t="str">
        <x:v>KB009</x:v>
      </x:c>
      <x:c r="C130" s="21"/>
      <x:c r="D130" s="21" t="str">
        <x:v>Target</x:v>
      </x:c>
      <x:c r="E130" s="21" t="str">
        <x:v>https://www.target.com/b/mediheal/-/N-q643le1i4bw</x:v>
      </x:c>
      <x:c r="F130" s="25"/>
      <x:c r="G130" s="25" t="str">
        <x:v>2026-07-30</x:v>
      </x:c>
      <x:c r="H130" s="33" t="str">
        <x:v>Multiple SKU aggregates and monthly purchase badges</x:v>
      </x:c>
      <x:c r="I130" s="21" t="str">
        <x:v>Mixed</x:v>
      </x:c>
      <x:c r="J130" s="21" t="str">
        <x:v>Retailer review syndication possible</x:v>
      </x:c>
      <x:c r="K130" s="21" t="str">
        <x:v>Positive</x:v>
      </x:c>
      <x:c r="L130" s="21" t="str">
        <x:v>Mass-market validation</x:v>
      </x:c>
      <x:c r="M130" s="21" t="str">
        <x:v>Target displayed 30K+ monthly purchases for Watermide Essential Mask, 26K+ for Collagen Essential Mask and strong pad ratings around 4.8-4.9.</x:v>
      </x:c>
      <x:c r="N130" s="21" t="str">
        <x:v>Extremely strong current mass-retail mask demand and broad pad satisfaction.</x:v>
      </x:c>
      <x:c r="O130" s="21" t="str">
        <x:v>Rounded badges are dynamic and do not disclose returns, repeat rate, store mix or paid-media effects.</x:v>
      </x:c>
      <x:c r="P130" s="21" t="str">
        <x:v>Mixed</x:v>
      </x:c>
      <x:c r="Q130" s="21" t="str">
        <x:v>Exceptional scale signal</x:v>
      </x:c>
      <x:c r="R130" s="21"/>
      <x:c r="S130" s="21" t="str">
        <x:v>Yes / U.S. retailer</x:v>
      </x:c>
      <x:c r="T130" s="21" t="str">
        <x:v>High</x:v>
      </x:c>
      <x:c r="U130" s="21" t="str">
        <x:v>SRC-MED-017,SRC-MED-034</x:v>
      </x:c>
      <x:c r="V130" s="21" t="str">
        <x:v>Do not combine these badges with Amazon revenue estimates.</x:v>
      </x:c>
    </x:row>
    <x:row r="131" ht="122" customHeight="1">
      <x:c r="A131" s="21" t="str">
        <x:v>REV-MED-008</x:v>
      </x:c>
      <x:c r="B131" s="21" t="str">
        <x:v>KB009</x:v>
      </x:c>
      <x:c r="C131" s="21" t="str">
        <x:v>MED-P004</x:v>
      </x:c>
      <x:c r="D131" s="21" t="str">
        <x:v>Mediheal Official DTC</x:v>
      </x:c>
      <x:c r="E131" s="21" t="str">
        <x:v>https://mediheal.com/products/madecassoside-essential-mask-blemish-repair-1</x:v>
      </x:c>
      <x:c r="F131" s="25"/>
      <x:c r="G131" s="25" t="str">
        <x:v>2026-07-30</x:v>
      </x:c>
      <x:c r="H131" s="33" t="str">
        <x:v>4.79/2,962 reviews</x:v>
      </x:c>
      <x:c r="I131" s="21" t="str">
        <x:v>Mixed verification status</x:v>
      </x:c>
      <x:c r="J131" s="21" t="str">
        <x:v>Brand-owned review module</x:v>
      </x:c>
      <x:c r="K131" s="21" t="str">
        <x:v>Positive</x:v>
      </x:c>
      <x:c r="L131" s="21" t="str">
        <x:v>Soothing / hydration</x:v>
      </x:c>
      <x:c r="M131" s="21" t="str">
        <x:v>Official review summary emphasizes cooling hydration and comfort for stressed skin.</x:v>
      </x:c>
      <x:c r="N131" s="21" t="str">
        <x:v>Fast trial, affordable per use, strong mask heritage and deep review base.</x:v>
      </x:c>
      <x:c r="O131" s="21" t="str">
        <x:v>Some users see no meaningful change in blemishes or marks; scent and single-use waste can polarize.</x:v>
      </x:c>
      <x:c r="P131" s="21" t="str">
        <x:v>Sensitive, stressed, blemish-prone</x:v>
      </x:c>
      <x:c r="Q131" s="21" t="str">
        <x:v>Strong</x:v>
      </x:c>
      <x:c r="R131" s="21"/>
      <x:c r="S131" s="21" t="str">
        <x:v>Global/unclear</x:v>
      </x:c>
      <x:c r="T131" s="21" t="str">
        <x:v>Medium-High</x:v>
      </x:c>
      <x:c r="U131" s="21" t="str">
        <x:v>SRC-MED-010</x:v>
      </x:c>
      <x:c r="V131" s="21" t="str">
        <x:v>Clinical percentage claims require underlying protocol and U.S. substantiation.</x:v>
      </x:c>
    </x:row>
    <x:row r="132" ht="122" customHeight="1">
      <x:c r="A132" s="21" t="str">
        <x:v>REV-MED-009</x:v>
      </x:c>
      <x:c r="B132" s="21" t="str">
        <x:v>KB009</x:v>
      </x:c>
      <x:c r="C132" s="21" t="str">
        <x:v>MED-P004</x:v>
      </x:c>
      <x:c r="D132" s="21" t="str">
        <x:v>Amazon U.S.</x:v>
      </x:c>
      <x:c r="E132" s="21" t="str">
        <x:v>https://www.amazon.com/dp/B0DJ1D917P</x:v>
      </x:c>
      <x:c r="F132" s="25"/>
      <x:c r="G132" s="25" t="str">
        <x:v>2026-07-30</x:v>
      </x:c>
      <x:c r="H132" s="33" t="str">
        <x:v>4.6/593; 2K+ bought/month</x:v>
      </x:c>
      <x:c r="I132" s="21" t="str">
        <x:v>No</x:v>
      </x:c>
      <x:c r="J132" s="21" t="str">
        <x:v>Marketplace review ecosystem</x:v>
      </x:c>
      <x:c r="K132" s="21" t="str">
        <x:v>Positive</x:v>
      </x:c>
      <x:c r="L132" s="21" t="str">
        <x:v>Sheet-mask demand</x:v>
      </x:c>
      <x:c r="M132" s="21" t="str">
        <x:v>The official-store ten-pack combines a strong rating with a large current purchase badge.</x:v>
      </x:c>
      <x:c r="N132" s="21" t="str">
        <x:v>Affordable $2.20 per sheet, official seller and easy replenishment.</x:v>
      </x:c>
      <x:c r="O132" s="21" t="str">
        <x:v>Marketplace rating alone does not identify review incentives, returns or skin reactions.</x:v>
      </x:c>
      <x:c r="P132" s="21" t="str">
        <x:v>Mixed</x:v>
      </x:c>
      <x:c r="Q132" s="21" t="str">
        <x:v>Very strong</x:v>
      </x:c>
      <x:c r="R132" s="21"/>
      <x:c r="S132" s="21" t="str">
        <x:v>U.S. marketplace</x:v>
      </x:c>
      <x:c r="T132" s="21" t="str">
        <x:v>High</x:v>
      </x:c>
      <x:c r="U132" s="21" t="str">
        <x:v>SRC-MED-027</x:v>
      </x:c>
      <x:c r="V132" s="21" t="str">
        <x:v>Dynamic public signal, not audited revenue.</x:v>
      </x:c>
    </x:row>
    <x:row r="133" ht="122" customHeight="1">
      <x:c r="A133" s="21" t="str">
        <x:v>REV-MED-010</x:v>
      </x:c>
      <x:c r="B133" s="21" t="str">
        <x:v>KB009</x:v>
      </x:c>
      <x:c r="C133" s="21" t="str">
        <x:v>MED-P005</x:v>
      </x:c>
      <x:c r="D133" s="21" t="str">
        <x:v>Ulta Beauty</x:v>
      </x:c>
      <x:c r="E133" s="21" t="str">
        <x:v>https://www.ulta.com/p/madecassoside-moisture-sun-serum-pimprod2059045?sku=2656193</x:v>
      </x:c>
      <x:c r="F133" s="25"/>
      <x:c r="G133" s="25" t="str">
        <x:v>2026-07-30</x:v>
      </x:c>
      <x:c r="H133" s="33" t="str">
        <x:v>4.7/45 reviews</x:v>
      </x:c>
      <x:c r="I133" s="21" t="str">
        <x:v>Yes / many early reviews disclosed product receipt</x:v>
      </x:c>
      <x:c r="J133" s="21" t="str">
        <x:v>Retailer promotion/incentive context</x:v>
      </x:c>
      <x:c r="K133" s="21" t="str">
        <x:v>Mixed / Positive</x:v>
      </x:c>
      <x:c r="L133" s="21" t="str">
        <x:v>Texture / finish / fragrance</x:v>
      </x:c>
      <x:c r="M133" s="21" t="str">
        <x:v>Many early users praise lightweight hydration and no white cast; critical reviews describe excess shine/greasiness, stronger fragrance or makeup wear issues.</x:v>
      </x:c>
      <x:c r="N133" s="21" t="str">
        <x:v>SPF50+ serum texture, no cast for many skin tones and easy application.</x:v>
      </x:c>
      <x:c r="O133" s="21" t="str">
        <x:v>Early review base is incentive-heavy and short-term; greasy finish and fragrance may not suit all users.</x:v>
      </x:c>
      <x:c r="P133" s="21" t="str">
        <x:v>Mixed, including melanated and oily skin</x:v>
      </x:c>
      <x:c r="Q133" s="21" t="str">
        <x:v>Promising</x:v>
      </x:c>
      <x:c r="R133" s="21"/>
      <x:c r="S133" s="21" t="str">
        <x:v>Yes / U.S. retailer</x:v>
      </x:c>
      <x:c r="T133" s="21" t="str">
        <x:v>Medium</x:v>
      </x:c>
      <x:c r="U133" s="21" t="str">
        <x:v>SRC-MED-033</x:v>
      </x:c>
      <x:c r="V133" s="21" t="str">
        <x:v>Do not over-weight early incentivized reviews; OTC performance is controlled by label/tests, not opinions.</x:v>
      </x:c>
    </x:row>
    <x:row r="134" ht="122" customHeight="1">
      <x:c r="A134" s="21" t="str">
        <x:v>REV-MED-011</x:v>
      </x:c>
      <x:c r="B134" s="21" t="str">
        <x:v>KB009</x:v>
      </x:c>
      <x:c r="C134" s="21"/>
      <x:c r="D134" s="21" t="str">
        <x:v>Reddit r/AsianBeauty</x:v>
      </x:c>
      <x:c r="E134" s="21" t="str">
        <x:v>https://www.reddit.com/r/AsianBeauty/comments/1786qw5/mediheal_toner_pads/</x:v>
      </x:c>
      <x:c r="F134" s="25"/>
      <x:c r="G134" s="25" t="str">
        <x:v>2026-07-30</x:v>
      </x:c>
      <x:c r="H134" s="33" t="str">
        <x:v>Thread and comments</x:v>
      </x:c>
      <x:c r="I134" s="21" t="str">
        <x:v>No</x:v>
      </x:c>
      <x:c r="J134" s="21" t="str">
        <x:v>Community sponsorship/disclosure varies</x:v>
      </x:c>
      <x:c r="K134" s="21" t="str">
        <x:v>Mixed</x:v>
      </x:c>
      <x:c r="L134" s="21" t="str">
        <x:v>Viral results versus skepticism</x:v>
      </x:c>
      <x:c r="M134" s="21" t="str">
        <x:v>Users report gentle use, clogged-pore improvement and better texture with consistency, while others feel little beyond smoothness or report brief stinging.</x:v>
      </x:c>
      <x:c r="N134" s="21" t="str">
        <x:v>Convenient mini-mask use and perceived calming/texture benefits.</x:v>
      </x:c>
      <x:c r="O134" s="21" t="str">
        <x:v>Results may be subtle; stinging and hype skepticism recur.</x:v>
      </x:c>
      <x:c r="P134" s="21" t="str">
        <x:v>Mixed</x:v>
      </x:c>
      <x:c r="Q134" s="21" t="str">
        <x:v>Mixed-positive</x:v>
      </x:c>
      <x:c r="R134" s="21"/>
      <x:c r="S134" s="21" t="str">
        <x:v>Unclear</x:v>
      </x:c>
      <x:c r="T134" s="21" t="str">
        <x:v>Low-Medium</x:v>
      </x:c>
      <x:c r="U134" s="21" t="str">
        <x:v>SRC-MED-037</x:v>
      </x:c>
      <x:c r="V134" s="21" t="str">
        <x:v>Anecdotal, self-selected and not necessarily U.S.-specific.</x:v>
      </x:c>
    </x:row>
    <x:row r="135" ht="122" customHeight="1">
      <x:c r="A135" s="21" t="str">
        <x:v>REV-MED-012</x:v>
      </x:c>
      <x:c r="B135" s="21" t="str">
        <x:v>KB009</x:v>
      </x:c>
      <x:c r="C135" s="21"/>
      <x:c r="D135" s="21" t="str">
        <x:v>Reddit r/AsianBeauty</x:v>
      </x:c>
      <x:c r="E135" s="21" t="str">
        <x:v>https://www.reddit.com/r/AsianBeauty/comments/1dd7dk7/does_anyone_feel_the_same_way_about_toner_pads/</x:v>
      </x:c>
      <x:c r="F135" s="25"/>
      <x:c r="G135" s="25" t="str">
        <x:v>2026-07-30</x:v>
      </x:c>
      <x:c r="H135" s="33" t="str">
        <x:v>Thread and comments</x:v>
      </x:c>
      <x:c r="I135" s="21" t="str">
        <x:v>No</x:v>
      </x:c>
      <x:c r="J135" s="21" t="str">
        <x:v>Community sponsorship/disclosure varies</x:v>
      </x:c>
      <x:c r="K135" s="21" t="str">
        <x:v>Mixed / Negative</x:v>
      </x:c>
      <x:c r="L135" s="21" t="str">
        <x:v>Convenience versus necessity</x:v>
      </x:c>
      <x:c r="M135" s="21" t="str">
        <x:v>A user found the viral Watermide pads underwhelming; discussion frames toner pads as convenient pre-soaked mini masks rather than a unique essential step.</x:v>
      </x:c>
      <x:c r="N135" s="21" t="str">
        <x:v>Fast grab-and-go format can replace bottle-and-cotton routines.</x:v>
      </x:c>
      <x:c r="O135" s="21" t="str">
        <x:v>Some consumers see limited incremental efficacy and avoid waste or extra cost.</x:v>
      </x:c>
      <x:c r="P135" s="21" t="str">
        <x:v>Mixed</x:v>
      </x:c>
      <x:c r="Q135" s="21" t="str">
        <x:v>Polarized</x:v>
      </x:c>
      <x:c r="R135" s="21"/>
      <x:c r="S135" s="21" t="str">
        <x:v>Unclear</x:v>
      </x:c>
      <x:c r="T135" s="21" t="str">
        <x:v>Low-Medium</x:v>
      </x:c>
      <x:c r="U135" s="21" t="str">
        <x:v>SRC-MED-038</x:v>
      </x:c>
      <x:c r="V135" s="21" t="str">
        <x:v>Useful for category-objection handling, not prevalence.</x:v>
      </x:c>
    </x:row>
    <x:row r="136" ht="122" customHeight="1">
      <x:c r="A136" s="21" t="str">
        <x:v>REV-MED-013</x:v>
      </x:c>
      <x:c r="B136" s="21" t="str">
        <x:v>KB009</x:v>
      </x:c>
      <x:c r="C136" s="21"/>
      <x:c r="D136" s="21" t="str">
        <x:v>Reddit r/AsianBeauty</x:v>
      </x:c>
      <x:c r="E136" s="21" t="str">
        <x:v>https://www.reddit.com/r/AsianBeauty/comments/18zkow0/mediheal_toner_pads_are_getting_worse/</x:v>
      </x:c>
      <x:c r="F136" s="25"/>
      <x:c r="G136" s="25" t="str">
        <x:v>2026-07-30</x:v>
      </x:c>
      <x:c r="H136" s="33" t="str">
        <x:v>Thread and comments</x:v>
      </x:c>
      <x:c r="I136" s="21" t="str">
        <x:v>No</x:v>
      </x:c>
      <x:c r="J136" s="21" t="str">
        <x:v>Community sponsorship/disclosure varies</x:v>
      </x:c>
      <x:c r="K136" s="21" t="str">
        <x:v>Negative / Risk</x:v>
      </x:c>
      <x:c r="L136" s="21" t="str">
        <x:v>Formula and pad changes</x:v>
      </x:c>
      <x:c r="M136" s="21" t="str">
        <x:v>Users discuss perceived loss of dual-sided texture and product-quality changes after renewal.</x:v>
      </x:c>
      <x:c r="N136" s="21" t="str">
        <x:v>Highlights the importance of version-specific merchandising and lot/formula transparency.</x:v>
      </x:c>
      <x:c r="O136" s="21" t="str">
        <x:v>Perceived downgrades can trigger negative reviews even when changes are legitimate.</x:v>
      </x:c>
      <x:c r="P136" s="21" t="str">
        <x:v>Existing toner-pad users</x:v>
      </x:c>
      <x:c r="Q136" s="21" t="str">
        <x:v>Low</x:v>
      </x:c>
      <x:c r="R136" s="21"/>
      <x:c r="S136" s="21" t="str">
        <x:v>Unclear</x:v>
      </x:c>
      <x:c r="T136" s="21" t="str">
        <x:v>Low-Medium</x:v>
      </x:c>
      <x:c r="U136" s="21" t="str">
        <x:v>SRC-MED-039</x:v>
      </x:c>
      <x:c r="V136" s="21" t="str">
        <x:v>Anecdotal; no manufacturing defect established.</x:v>
      </x:c>
    </x:row>
    <x:row r="137" ht="122" customHeight="1">
      <x:c r="A137" s="21" t="str">
        <x:v>REV-MED-014</x:v>
      </x:c>
      <x:c r="B137" s="21" t="str">
        <x:v>KB009</x:v>
      </x:c>
      <x:c r="C137" s="21"/>
      <x:c r="D137" s="21" t="str">
        <x:v>Reddit r/Skincare_Addiction</x:v>
      </x:c>
      <x:c r="E137" s="21" t="str">
        <x:v>https://www.reddit.com/r/Skincare_Addiction/comments/1bsqj86/mediheal_toner_pads/</x:v>
      </x:c>
      <x:c r="F137" s="25"/>
      <x:c r="G137" s="25" t="str">
        <x:v>2026-07-30</x:v>
      </x:c>
      <x:c r="H137" s="33" t="str">
        <x:v>Thread and comments</x:v>
      </x:c>
      <x:c r="I137" s="21" t="str">
        <x:v>No</x:v>
      </x:c>
      <x:c r="J137" s="21" t="str">
        <x:v>Community sponsorship/disclosure varies</x:v>
      </x:c>
      <x:c r="K137" s="21" t="str">
        <x:v>Mixed / Skeptical</x:v>
      </x:c>
      <x:c r="L137" s="21" t="str">
        <x:v>TikTok hype</x:v>
      </x:c>
      <x:c r="M137" s="21" t="str">
        <x:v>The discussion begins from repeated TikTok exposure and asks for honest results beyond promotional content.</x:v>
      </x:c>
      <x:c r="N137" s="21" t="str">
        <x:v>High social awareness creates trial demand.</x:v>
      </x:c>
      <x:c r="O137" s="21" t="str">
        <x:v>Hype fatigue and failed-acne-product history make efficacy expectations difficult to manage.</x:v>
      </x:c>
      <x:c r="P137" s="21" t="str">
        <x:v>Acne-prone / social-media shoppers</x:v>
      </x:c>
      <x:c r="Q137" s="21" t="str">
        <x:v>Mixed</x:v>
      </x:c>
      <x:c r="R137" s="21"/>
      <x:c r="S137" s="21" t="str">
        <x:v>Unclear</x:v>
      </x:c>
      <x:c r="T137" s="21" t="str">
        <x:v>Low-Medium</x:v>
      </x:c>
      <x:c r="U137" s="21" t="str">
        <x:v>SRC-MED-040</x:v>
      </x:c>
      <x:c r="V137" s="21" t="str">
        <x:v>Anecdotal and not a controlled comparison.</x:v>
      </x:c>
    </x:row>
    <x:row r="138" ht="122" customHeight="1">
      <x:c r="A138" s="21" t="str">
        <x:v>REV-MED-015</x:v>
      </x:c>
      <x:c r="B138" s="21" t="str">
        <x:v>KB009</x:v>
      </x:c>
      <x:c r="C138" s="21" t="str">
        <x:v>MED-P001</x:v>
      </x:c>
      <x:c r="D138" s="21" t="str">
        <x:v>Reddit r/AsianBeauty</x:v>
      </x:c>
      <x:c r="E138" s="21" t="str">
        <x:v>https://www.reddit.com/r/AsianBeauty/comments/1docfnr/mediheal_madecassoside_toner_pads_at_costco/</x:v>
      </x:c>
      <x:c r="F138" s="25"/>
      <x:c r="G138" s="25" t="str">
        <x:v>2026-07-30</x:v>
      </x:c>
      <x:c r="H138" s="33" t="str">
        <x:v>Thread and comments</x:v>
      </x:c>
      <x:c r="I138" s="21" t="str">
        <x:v>No</x:v>
      </x:c>
      <x:c r="J138" s="21" t="str">
        <x:v>Community sponsorship/disclosure varies</x:v>
      </x:c>
      <x:c r="K138" s="21" t="str">
        <x:v>Positive / Awareness</x:v>
      </x:c>
      <x:c r="L138" s="21" t="str">
        <x:v>Club visibility / viral recognition</x:v>
      </x:c>
      <x:c r="M138" s="21" t="str">
        <x:v>Users describe the pads as previously viral, sold out and newly visible through Costco.</x:v>
      </x:c>
      <x:c r="N138" s="21" t="str">
        <x:v>Confirms broad recognition and value-channel discovery.</x:v>
      </x:c>
      <x:c r="O138" s="21" t="str">
        <x:v>Costco packs can reset expected price and complicate independent-retailer margins.</x:v>
      </x:c>
      <x:c r="P138" s="21" t="str">
        <x:v>Value-oriented K-Beauty shoppers</x:v>
      </x:c>
      <x:c r="Q138" s="21" t="str">
        <x:v>Positive</x:v>
      </x:c>
      <x:c r="R138" s="21"/>
      <x:c r="S138" s="21" t="str">
        <x:v>U.S. / Costco context</x:v>
      </x:c>
      <x:c r="T138" s="21" t="str">
        <x:v>Low-Medium</x:v>
      </x:c>
      <x:c r="U138" s="21" t="str">
        <x:v>SRC-MED-041</x:v>
      </x:c>
      <x:c r="V138" s="21" t="str">
        <x:v>Anecdotal awareness evidence; not Costco sell-through.</x:v>
      </x:c>
    </x:row>
    <x:row r="139" ht="122" customHeight="1">
      <x:c r="A139" s="21" t="str">
        <x:v>REV-MED-016</x:v>
      </x:c>
      <x:c r="B139" s="21" t="str">
        <x:v>KB009</x:v>
      </x:c>
      <x:c r="C139" s="21" t="str">
        <x:v>MED-P004</x:v>
      </x:c>
      <x:c r="D139" s="21" t="str">
        <x:v>Reddit r/KoreanBeauty</x:v>
      </x:c>
      <x:c r="E139" s="21" t="str">
        <x:v>https://www.reddit.com/r/KoreanBeauty/comments/18mcrji/which_brands_have_the_best_sheet_masks/</x:v>
      </x:c>
      <x:c r="F139" s="25"/>
      <x:c r="G139" s="25" t="str">
        <x:v>2026-07-30</x:v>
      </x:c>
      <x:c r="H139" s="33" t="str">
        <x:v>Thread and comments</x:v>
      </x:c>
      <x:c r="I139" s="21" t="str">
        <x:v>No</x:v>
      </x:c>
      <x:c r="J139" s="21" t="str">
        <x:v>Community sponsorship/disclosure varies</x:v>
      </x:c>
      <x:c r="K139" s="21" t="str">
        <x:v>Positive</x:v>
      </x:c>
      <x:c r="L139" s="21" t="str">
        <x:v>Mask heritage</x:v>
      </x:c>
      <x:c r="M139" s="21" t="str">
        <x:v>Users name Mediheal among preferred sheet-mask brands and discuss mixed hero packs purchased from Amazon.</x:v>
      </x:c>
      <x:c r="N139" s="21" t="str">
        <x:v>Long-running sheet-mask credibility and assortment discovery.</x:v>
      </x:c>
      <x:c r="O139" s="21" t="str">
        <x:v>Recommendations are self-selected and may not reflect U.S. mainstream users.</x:v>
      </x:c>
      <x:c r="P139" s="21" t="str">
        <x:v>Sheet-mask enthusiasts</x:v>
      </x:c>
      <x:c r="Q139" s="21" t="str">
        <x:v>Strong</x:v>
      </x:c>
      <x:c r="R139" s="21"/>
      <x:c r="S139" s="21" t="str">
        <x:v>Unclear</x:v>
      </x:c>
      <x:c r="T139" s="21" t="str">
        <x:v>Low-Medium</x:v>
      </x:c>
      <x:c r="U139" s="21" t="str">
        <x:v>SRC-MED-042</x:v>
      </x:c>
      <x:c r="V139" s="21" t="str">
        <x:v>Anecdotal consumer evidence.</x:v>
      </x:c>
    </x:row>
    <x:row r="140" ht="126" customHeight="1">
      <x:c r="A140" s="21" t="str">
        <x:v>REV-DJ-001</x:v>
      </x:c>
      <x:c r="B140" s="21" t="str">
        <x:v>KB010</x:v>
      </x:c>
      <x:c r="C140" s="21" t="str">
        <x:v>DJ-P001</x:v>
      </x:c>
      <x:c r="D140" s="21" t="str">
        <x:v>Dr.Jart+ Official DTC</x:v>
      </x:c>
      <x:c r="E140" s="21" t="str">
        <x:v>https://www.drjart.com/product/29717/138113/color-corrector/cicapairtm-soothing-korean-color-correcting-treatment-mineral-spf-30-with-centella-asiatica-extracts-and-zinc-oxide</x:v>
      </x:c>
      <x:c r="F140" s="25"/>
      <x:c r="G140" s="25" t="str">
        <x:v>2026-07-31</x:v>
      </x:c>
      <x:c r="H140" s="33" t="str">
        <x:v>4.2/807 reviews</x:v>
      </x:c>
      <x:c r="I140" s="21" t="str">
        <x:v>Mixed verification status</x:v>
      </x:c>
      <x:c r="J140" s="21" t="str">
        <x:v>Brand-owned review module</x:v>
      </x:c>
      <x:c r="K140" s="21" t="str">
        <x:v>Mostly Positive</x:v>
      </x:c>
      <x:c r="L140" s="21" t="str">
        <x:v>Visible redness correction / no-makeup coverage</x:v>
      </x:c>
      <x:c r="M140" s="21" t="str">
        <x:v>Official aggregate supports strong trial and repeat interest in the current Cicapair formula.</x:v>
      </x:c>
      <x:c r="N140" s="21" t="str">
        <x:v>Immediate visible tone evening, flexible no-foundation use, SPF and strong franchise familiarity.</x:v>
      </x:c>
      <x:c r="O140" s="21" t="str">
        <x:v>Some users report shade mismatch, dryness, pilling, scent or a preference for an older formula.</x:v>
      </x:c>
      <x:c r="P140" s="21" t="str">
        <x:v>Redness-prone; lighter skin tones emphasized</x:v>
      </x:c>
      <x:c r="Q140" s="21" t="str">
        <x:v>Strong but polarized</x:v>
      </x:c>
      <x:c r="R140" s="21"/>
      <x:c r="S140" s="21" t="str">
        <x:v>Global/unclear</x:v>
      </x:c>
      <x:c r="T140" s="21" t="str">
        <x:v>Medium-High</x:v>
      </x:c>
      <x:c r="U140" s="21" t="str">
        <x:v>SRC-DJ-015</x:v>
      </x:c>
      <x:c r="V140" s="21" t="str">
        <x:v>Brand-owned aggregate is not independent efficacy evidence.</x:v>
      </x:c>
    </x:row>
    <x:row r="141" ht="126" customHeight="1">
      <x:c r="A141" s="21" t="str">
        <x:v>REV-DJ-002</x:v>
      </x:c>
      <x:c r="B141" s="21" t="str">
        <x:v>KB010</x:v>
      </x:c>
      <x:c r="C141" s="21" t="str">
        <x:v>DJ-P001</x:v>
      </x:c>
      <x:c r="D141" s="21" t="str">
        <x:v>Amazon U.S.</x:v>
      </x:c>
      <x:c r="E141" s="21" t="str">
        <x:v>https://www.amazon.com/dp/B0F7J295X1</x:v>
      </x:c>
      <x:c r="F141" s="25"/>
      <x:c r="G141" s="25" t="str">
        <x:v>2026-07-31</x:v>
      </x:c>
      <x:c r="H141" s="33" t="str">
        <x:v>4.2/395; 2K+ bought/month</x:v>
      </x:c>
      <x:c r="I141" s="21" t="str">
        <x:v>Mixed / not individually audited</x:v>
      </x:c>
      <x:c r="J141" s="21" t="str">
        <x:v>Marketplace review ecosystem</x:v>
      </x:c>
      <x:c r="K141" s="21" t="str">
        <x:v>Mostly Positive</x:v>
      </x:c>
      <x:c r="L141" s="21" t="str">
        <x:v>Current mini adoption</x:v>
      </x:c>
      <x:c r="M141" s="21" t="str">
        <x:v>The new 15 mL ASIN combines a solid rating with the largest captured Dr.Jart+ hero purchase badge.</x:v>
      </x:c>
      <x:c r="N141" s="21" t="str">
        <x:v>Low-friction $25 trial, official Amazon.com seller/shipper and high monthly velocity.</x:v>
      </x:c>
      <x:c r="O141" s="21" t="str">
        <x:v>Review depth is modest for a new ASIN; formula and shade outcomes remain polarized.</x:v>
      </x:c>
      <x:c r="P141" s="21" t="str">
        <x:v>Mixed</x:v>
      </x:c>
      <x:c r="Q141" s="21" t="str">
        <x:v>Strong</x:v>
      </x:c>
      <x:c r="R141" s="21"/>
      <x:c r="S141" s="21" t="str">
        <x:v>U.S. marketplace</x:v>
      </x:c>
      <x:c r="T141" s="21" t="str">
        <x:v>High</x:v>
      </x:c>
      <x:c r="U141" s="21" t="str">
        <x:v>SRC-DJ-020</x:v>
      </x:c>
      <x:c r="V141" s="21" t="str">
        <x:v>Dynamic signal; not audited revenue.</x:v>
      </x:c>
    </x:row>
    <x:row r="142" ht="126" customHeight="1">
      <x:c r="A142" s="21" t="str">
        <x:v>REV-DJ-003</x:v>
      </x:c>
      <x:c r="B142" s="21" t="str">
        <x:v>KB010</x:v>
      </x:c>
      <x:c r="C142" s="21" t="str">
        <x:v>DJ-P001</x:v>
      </x:c>
      <x:c r="D142" s="21" t="str">
        <x:v>Sephora U.S.</x:v>
      </x:c>
      <x:c r="E142" s="21" t="str">
        <x:v>https://www.sephora.com/product/mini-cicapair-tm-tiger-grass-color-correcting-treatment-spf-30-P517137</x:v>
      </x:c>
      <x:c r="F142" s="25"/>
      <x:c r="G142" s="25" t="str">
        <x:v>2026-07-31</x:v>
      </x:c>
      <x:c r="H142" s="33" t="str">
        <x:v>About 888 reviews</x:v>
      </x:c>
      <x:c r="I142" s="21" t="str">
        <x:v>Mixed</x:v>
      </x:c>
      <x:c r="J142" s="21" t="str">
        <x:v>Some reviews disclosed incentives</x:v>
      </x:c>
      <x:c r="K142" s="21" t="str">
        <x:v>Mixed / Positive</x:v>
      </x:c>
      <x:c r="L142" s="21" t="str">
        <x:v>Coverage, satisfaction and sun protection</x:v>
      </x:c>
      <x:c r="M142" s="21" t="str">
        <x:v>Sephora's current mini review base reinforces broad prestige adoption and visible-results appeal.</x:v>
      </x:c>
      <x:c r="N142" s="21" t="str">
        <x:v>Consumers commonly value coverage, satisfaction, color correction and added SPF.</x:v>
      </x:c>
      <x:c r="O142" s="21" t="str">
        <x:v>Critical themes include disappointing formula, smell, texture and shade/finish mismatch.</x:v>
      </x:c>
      <x:c r="P142" s="21" t="str">
        <x:v>Mixed</x:v>
      </x:c>
      <x:c r="Q142" s="21" t="str">
        <x:v>Strong</x:v>
      </x:c>
      <x:c r="R142" s="21"/>
      <x:c r="S142" s="21" t="str">
        <x:v>Yes / U.S. retailer</x:v>
      </x:c>
      <x:c r="T142" s="21" t="str">
        <x:v>High</x:v>
      </x:c>
      <x:c r="U142" s="21" t="str">
        <x:v>SRC-DJ-030</x:v>
      </x:c>
      <x:c r="V142" s="21" t="str">
        <x:v>Retailer tags and aggregates are dynamic.</x:v>
      </x:c>
    </x:row>
    <x:row r="143" ht="126" customHeight="1">
      <x:c r="A143" s="21" t="str">
        <x:v>REV-DJ-004</x:v>
      </x:c>
      <x:c r="B143" s="21" t="str">
        <x:v>KB010</x:v>
      </x:c>
      <x:c r="C143" s="21" t="str">
        <x:v>DJ-P001</x:v>
      </x:c>
      <x:c r="D143" s="21" t="str">
        <x:v>Reddit r/SkincareAddiction</x:v>
      </x:c>
      <x:c r="E143" s="21" t="str">
        <x:v>https://www.reddit.com/r/SkincareAddiction/comments/1b0uu70/how_do_i_use_dr_jart_cicapair_cream_i_cannot_get/</x:v>
      </x:c>
      <x:c r="F143" s="25"/>
      <x:c r="G143" s="25" t="str">
        <x:v>2026-07-31</x:v>
      </x:c>
      <x:c r="H143" s="33" t="str">
        <x:v>Thread and comments</x:v>
      </x:c>
      <x:c r="I143" s="21" t="str">
        <x:v>No</x:v>
      </x:c>
      <x:c r="J143" s="21" t="str">
        <x:v>Community sponsorship/disclosure varies</x:v>
      </x:c>
      <x:c r="K143" s="21" t="str">
        <x:v>Negative / Mixed</x:v>
      </x:c>
      <x:c r="L143" s="21" t="str">
        <x:v>Orange cast / application technique</x:v>
      </x:c>
      <x:c r="M143" s="21" t="str">
        <x:v>A very fair-skinned user could not prevent an orange result; commenters noted the product does not work for every skin tone and advised lighter application.</x:v>
      </x:c>
      <x:c r="N143" s="21" t="str">
        <x:v>Beauty-blender and low-quantity application may improve the finish for some users.</x:v>
      </x:c>
      <x:c r="O143" s="21" t="str">
        <x:v>Tone mismatch can persist even on very fair skin; return risk is meaningful.</x:v>
      </x:c>
      <x:c r="P143" s="21" t="str">
        <x:v>Very fair / redness-prone</x:v>
      </x:c>
      <x:c r="Q143" s="21" t="str">
        <x:v>Low for the user</x:v>
      </x:c>
      <x:c r="R143" s="21"/>
      <x:c r="S143" s="21" t="str">
        <x:v>Unclear</x:v>
      </x:c>
      <x:c r="T143" s="21" t="str">
        <x:v>Low-Medium</x:v>
      </x:c>
      <x:c r="U143" s="21" t="str">
        <x:v>SRC-DJ-037</x:v>
      </x:c>
      <x:c r="V143" s="21" t="str">
        <x:v>Anecdotal and self-selected.</x:v>
      </x:c>
    </x:row>
    <x:row r="144" ht="126" customHeight="1">
      <x:c r="A144" s="21" t="str">
        <x:v>REV-DJ-005</x:v>
      </x:c>
      <x:c r="B144" s="21" t="str">
        <x:v>KB010</x:v>
      </x:c>
      <x:c r="C144" s="21" t="str">
        <x:v>DJ-P001</x:v>
      </x:c>
      <x:c r="D144" s="21" t="str">
        <x:v>Reddit r/SkincareAddiction</x:v>
      </x:c>
      <x:c r="E144" s="21" t="str">
        <x:v>https://www.reddit.com/r/SkincareAddiction/comments/c7sjfr/review_dr_jart_cicapair_color_correcting_treatment/</x:v>
      </x:c>
      <x:c r="F144" s="25"/>
      <x:c r="G144" s="25" t="str">
        <x:v>2026-07-31</x:v>
      </x:c>
      <x:c r="H144" s="33" t="str">
        <x:v>High-engagement thread</x:v>
      </x:c>
      <x:c r="I144" s="21" t="str">
        <x:v>No</x:v>
      </x:c>
      <x:c r="J144" s="21" t="str">
        <x:v>Community sponsorship/disclosure varies</x:v>
      </x:c>
      <x:c r="K144" s="21" t="str">
        <x:v>Positive / Mixed</x:v>
      </x:c>
      <x:c r="L144" s="21" t="str">
        <x:v>Dramatic redness correction versus cakiness</x:v>
      </x:c>
      <x:c r="M144" s="21" t="str">
        <x:v>A highly visible before/after post generated strong awareness while comments repeatedly discussed avoiding a cakey finish.</x:v>
      </x:c>
      <x:c r="N144" s="21" t="str">
        <x:v>The visual transformation is exceptionally content-friendly and easy to understand.</x:v>
      </x:c>
      <x:c r="O144" s="21" t="str">
        <x:v>Users may struggle with amount, blending and texture, especially on dry skin.</x:v>
      </x:c>
      <x:c r="P144" s="21" t="str">
        <x:v>Redness-prone / mixed</x:v>
      </x:c>
      <x:c r="Q144" s="21" t="str">
        <x:v>Mixed</x:v>
      </x:c>
      <x:c r="R144" s="21"/>
      <x:c r="S144" s="21" t="str">
        <x:v>Unclear</x:v>
      </x:c>
      <x:c r="T144" s="21" t="str">
        <x:v>Low-Medium</x:v>
      </x:c>
      <x:c r="U144" s="21" t="str">
        <x:v>SRC-DJ-037</x:v>
      </x:c>
      <x:c r="V144" s="21" t="str">
        <x:v>Anecdotal; older formula/version may differ from current product.</x:v>
      </x:c>
    </x:row>
    <x:row r="145" ht="126" customHeight="1">
      <x:c r="A145" s="21" t="str">
        <x:v>REV-DJ-006</x:v>
      </x:c>
      <x:c r="B145" s="21" t="str">
        <x:v>KB010</x:v>
      </x:c>
      <x:c r="C145" s="21" t="str">
        <x:v>DJ-P002</x:v>
      </x:c>
      <x:c r="D145" s="21" t="str">
        <x:v>Dr.Jart+ Official DTC</x:v>
      </x:c>
      <x:c r="E145" s="21" t="str">
        <x:v>https://www.drjart.com/product/28258/111504/moisturizers/ceramidintm-skin-barrier-korean-moisturizing-face-cream</x:v>
      </x:c>
      <x:c r="F145" s="25"/>
      <x:c r="G145" s="25" t="str">
        <x:v>2026-07-31</x:v>
      </x:c>
      <x:c r="H145" s="33" t="str">
        <x:v>About 462 reviews</x:v>
      </x:c>
      <x:c r="I145" s="21" t="str">
        <x:v>Mixed verification status</x:v>
      </x:c>
      <x:c r="J145" s="21" t="str">
        <x:v>Brand-owned review module</x:v>
      </x:c>
      <x:c r="K145" s="21" t="str">
        <x:v>Positive</x:v>
      </x:c>
      <x:c r="L145" s="21" t="str">
        <x:v>Barrier comfort / rich hydration</x:v>
      </x:c>
      <x:c r="M145" s="21" t="str">
        <x:v>Official reviews emphasize rich, comforting moisture and repeat use for dry or stressed skin.</x:v>
      </x:c>
      <x:c r="N145" s="21" t="str">
        <x:v>Strong winter, retinoid and barrier-routine fit with prestige sensory experience.</x:v>
      </x:c>
      <x:c r="O145" s="21" t="str">
        <x:v>Brand-owned review module does not establish comparative efficacy or adverse-event prevalence.</x:v>
      </x:c>
      <x:c r="P145" s="21" t="str">
        <x:v>Dry, sensitive, barrier-stressed</x:v>
      </x:c>
      <x:c r="Q145" s="21" t="str">
        <x:v>Strong</x:v>
      </x:c>
      <x:c r="R145" s="21"/>
      <x:c r="S145" s="21" t="str">
        <x:v>Global/unclear</x:v>
      </x:c>
      <x:c r="T145" s="21" t="str">
        <x:v>Medium-High</x:v>
      </x:c>
      <x:c r="U145" s="21" t="str">
        <x:v>SRC-DJ-016</x:v>
      </x:c>
      <x:c r="V145" s="21" t="str">
        <x:v>Clinical repair language needs underlying U.S.-usable substantiation.</x:v>
      </x:c>
    </x:row>
    <x:row r="146" ht="126" customHeight="1">
      <x:c r="A146" s="21" t="str">
        <x:v>REV-DJ-007</x:v>
      </x:c>
      <x:c r="B146" s="21" t="str">
        <x:v>KB010</x:v>
      </x:c>
      <x:c r="C146" s="21" t="str">
        <x:v>DJ-P002</x:v>
      </x:c>
      <x:c r="D146" s="21" t="str">
        <x:v>Amazon U.S.</x:v>
      </x:c>
      <x:c r="E146" s="21" t="str">
        <x:v>https://www.amazon.com/dp/B015RYQBIS</x:v>
      </x:c>
      <x:c r="F146" s="25"/>
      <x:c r="G146" s="25" t="str">
        <x:v>2026-07-31</x:v>
      </x:c>
      <x:c r="H146" s="33" t="str">
        <x:v>4.7/2,242; 600+ bought/month</x:v>
      </x:c>
      <x:c r="I146" s="21" t="str">
        <x:v>Mixed / not individually audited</x:v>
      </x:c>
      <x:c r="J146" s="21" t="str">
        <x:v>Marketplace review ecosystem</x:v>
      </x:c>
      <x:c r="K146" s="21" t="str">
        <x:v>Positive</x:v>
      </x:c>
      <x:c r="L146" s="21" t="str">
        <x:v>Durable hero satisfaction</x:v>
      </x:c>
      <x:c r="M146" s="21" t="str">
        <x:v>Ceramidin showed the deepest Amazon review count and highest rating among the sampled heroes.</x:v>
      </x:c>
      <x:c r="N146" s="21" t="str">
        <x:v>High satisfaction, rich hydration and long-running repeat-use credibility.</x:v>
      </x:c>
      <x:c r="O146" s="21" t="str">
        <x:v>Amazon review aggregate does not isolate formula versions, counterfeit concerns or skin-type mismatch.</x:v>
      </x:c>
      <x:c r="P146" s="21" t="str">
        <x:v>Dry and mixed</x:v>
      </x:c>
      <x:c r="Q146" s="21" t="str">
        <x:v>Strong</x:v>
      </x:c>
      <x:c r="R146" s="21"/>
      <x:c r="S146" s="21" t="str">
        <x:v>U.S. marketplace</x:v>
      </x:c>
      <x:c r="T146" s="21" t="str">
        <x:v>High</x:v>
      </x:c>
      <x:c r="U146" s="21" t="str">
        <x:v>SRC-DJ-021</x:v>
      </x:c>
      <x:c r="V146" s="21" t="str">
        <x:v>Dynamic public display.</x:v>
      </x:c>
    </x:row>
    <x:row r="147" ht="126" customHeight="1">
      <x:c r="A147" s="21" t="str">
        <x:v>REV-DJ-008</x:v>
      </x:c>
      <x:c r="B147" s="21" t="str">
        <x:v>KB010</x:v>
      </x:c>
      <x:c r="C147" s="21" t="str">
        <x:v>DJ-P002</x:v>
      </x:c>
      <x:c r="D147" s="21" t="str">
        <x:v>Marie Claire</x:v>
      </x:c>
      <x:c r="E147" s="21" t="str">
        <x:v>https://www.marieclaire.com/beauty/best-moisturizers-sensitive-skin/</x:v>
      </x:c>
      <x:c r="F147" s="25"/>
      <x:c r="G147" s="25" t="str">
        <x:v>2026-07-31</x:v>
      </x:c>
      <x:c r="H147" s="33" t="str">
        <x:v>Editor-tested roundup</x:v>
      </x:c>
      <x:c r="I147" s="21" t="str">
        <x:v>No</x:v>
      </x:c>
      <x:c r="J147" s="21" t="str">
        <x:v>Affiliate-commerce context</x:v>
      </x:c>
      <x:c r="K147" s="21" t="str">
        <x:v>Positive / Mixed</x:v>
      </x:c>
      <x:c r="L147" s="21" t="str">
        <x:v>Sensitive-skin hydration versus pilling</x:v>
      </x:c>
      <x:c r="M147" s="21" t="str">
        <x:v>Editorial testing described strong, long-lasting hydration while noting that the cream may pill under makeup.</x:v>
      </x:c>
      <x:c r="N147" s="21" t="str">
        <x:v>Prestige texture and durable moisture suit dry/sensitive routines.</x:v>
      </x:c>
      <x:c r="O147" s="21" t="str">
        <x:v>Layering compatibility can be a problem under complexion products.</x:v>
      </x:c>
      <x:c r="P147" s="21" t="str">
        <x:v>Sensitive / dry</x:v>
      </x:c>
      <x:c r="Q147" s="21" t="str">
        <x:v>Positive</x:v>
      </x:c>
      <x:c r="R147" s="21"/>
      <x:c r="S147" s="21" t="str">
        <x:v>Yes / U.S. editorial</x:v>
      </x:c>
      <x:c r="T147" s="21" t="str">
        <x:v>Medium-High</x:v>
      </x:c>
      <x:c r="U147" s="21" t="str">
        <x:v>SRC-DJ-042</x:v>
      </x:c>
      <x:c r="V147" s="21" t="str">
        <x:v>Independent editorial evidence, not a clinical trial.</x:v>
      </x:c>
    </x:row>
    <x:row r="148" ht="126" customHeight="1">
      <x:c r="A148" s="21" t="str">
        <x:v>REV-DJ-009</x:v>
      </x:c>
      <x:c r="B148" s="21" t="str">
        <x:v>KB010</x:v>
      </x:c>
      <x:c r="C148" s="21" t="str">
        <x:v>DJ-P002</x:v>
      </x:c>
      <x:c r="D148" s="21" t="str">
        <x:v>Reddit r/AsianBeauty</x:v>
      </x:c>
      <x:c r="E148" s="21" t="str">
        <x:v>https://www.reddit.com/r/AsianBeauty/comments/mvwubp/best_worst_of_dr_jart/</x:v>
      </x:c>
      <x:c r="F148" s="25"/>
      <x:c r="G148" s="25" t="str">
        <x:v>2026-07-31</x:v>
      </x:c>
      <x:c r="H148" s="33" t="str">
        <x:v>Thread and comments</x:v>
      </x:c>
      <x:c r="I148" s="21" t="str">
        <x:v>No</x:v>
      </x:c>
      <x:c r="J148" s="21" t="str">
        <x:v>Community sponsorship/disclosure varies</x:v>
      </x:c>
      <x:c r="K148" s="21" t="str">
        <x:v>Mixed</x:v>
      </x:c>
      <x:c r="L148" s="21" t="str">
        <x:v>Holy-grail barrier recovery versus texture, breakouts and price</x:v>
      </x:c>
      <x:c r="M148" s="21" t="str">
        <x:v>Multiple users call Ceramidin a holy grail or barrier saver, while others describe stickiness, inadequate moisture, scent or breakouts.</x:v>
      </x:c>
      <x:c r="N148" s="21" t="str">
        <x:v>Strong barrier-recovery reputation and repurchase intent among dry-skin users.</x:v>
      </x:c>
      <x:c r="O148" s="21" t="str">
        <x:v>Price, rich/sticky texture and individual irritation or breakout reports limit universal fit.</x:v>
      </x:c>
      <x:c r="P148" s="21" t="str">
        <x:v>Dry, sensitive, acne-prone and mixed</x:v>
      </x:c>
      <x:c r="Q148" s="21" t="str">
        <x:v>Polarized-positive</x:v>
      </x:c>
      <x:c r="R148" s="21"/>
      <x:c r="S148" s="21" t="str">
        <x:v>Unclear</x:v>
      </x:c>
      <x:c r="T148" s="21" t="str">
        <x:v>Low-Medium</x:v>
      </x:c>
      <x:c r="U148" s="21" t="str">
        <x:v>SRC-DJ-040</x:v>
      </x:c>
      <x:c r="V148" s="21" t="str">
        <x:v>Anecdotal; older formula/version may differ.</x:v>
      </x:c>
    </x:row>
    <x:row r="149" ht="126" customHeight="1">
      <x:c r="A149" s="21" t="str">
        <x:v>REV-DJ-010</x:v>
      </x:c>
      <x:c r="B149" s="21" t="str">
        <x:v>KB010</x:v>
      </x:c>
      <x:c r="C149" s="21" t="str">
        <x:v>DJ-P003</x:v>
      </x:c>
      <x:c r="D149" s="21" t="str">
        <x:v>Dr.Jart+ Official DTC</x:v>
      </x:c>
      <x:c r="E149" s="21" t="str">
        <x:v>https://www.drjart.com/product/28258/116789/moisturizers/cicapairtm-sensitive-skin-korean-face-moisturizer-for-redness-with-centella-asiatica</x:v>
      </x:c>
      <x:c r="F149" s="25"/>
      <x:c r="G149" s="25" t="str">
        <x:v>2026-07-31</x:v>
      </x:c>
      <x:c r="H149" s="33" t="str">
        <x:v>About 564 reviews</x:v>
      </x:c>
      <x:c r="I149" s="21" t="str">
        <x:v>Mixed verification status</x:v>
      </x:c>
      <x:c r="J149" s="21" t="str">
        <x:v>Brand-owned review module</x:v>
      </x:c>
      <x:c r="K149" s="21" t="str">
        <x:v>Positive</x:v>
      </x:c>
      <x:c r="L149" s="21" t="str">
        <x:v>Calming daily moisturizer</x:v>
      </x:c>
      <x:c r="M149" s="21" t="str">
        <x:v>Official aggregate supports consumer interest in an untinted Cicapair moisturizer for visible redness and sensitivity.</x:v>
      </x:c>
      <x:c r="N149" s="21" t="str">
        <x:v>Easier daily skincare role than the pigment corrector and strong franchise cross-sell.</x:v>
      </x:c>
      <x:c r="O149" s="21" t="str">
        <x:v>Redness/barrier claims and adverse-event prevalence require independent substantiation and monitoring.</x:v>
      </x:c>
      <x:c r="P149" s="21" t="str">
        <x:v>Sensitive / redness-prone</x:v>
      </x:c>
      <x:c r="Q149" s="21" t="str">
        <x:v>Strong</x:v>
      </x:c>
      <x:c r="R149" s="21"/>
      <x:c r="S149" s="21" t="str">
        <x:v>Global/unclear</x:v>
      </x:c>
      <x:c r="T149" s="21" t="str">
        <x:v>Medium-High</x:v>
      </x:c>
      <x:c r="U149" s="21" t="str">
        <x:v>SRC-DJ-017</x:v>
      </x:c>
      <x:c r="V149" s="21" t="str">
        <x:v>Brand-owned evidence.</x:v>
      </x:c>
    </x:row>
    <x:row r="150" ht="126" customHeight="1">
      <x:c r="A150" s="21" t="str">
        <x:v>REV-DJ-011</x:v>
      </x:c>
      <x:c r="B150" s="21" t="str">
        <x:v>KB010</x:v>
      </x:c>
      <x:c r="C150" s="21" t="str">
        <x:v>DJ-P003</x:v>
      </x:c>
      <x:c r="D150" s="21" t="str">
        <x:v>Amazon U.S.</x:v>
      </x:c>
      <x:c r="E150" s="21" t="str">
        <x:v>https://www.amazon.com/dp/B0D2GG3M5V</x:v>
      </x:c>
      <x:c r="F150" s="25"/>
      <x:c r="G150" s="25" t="str">
        <x:v>2026-07-31</x:v>
      </x:c>
      <x:c r="H150" s="33" t="str">
        <x:v>4.5/644; 800+ bought/month</x:v>
      </x:c>
      <x:c r="I150" s="21" t="str">
        <x:v>Mixed / not individually audited</x:v>
      </x:c>
      <x:c r="J150" s="21" t="str">
        <x:v>Marketplace review ecosystem</x:v>
      </x:c>
      <x:c r="K150" s="21" t="str">
        <x:v>Positive</x:v>
      </x:c>
      <x:c r="L150" s="21" t="str">
        <x:v>Current Cicapair skincare demand</x:v>
      </x:c>
      <x:c r="M150" s="21" t="str">
        <x:v>The untinted moisturizer has meaningful monthly demand and a strong rating at the full $52 price.</x:v>
      </x:c>
      <x:c r="N150" s="21" t="str">
        <x:v>Clear sensitive-skin role and diversified demand beyond the viral color corrector.</x:v>
      </x:c>
      <x:c r="O150" s="21" t="str">
        <x:v>Rating does not establish suitability for rosacea, acne or post-procedure skin.</x:v>
      </x:c>
      <x:c r="P150" s="21" t="str">
        <x:v>Mixed</x:v>
      </x:c>
      <x:c r="Q150" s="21" t="str">
        <x:v>Strong</x:v>
      </x:c>
      <x:c r="R150" s="21"/>
      <x:c r="S150" s="21" t="str">
        <x:v>U.S. marketplace</x:v>
      </x:c>
      <x:c r="T150" s="21" t="str">
        <x:v>High</x:v>
      </x:c>
      <x:c r="U150" s="21" t="str">
        <x:v>SRC-DJ-022</x:v>
      </x:c>
      <x:c r="V150" s="21" t="str">
        <x:v>Dynamic public signal.</x:v>
      </x:c>
    </x:row>
    <x:row r="151" ht="126" customHeight="1">
      <x:c r="A151" s="21" t="str">
        <x:v>REV-DJ-012</x:v>
      </x:c>
      <x:c r="B151" s="21" t="str">
        <x:v>KB010</x:v>
      </x:c>
      <x:c r="C151" s="21" t="str">
        <x:v>DJ-P004</x:v>
      </x:c>
      <x:c r="D151" s="21" t="str">
        <x:v>Dr.Jart+ Official DTC</x:v>
      </x:c>
      <x:c r="E151" s="21" t="str">
        <x:v>https://www.drjart.com/product/28256/140886/masks/cryo-rubbertm-moisturizing-korean-face-mask-with-hyaluronic-acid-plus-peptide</x:v>
      </x:c>
      <x:c r="F151" s="25"/>
      <x:c r="G151" s="25" t="str">
        <x:v>2026-07-31</x:v>
      </x:c>
      <x:c r="H151" s="33" t="str">
        <x:v>About 163 reviews</x:v>
      </x:c>
      <x:c r="I151" s="21" t="str">
        <x:v>Mixed verification status</x:v>
      </x:c>
      <x:c r="J151" s="21" t="str">
        <x:v>Brand-owned review module</x:v>
      </x:c>
      <x:c r="K151" s="21" t="str">
        <x:v>Positive</x:v>
      </x:c>
      <x:c r="L151" s="21" t="str">
        <x:v>Cooling treatment ritual</x:v>
      </x:c>
      <x:c r="M151" s="21" t="str">
        <x:v>Official reviews support immediate cooling, moisture and special-occasion appeal.</x:v>
      </x:c>
      <x:c r="N151" s="21" t="str">
        <x:v>Distinctive two-step ritual, visible glow and giftability.</x:v>
      </x:c>
      <x:c r="O151" s="21" t="str">
        <x:v>Single-use price, fit, scent and packaging waste can deter repeat purchase.</x:v>
      </x:c>
      <x:c r="P151" s="21" t="str">
        <x:v>Dehydrated / mixed</x:v>
      </x:c>
      <x:c r="Q151" s="21" t="str">
        <x:v>Occasional treat</x:v>
      </x:c>
      <x:c r="R151" s="21" t="str">
        <x:v>Biodance</x:v>
      </x:c>
      <x:c r="S151" s="21" t="str">
        <x:v>Global/unclear</x:v>
      </x:c>
      <x:c r="T151" s="21" t="str">
        <x:v>Medium-High</x:v>
      </x:c>
      <x:c r="U151" s="21" t="str">
        <x:v>SRC-DJ-018</x:v>
      </x:c>
      <x:c r="V151" s="21" t="str">
        <x:v>Brand clinical percentages require underlying protocols.</x:v>
      </x:c>
    </x:row>
    <x:row r="152" ht="126" customHeight="1">
      <x:c r="A152" s="21" t="str">
        <x:v>REV-DJ-013</x:v>
      </x:c>
      <x:c r="B152" s="21" t="str">
        <x:v>KB010</x:v>
      </x:c>
      <x:c r="C152" s="21" t="str">
        <x:v>DJ-P004</x:v>
      </x:c>
      <x:c r="D152" s="21" t="str">
        <x:v>Amazon U.S.</x:v>
      </x:c>
      <x:c r="E152" s="21" t="str">
        <x:v>https://www.amazon.com/dp/B0FX3BBXYR</x:v>
      </x:c>
      <x:c r="F152" s="25"/>
      <x:c r="G152" s="25" t="str">
        <x:v>2026-07-31</x:v>
      </x:c>
      <x:c r="H152" s="33" t="str">
        <x:v>4.6/124; 1K+ bought/month</x:v>
      </x:c>
      <x:c r="I152" s="21" t="str">
        <x:v>Mixed / not individually audited</x:v>
      </x:c>
      <x:c r="J152" s="21" t="str">
        <x:v>Marketplace review ecosystem</x:v>
      </x:c>
      <x:c r="K152" s="21" t="str">
        <x:v>Positive</x:v>
      </x:c>
      <x:c r="L152" s="21" t="str">
        <x:v>Fast adoption of a visual mask</x:v>
      </x:c>
      <x:c r="M152" s="21" t="str">
        <x:v>A relatively new ASIN reached a 1K+ monthly purchase badge with a 4.6 rating.</x:v>
      </x:c>
      <x:c r="N152" s="21" t="str">
        <x:v>High trial velocity and visual/gift appeal.</x:v>
      </x:c>
      <x:c r="O152" s="21" t="str">
        <x:v>Small review base relative to badge volume; return and repeat data are not public.</x:v>
      </x:c>
      <x:c r="P152" s="21" t="str">
        <x:v>Mixed</x:v>
      </x:c>
      <x:c r="Q152" s="21" t="str">
        <x:v>Promising</x:v>
      </x:c>
      <x:c r="R152" s="21"/>
      <x:c r="S152" s="21" t="str">
        <x:v>U.S. marketplace</x:v>
      </x:c>
      <x:c r="T152" s="21" t="str">
        <x:v>High</x:v>
      </x:c>
      <x:c r="U152" s="21" t="str">
        <x:v>SRC-DJ-023</x:v>
      </x:c>
      <x:c r="V152" s="21" t="str">
        <x:v>Dynamic public signal.</x:v>
      </x:c>
    </x:row>
    <x:row r="153" ht="126" customHeight="1">
      <x:c r="A153" s="21" t="str">
        <x:v>REV-DJ-014</x:v>
      </x:c>
      <x:c r="B153" s="21" t="str">
        <x:v>KB010</x:v>
      </x:c>
      <x:c r="C153" s="21" t="str">
        <x:v>DJ-P004</x:v>
      </x:c>
      <x:c r="D153" s="21" t="str">
        <x:v>Reddit r/AsianBeauty</x:v>
      </x:c>
      <x:c r="E153" s="21" t="str">
        <x:v>https://www.reddit.com/r/AsianBeauty/comments/mvwubp/best_worst_of_dr_jart/</x:v>
      </x:c>
      <x:c r="F153" s="25"/>
      <x:c r="G153" s="25" t="str">
        <x:v>2026-07-31</x:v>
      </x:c>
      <x:c r="H153" s="33" t="str">
        <x:v>Thread and comments</x:v>
      </x:c>
      <x:c r="I153" s="21" t="str">
        <x:v>No</x:v>
      </x:c>
      <x:c r="J153" s="21" t="str">
        <x:v>Community sponsorship/disclosure varies</x:v>
      </x:c>
      <x:c r="K153" s="21" t="str">
        <x:v>Positive / Negative</x:v>
      </x:c>
      <x:c r="L153" s="21" t="str">
        <x:v>Loved treatment, unacceptable single-use price</x:v>
      </x:c>
      <x:c r="M153" s="21" t="str">
        <x:v>Users praise the rubber-mask experience but call the price too high for a single-use product.</x:v>
      </x:c>
      <x:c r="N153" s="21" t="str">
        <x:v>Memorable sensory ritual and treat/gift use.</x:v>
      </x:c>
      <x:c r="O153" s="21" t="str">
        <x:v>Poor value and waste undermine frequent repurchase.</x:v>
      </x:c>
      <x:c r="P153" s="21" t="str">
        <x:v>Mask enthusiasts</x:v>
      </x:c>
      <x:c r="Q153" s="21" t="str">
        <x:v>Low-frequency treat</x:v>
      </x:c>
      <x:c r="R153" s="21"/>
      <x:c r="S153" s="21" t="str">
        <x:v>Unclear</x:v>
      </x:c>
      <x:c r="T153" s="21" t="str">
        <x:v>Low-Medium</x:v>
      </x:c>
      <x:c r="U153" s="21" t="str">
        <x:v>SRC-DJ-040</x:v>
      </x:c>
      <x:c r="V153" s="21" t="str">
        <x:v>Anecdotal.</x:v>
      </x:c>
    </x:row>
    <x:row r="154" ht="126" customHeight="1">
      <x:c r="A154" s="21" t="str">
        <x:v>REV-DJ-015</x:v>
      </x:c>
      <x:c r="B154" s="21" t="str">
        <x:v>KB010</x:v>
      </x:c>
      <x:c r="C154" s="21" t="str">
        <x:v>DJ-P005</x:v>
      </x:c>
      <x:c r="D154" s="21" t="str">
        <x:v>Sephora U.S.</x:v>
      </x:c>
      <x:c r="E154" s="21" t="str">
        <x:v>https://www.sephora.com/product/premium-bb-tinted-moisturizer-with-niacinamide-spf-40-P501005</x:v>
      </x:c>
      <x:c r="F154" s="25"/>
      <x:c r="G154" s="25" t="str">
        <x:v>2026-07-31</x:v>
      </x:c>
      <x:c r="H154" s="33" t="str">
        <x:v>About 1.2K reviews; 105K loves</x:v>
      </x:c>
      <x:c r="I154" s="21" t="str">
        <x:v>Mixed</x:v>
      </x:c>
      <x:c r="J154" s="21" t="str">
        <x:v>Retailer reviews may include incentives</x:v>
      </x:c>
      <x:c r="K154" s="21" t="str">
        <x:v>Positive</x:v>
      </x:c>
      <x:c r="L154" s="21" t="str">
        <x:v>Natural finish / high-SPF complexion hybrid</x:v>
      </x:c>
      <x:c r="M154" s="21" t="str">
        <x:v>Large review and loves signals support strong prestige adoption of the six-shade BB franchise.</x:v>
      </x:c>
      <x:c r="N154" s="21" t="str">
        <x:v>Natural coverage, SPF 40, skincare ingredients and easy everyday wear.</x:v>
      </x:c>
      <x:c r="O154" s="21" t="str">
        <x:v>Six shades create fit/inclusivity and return risk; essential oils/fragrance may not suit reactive skin.</x:v>
      </x:c>
      <x:c r="P154" s="21" t="str">
        <x:v>Complexion users / mixed</x:v>
      </x:c>
      <x:c r="Q154" s="21" t="str">
        <x:v>Strong</x:v>
      </x:c>
      <x:c r="R154" s="21"/>
      <x:c r="S154" s="21" t="str">
        <x:v>Yes / U.S. retailer</x:v>
      </x:c>
      <x:c r="T154" s="21" t="str">
        <x:v>High</x:v>
      </x:c>
      <x:c r="U154" s="21" t="str">
        <x:v>SRC-DJ-031</x:v>
      </x:c>
      <x:c r="V154" s="21" t="str">
        <x:v>Dynamic retailer display.</x:v>
      </x:c>
    </x:row>
    <x:row r="155" ht="126" customHeight="1">
      <x:c r="A155" s="21" t="str">
        <x:v>REV-DJ-016</x:v>
      </x:c>
      <x:c r="B155" s="21" t="str">
        <x:v>KB010</x:v>
      </x:c>
      <x:c r="C155" s="21"/>
      <x:c r="D155" s="21" t="str">
        <x:v>Reddit r/AsianBeauty</x:v>
      </x:c>
      <x:c r="E155" s="21" t="str">
        <x:v>https://www.reddit.com/r/AsianBeauty/comments/137852a/why_doesnt_dr_jart_get_more_love/</x:v>
      </x:c>
      <x:c r="F155" s="25"/>
      <x:c r="G155" s="25" t="str">
        <x:v>2026-07-31</x:v>
      </x:c>
      <x:c r="H155" s="33" t="str">
        <x:v>Thread and comments</x:v>
      </x:c>
      <x:c r="I155" s="21" t="str">
        <x:v>No</x:v>
      </x:c>
      <x:c r="J155" s="21" t="str">
        <x:v>Community sponsorship/disclosure varies</x:v>
      </x:c>
      <x:c r="K155" s="21" t="str">
        <x:v>Mixed / Negative</x:v>
      </x:c>
      <x:c r="L155" s="21" t="str">
        <x:v>Prestige legacy versus K-Beauty value gap</x:v>
      </x:c>
      <x:c r="M155" s="21" t="str">
        <x:v>Users recognize Dr.Jart+ as an earlier gateway K-Beauty brand but repeatedly call it overpriced relative to newer Korean alternatives; several still cite Cicapair, BB and Ceramidin loyalty.</x:v>
      </x:c>
      <x:c r="N155" s="21" t="str">
        <x:v>Durable brand recognition and hero-product attachment remain strong.</x:v>
      </x:c>
      <x:c r="O155" s="21" t="str">
        <x:v>Price, fragrance, formula changes, cross-border gaps and abundant cheaper alternatives reduce value perception.</x:v>
      </x:c>
      <x:c r="P155" s="21" t="str">
        <x:v>K-Beauty enthusiasts</x:v>
      </x:c>
      <x:c r="Q155" s="21" t="str">
        <x:v>Mixed</x:v>
      </x:c>
      <x:c r="R155" s="21"/>
      <x:c r="S155" s="21" t="str">
        <x:v>Unclear</x:v>
      </x:c>
      <x:c r="T155" s="21" t="str">
        <x:v>Low-Medium</x:v>
      </x:c>
      <x:c r="U155" s="21" t="str">
        <x:v>SRC-DJ-039</x:v>
      </x:c>
      <x:c r="V155" s="21" t="str">
        <x:v>Anecdotal and not necessarily U.S.-specific.</x:v>
      </x:c>
    </x:row>
    <x:row r="156" ht="132" customHeight="1">
      <x:c r="A156" s="21" t="str">
        <x:v>REV-TOR-001</x:v>
      </x:c>
      <x:c r="B156" s="21" t="str">
        <x:v>KB011</x:v>
      </x:c>
      <x:c r="C156" s="21" t="str">
        <x:v>TOR-P001</x:v>
      </x:c>
      <x:c r="D156" s="21" t="str">
        <x:v>Amazon U.S.</x:v>
      </x:c>
      <x:c r="E156" s="21" t="str">
        <x:v>https://www.amazon.com/dp/B07WZ2YTDP</x:v>
      </x:c>
      <x:c r="F156" s="25"/>
      <x:c r="G156" s="25" t="str">
        <x:v>2026-08-01</x:v>
      </x:c>
      <x:c r="H156" s="33" t="str">
        <x:v>4.5/4,207; 9K+ bought/month</x:v>
      </x:c>
      <x:c r="I156" s="21" t="str">
        <x:v>Mixed / not individually audited</x:v>
      </x:c>
      <x:c r="J156" s="21" t="str">
        <x:v>Marketplace review ecosystem</x:v>
      </x:c>
      <x:c r="K156" s="21" t="str">
        <x:v>Positive</x:v>
      </x:c>
      <x:c r="L156" s="21" t="str">
        <x:v>Flagship hydration and absorption</x:v>
      </x:c>
      <x:c r="M156" s="21" t="str">
        <x:v>The deepest review and purchase evidence among Torriden's sampled heroes supports strong mainstream acceptance.</x:v>
      </x:c>
      <x:c r="N156" s="21" t="str">
        <x:v>Lightweight, fast-absorbing, layerable hydration and good value for 50 mL.</x:v>
      </x:c>
      <x:c r="O156" s="21" t="str">
        <x:v>Aggregate does not isolate formula versions, incentives, authenticity concerns or people who found it underwhelming/drying.</x:v>
      </x:c>
      <x:c r="P156" s="21" t="str">
        <x:v>Mixed</x:v>
      </x:c>
      <x:c r="Q156" s="21" t="str">
        <x:v>Strong public demand signal</x:v>
      </x:c>
      <x:c r="R156" s="21"/>
      <x:c r="S156" s="21" t="str">
        <x:v>U.S. marketplace</x:v>
      </x:c>
      <x:c r="T156" s="21" t="str">
        <x:v>High</x:v>
      </x:c>
      <x:c r="U156" s="21" t="str">
        <x:v>SRC-TOR-016</x:v>
      </x:c>
      <x:c r="V156" s="21" t="str">
        <x:v>Dynamic public display; repeat-purchase rate is not public.</x:v>
      </x:c>
    </x:row>
    <x:row r="157" ht="132" customHeight="1">
      <x:c r="A157" s="21" t="str">
        <x:v>REV-TOR-002</x:v>
      </x:c>
      <x:c r="B157" s="21" t="str">
        <x:v>KB011</x:v>
      </x:c>
      <x:c r="C157" s="21" t="str">
        <x:v>TOR-P002</x:v>
      </x:c>
      <x:c r="D157" s="21" t="str">
        <x:v>Amazon U.S.</x:v>
      </x:c>
      <x:c r="E157" s="21" t="str">
        <x:v>https://www.amazon.com/dp/B0CMH3QM8V</x:v>
      </x:c>
      <x:c r="F157" s="25"/>
      <x:c r="G157" s="25" t="str">
        <x:v>2026-08-01</x:v>
      </x:c>
      <x:c r="H157" s="33" t="str">
        <x:v>4.5/253; 1K+ bought/month</x:v>
      </x:c>
      <x:c r="I157" s="21" t="str">
        <x:v>Mixed / not individually audited</x:v>
      </x:c>
      <x:c r="J157" s="21" t="str">
        <x:v>Marketplace review ecosystem</x:v>
      </x:c>
      <x:c r="K157" s="21" t="str">
        <x:v>Positive</x:v>
      </x:c>
      <x:c r="L157" s="21" t="str">
        <x:v>Cooling lightweight cream</x:v>
      </x:c>
      <x:c r="M157" s="21" t="str">
        <x:v>The current tube version shows strong early demand and satisfaction at the full $27 price.</x:v>
      </x:c>
      <x:c r="N157" s="21" t="str">
        <x:v>Large 100 mL size, cooling texture and easy pairing with DIVE IN Serum.</x:v>
      </x:c>
      <x:c r="O157" s="21" t="str">
        <x:v>Review depth is modest relative to older jar listing; package/version and seller differences complicate comparison.</x:v>
      </x:c>
      <x:c r="P157" s="21" t="str">
        <x:v>Mixed</x:v>
      </x:c>
      <x:c r="Q157" s="21" t="str">
        <x:v>Promising</x:v>
      </x:c>
      <x:c r="R157" s="21"/>
      <x:c r="S157" s="21" t="str">
        <x:v>U.S. marketplace</x:v>
      </x:c>
      <x:c r="T157" s="21" t="str">
        <x:v>High</x:v>
      </x:c>
      <x:c r="U157" s="21" t="str">
        <x:v>SRC-TOR-017,SRC-TOR-022</x:v>
      </x:c>
      <x:c r="V157" s="21" t="str">
        <x:v>Use version-specific review and complaint monitoring.</x:v>
      </x:c>
    </x:row>
    <x:row r="158" ht="132" customHeight="1">
      <x:c r="A158" s="21" t="str">
        <x:v>REV-TOR-003</x:v>
      </x:c>
      <x:c r="B158" s="21" t="str">
        <x:v>KB011</x:v>
      </x:c>
      <x:c r="C158" s="21" t="str">
        <x:v>TOR-P003</x:v>
      </x:c>
      <x:c r="D158" s="21" t="str">
        <x:v>Amazon U.S.</x:v>
      </x:c>
      <x:c r="E158" s="21" t="str">
        <x:v>https://www.amazon.com/dp/B08TBG2T2C</x:v>
      </x:c>
      <x:c r="F158" s="25"/>
      <x:c r="G158" s="25" t="str">
        <x:v>2026-08-01</x:v>
      </x:c>
      <x:c r="H158" s="33" t="str">
        <x:v>4.7/531; 900+ bought/month</x:v>
      </x:c>
      <x:c r="I158" s="21" t="str">
        <x:v>Mixed / not individually audited</x:v>
      </x:c>
      <x:c r="J158" s="21" t="str">
        <x:v>Marketplace review ecosystem</x:v>
      </x:c>
      <x:c r="K158" s="21" t="str">
        <x:v>Positive</x:v>
      </x:c>
      <x:c r="L158" s="21" t="str">
        <x:v>High-rated watery toner</x:v>
      </x:c>
      <x:c r="M158" s="21" t="str">
        <x:v>The toner had the highest rating among sampled heroes and meaningful monthly velocity.</x:v>
      </x:c>
      <x:c r="N158" s="21" t="str">
        <x:v>Gentle, light, low-cost-per-mL hydration and routine layering.</x:v>
      </x:c>
      <x:c r="O158" s="21" t="str">
        <x:v>May feel redundant or too light; rating does not prove suitability for every sensitive skin type.</x:v>
      </x:c>
      <x:c r="P158" s="21" t="str">
        <x:v>Mixed</x:v>
      </x:c>
      <x:c r="Q158" s="21" t="str">
        <x:v>Strong</x:v>
      </x:c>
      <x:c r="R158" s="21"/>
      <x:c r="S158" s="21" t="str">
        <x:v>U.S. marketplace</x:v>
      </x:c>
      <x:c r="T158" s="21" t="str">
        <x:v>High</x:v>
      </x:c>
      <x:c r="U158" s="21" t="str">
        <x:v>SRC-TOR-018</x:v>
      </x:c>
      <x:c r="V158" s="21" t="str">
        <x:v>Dynamic public display.</x:v>
      </x:c>
    </x:row>
    <x:row r="159" ht="132" customHeight="1">
      <x:c r="A159" s="21" t="str">
        <x:v>REV-TOR-004</x:v>
      </x:c>
      <x:c r="B159" s="21" t="str">
        <x:v>KB011</x:v>
      </x:c>
      <x:c r="C159" s="21" t="str">
        <x:v>TOR-P004</x:v>
      </x:c>
      <x:c r="D159" s="21" t="str">
        <x:v>Amazon U.S.</x:v>
      </x:c>
      <x:c r="E159" s="21" t="str">
        <x:v>https://www.amazon.com/dp/B08TBJY2DP</x:v>
      </x:c>
      <x:c r="F159" s="25"/>
      <x:c r="G159" s="25" t="str">
        <x:v>2026-08-01</x:v>
      </x:c>
      <x:c r="H159" s="33" t="str">
        <x:v>4.7/486; 1K+ bought/month</x:v>
      </x:c>
      <x:c r="I159" s="21" t="str">
        <x:v>Mixed / not individually audited</x:v>
      </x:c>
      <x:c r="J159" s="21" t="str">
        <x:v>Marketplace review ecosystem</x:v>
      </x:c>
      <x:c r="K159" s="21" t="str">
        <x:v>Positive</x:v>
      </x:c>
      <x:c r="L159" s="21" t="str">
        <x:v>Hydrating mask-pack value</x:v>
      </x:c>
      <x:c r="M159" s="21" t="str">
        <x:v>Strong rating and 1K+ monthly badge show recurring treatment-mask demand.</x:v>
      </x:c>
      <x:c r="N159" s="21" t="str">
        <x:v>Good adhesion/hydration themes, recognizable DIVE IN franchise and 10-pack convenience.</x:v>
      </x:c>
      <x:c r="O159" s="21" t="str">
        <x:v>Single-use waste, fit variability and temporary effects; no public repeat rate.</x:v>
      </x:c>
      <x:c r="P159" s="21" t="str">
        <x:v>Mixed</x:v>
      </x:c>
      <x:c r="Q159" s="21" t="str">
        <x:v>Strong</x:v>
      </x:c>
      <x:c r="R159" s="21"/>
      <x:c r="S159" s="21" t="str">
        <x:v>U.S. marketplace</x:v>
      </x:c>
      <x:c r="T159" s="21" t="str">
        <x:v>High</x:v>
      </x:c>
      <x:c r="U159" s="21" t="str">
        <x:v>SRC-TOR-019</x:v>
      </x:c>
      <x:c r="V159" s="21" t="str">
        <x:v>Dynamic public display.</x:v>
      </x:c>
    </x:row>
    <x:row r="160" ht="132" customHeight="1">
      <x:c r="A160" s="21" t="str">
        <x:v>REV-TOR-005</x:v>
      </x:c>
      <x:c r="B160" s="21" t="str">
        <x:v>KB011</x:v>
      </x:c>
      <x:c r="C160" s="21" t="str">
        <x:v>TOR-P005</x:v>
      </x:c>
      <x:c r="D160" s="21" t="str">
        <x:v>Amazon U.S.</x:v>
      </x:c>
      <x:c r="E160" s="21" t="str">
        <x:v>https://www.amazon.com/dp/B0BT3Z7469</x:v>
      </x:c>
      <x:c r="F160" s="25"/>
      <x:c r="G160" s="25" t="str">
        <x:v>2026-08-01</x:v>
      </x:c>
      <x:c r="H160" s="33" t="str">
        <x:v>4.6/480; 700+ bought/month</x:v>
      </x:c>
      <x:c r="I160" s="21" t="str">
        <x:v>Mixed / not individually audited</x:v>
      </x:c>
      <x:c r="J160" s="21" t="str">
        <x:v>Marketplace review ecosystem</x:v>
      </x:c>
      <x:c r="K160" s="21" t="str">
        <x:v>Positive</x:v>
      </x:c>
      <x:c r="L160" s="21" t="str">
        <x:v>Accessible ceramide lip care</x:v>
      </x:c>
      <x:c r="M160" s="21" t="str">
        <x:v>A high rating and meaningful multi-pack demand validate lip care as a secondary hero.</x:v>
      </x:c>
      <x:c r="N160" s="21" t="str">
        <x:v>Glossy occlusive comfort, convenient two-pack and low per-unit price.</x:v>
      </x:c>
      <x:c r="O160" s="21" t="str">
        <x:v>Occlusive/petrolatum feel and lack of shade/flavor novelty may limit appeal versus LANEIGE.</x:v>
      </x:c>
      <x:c r="P160" s="21" t="str">
        <x:v>Dry lips</x:v>
      </x:c>
      <x:c r="Q160" s="21" t="str">
        <x:v>Positive</x:v>
      </x:c>
      <x:c r="R160" s="21"/>
      <x:c r="S160" s="21" t="str">
        <x:v>U.S. marketplace</x:v>
      </x:c>
      <x:c r="T160" s="21" t="str">
        <x:v>High</x:v>
      </x:c>
      <x:c r="U160" s="21" t="str">
        <x:v>SRC-TOR-020</x:v>
      </x:c>
      <x:c r="V160" s="21" t="str">
        <x:v>Dynamic public display.</x:v>
      </x:c>
    </x:row>
    <x:row r="161" ht="132" customHeight="1">
      <x:c r="A161" s="21" t="str">
        <x:v>REV-TOR-006</x:v>
      </x:c>
      <x:c r="B161" s="21" t="str">
        <x:v>KB011</x:v>
      </x:c>
      <x:c r="C161" s="21" t="str">
        <x:v>TOR-P001</x:v>
      </x:c>
      <x:c r="D161" s="21" t="str">
        <x:v>Torriden Official DTC</x:v>
      </x:c>
      <x:c r="E161" s="21" t="str">
        <x:v>https://torriden.us/products/dive-in-serum</x:v>
      </x:c>
      <x:c r="F161" s="25"/>
      <x:c r="G161" s="25" t="str">
        <x:v>2026-08-01</x:v>
      </x:c>
      <x:c r="H161" s="33" t="str">
        <x:v>4.69/208 reviews displayed</x:v>
      </x:c>
      <x:c r="I161" s="21" t="str">
        <x:v>Mixed verification status</x:v>
      </x:c>
      <x:c r="J161" s="21" t="str">
        <x:v>Brand-owned review module</x:v>
      </x:c>
      <x:c r="K161" s="21" t="str">
        <x:v>Positive</x:v>
      </x:c>
      <x:c r="L161" s="21" t="str">
        <x:v>Hydration and lightweight texture</x:v>
      </x:c>
      <x:c r="M161" s="21" t="str">
        <x:v>Official reviews reinforce the flagship's hydration, gentle feel and easy layering.</x:v>
      </x:c>
      <x:c r="N161" s="21" t="str">
        <x:v>Light, non-greasy, soothing and compatible with multi-step routines.</x:v>
      </x:c>
      <x:c r="O161" s="21" t="str">
        <x:v>Brand-owned reviews do not establish comparative efficacy, repeat rate or adverse-event prevalence.</x:v>
      </x:c>
      <x:c r="P161" s="21" t="str">
        <x:v>Dehydrated / sensitive / mixed</x:v>
      </x:c>
      <x:c r="Q161" s="21" t="str">
        <x:v>Strong</x:v>
      </x:c>
      <x:c r="R161" s="21"/>
      <x:c r="S161" s="21" t="str">
        <x:v>Global/unclear</x:v>
      </x:c>
      <x:c r="T161" s="21" t="str">
        <x:v>Medium-High</x:v>
      </x:c>
      <x:c r="U161" s="21" t="str">
        <x:v>SRC-TOR-010</x:v>
      </x:c>
      <x:c r="V161" s="21" t="str">
        <x:v>Brand claims require underlying substantiation.</x:v>
      </x:c>
    </x:row>
    <x:row r="162" ht="132" customHeight="1">
      <x:c r="A162" s="21" t="str">
        <x:v>REV-TOR-007</x:v>
      </x:c>
      <x:c r="B162" s="21" t="str">
        <x:v>KB011</x:v>
      </x:c>
      <x:c r="C162" s="21" t="str">
        <x:v>TOR-P002</x:v>
      </x:c>
      <x:c r="D162" s="21" t="str">
        <x:v>Torriden Official DTC</x:v>
      </x:c>
      <x:c r="E162" s="21" t="str">
        <x:v>https://torriden.us/products/dive-in-soothing-cream</x:v>
      </x:c>
      <x:c r="F162" s="25"/>
      <x:c r="G162" s="25" t="str">
        <x:v>2026-08-01</x:v>
      </x:c>
      <x:c r="H162" s="33" t="str">
        <x:v>About 167 reviews displayed</x:v>
      </x:c>
      <x:c r="I162" s="21" t="str">
        <x:v>Mixed verification status</x:v>
      </x:c>
      <x:c r="J162" s="21" t="str">
        <x:v>Brand-owned review module</x:v>
      </x:c>
      <x:c r="K162" s="21" t="str">
        <x:v>Positive</x:v>
      </x:c>
      <x:c r="L162" s="21" t="str">
        <x:v>Light gel hydration</x:v>
      </x:c>
      <x:c r="M162" s="21" t="str">
        <x:v>Official aggregate supports the cream as a core DIVE IN follow-on purchase.</x:v>
      </x:c>
      <x:c r="N162" s="21" t="str">
        <x:v>Cooling, fast absorption, generous size and comfortable daytime layering.</x:v>
      </x:c>
      <x:c r="O162" s="21" t="str">
        <x:v>Brand-controlled context; some independent users report insufficient moisture, irritation or breakouts.</x:v>
      </x:c>
      <x:c r="P162" s="21" t="str">
        <x:v>Mixed</x:v>
      </x:c>
      <x:c r="Q162" s="21" t="str">
        <x:v>Strong</x:v>
      </x:c>
      <x:c r="R162" s="21"/>
      <x:c r="S162" s="21" t="str">
        <x:v>Global/unclear</x:v>
      </x:c>
      <x:c r="T162" s="21" t="str">
        <x:v>Medium-High</x:v>
      </x:c>
      <x:c r="U162" s="21" t="str">
        <x:v>SRC-TOR-011,SRC-TOR-038,SRC-TOR-039</x:v>
      </x:c>
      <x:c r="V162" s="21" t="str">
        <x:v>Patch testing and version tracking are prudent.</x:v>
      </x:c>
    </x:row>
    <x:row r="163" ht="132" customHeight="1">
      <x:c r="A163" s="21" t="str">
        <x:v>REV-TOR-008</x:v>
      </x:c>
      <x:c r="B163" s="21" t="str">
        <x:v>KB011</x:v>
      </x:c>
      <x:c r="C163" s="21" t="str">
        <x:v>TOR-P001</x:v>
      </x:c>
      <x:c r="D163" s="21" t="str">
        <x:v>Sephora U.S.</x:v>
      </x:c>
      <x:c r="E163" s="21" t="str">
        <x:v>https://www.sephora.com/product/dive-in-serum-P517680</x:v>
      </x:c>
      <x:c r="F163" s="25"/>
      <x:c r="G163" s="25" t="str">
        <x:v>2026-08-01</x:v>
      </x:c>
      <x:c r="H163" s="33" t="str">
        <x:v>264 reviews; 27.9K loves</x:v>
      </x:c>
      <x:c r="I163" s="21" t="str">
        <x:v>Mixed</x:v>
      </x:c>
      <x:c r="J163" s="21" t="str">
        <x:v>Retailer reviews may include incentives</x:v>
      </x:c>
      <x:c r="K163" s="21" t="str">
        <x:v>Positive</x:v>
      </x:c>
      <x:c r="L163" s="21" t="str">
        <x:v>Absorption, hydration and plumping</x:v>
      </x:c>
      <x:c r="M163" s="21" t="str">
        <x:v>Sephora engagement supports rapid prestige-channel adoption since the 2025 U.S. launch.</x:v>
      </x:c>
      <x:c r="N163" s="21" t="str">
        <x:v>Highly rated for absorption, hydration and plumping; $24 price is approachable for Sephora.</x:v>
      </x:c>
      <x:c r="O163" s="21" t="str">
        <x:v>Retailer review and loves counts are dynamic and do not equal sales.</x:v>
      </x:c>
      <x:c r="P163" s="21" t="str">
        <x:v>Mixed</x:v>
      </x:c>
      <x:c r="Q163" s="21" t="str">
        <x:v>Strong</x:v>
      </x:c>
      <x:c r="R163" s="21"/>
      <x:c r="S163" s="21" t="str">
        <x:v>Yes / U.S. retailer</x:v>
      </x:c>
      <x:c r="T163" s="21" t="str">
        <x:v>High</x:v>
      </x:c>
      <x:c r="U163" s="21" t="str">
        <x:v>SRC-TOR-025</x:v>
      </x:c>
      <x:c r="V163" s="21" t="str">
        <x:v>Check individual incentive disclosures before promotional reuse.</x:v>
      </x:c>
    </x:row>
    <x:row r="164" ht="132" customHeight="1">
      <x:c r="A164" s="21" t="str">
        <x:v>REV-TOR-009</x:v>
      </x:c>
      <x:c r="B164" s="21" t="str">
        <x:v>KB011</x:v>
      </x:c>
      <x:c r="C164" s="21" t="str">
        <x:v>TOR-P002</x:v>
      </x:c>
      <x:c r="D164" s="21" t="str">
        <x:v>Sephora U.S.</x:v>
      </x:c>
      <x:c r="E164" s="21" t="str">
        <x:v>https://www.sephora.com/product/dive-in-soothing-cream-P517672</x:v>
      </x:c>
      <x:c r="F164" s="25"/>
      <x:c r="G164" s="25" t="str">
        <x:v>2026-08-01</x:v>
      </x:c>
      <x:c r="H164" s="33" t="str">
        <x:v>188 reviews; 10.1K loves</x:v>
      </x:c>
      <x:c r="I164" s="21" t="str">
        <x:v>Mixed</x:v>
      </x:c>
      <x:c r="J164" s="21" t="str">
        <x:v>Retailer reviews may include incentives</x:v>
      </x:c>
      <x:c r="K164" s="21" t="str">
        <x:v>Positive</x:v>
      </x:c>
      <x:c r="L164" s="21" t="str">
        <x:v>Light feel and absorption</x:v>
      </x:c>
      <x:c r="M164" s="21" t="str">
        <x:v>Sephora engagement corroborates the cream as a credible second hero.</x:v>
      </x:c>
      <x:c r="N164" s="21" t="str">
        <x:v>Light texture, satisfaction and absorption are prominent retailer themes.</x:v>
      </x:c>
      <x:c r="O164" s="21" t="str">
        <x:v>Large loves count does not establish repurchase or net sales; individual irritation remains possible.</x:v>
      </x:c>
      <x:c r="P164" s="21" t="str">
        <x:v>Mixed</x:v>
      </x:c>
      <x:c r="Q164" s="21" t="str">
        <x:v>Positive</x:v>
      </x:c>
      <x:c r="R164" s="21"/>
      <x:c r="S164" s="21" t="str">
        <x:v>Yes / U.S. retailer</x:v>
      </x:c>
      <x:c r="T164" s="21" t="str">
        <x:v>High</x:v>
      </x:c>
      <x:c r="U164" s="21" t="str">
        <x:v>SRC-TOR-026</x:v>
      </x:c>
      <x:c r="V164" s="21" t="str">
        <x:v>Dynamic retailer evidence.</x:v>
      </x:c>
    </x:row>
    <x:row r="165" ht="132" customHeight="1">
      <x:c r="A165" s="21" t="str">
        <x:v>REV-TOR-010</x:v>
      </x:c>
      <x:c r="B165" s="21" t="str">
        <x:v>KB011</x:v>
      </x:c>
      <x:c r="C165" s="21"/>
      <x:c r="D165" s="21" t="str">
        <x:v>Reddit r/koreanskincare</x:v>
      </x:c>
      <x:c r="E165" s="21" t="str">
        <x:v>https://www.reddit.com/r/koreanskincare/comments/1uf8qp6/pls_give_your_honest_reviews_for_torriden_products/</x:v>
      </x:c>
      <x:c r="F165" s="25"/>
      <x:c r="G165" s="25" t="str">
        <x:v>2026-08-01</x:v>
      </x:c>
      <x:c r="H165" s="33" t="str">
        <x:v>Thread and comments</x:v>
      </x:c>
      <x:c r="I165" s="21" t="str">
        <x:v>No</x:v>
      </x:c>
      <x:c r="J165" s="21" t="str">
        <x:v>Community sponsorship/disclosure varies</x:v>
      </x:c>
      <x:c r="K165" s="21" t="str">
        <x:v>Mixed / Positive</x:v>
      </x:c>
      <x:c r="L165" s="21" t="str">
        <x:v>Lightweight hydration versus ordinary performance</x:v>
      </x:c>
      <x:c r="M165" s="21" t="str">
        <x:v>Recent users commonly described Torriden as gentle, fast-absorbing and non-sticky; several liked the cleanser, toner and cream, while others found the serum merely adequate.</x:v>
      </x:c>
      <x:c r="N165" s="21" t="str">
        <x:v>Comfortable sensitive-skin routine, no heavy residue, easy layering and non-stripping cleanser feedback.</x:v>
      </x:c>
      <x:c r="O165" s="21" t="str">
        <x:v>Some saw no special result, wanted more hydration or preferred competing products.</x:v>
      </x:c>
      <x:c r="P165" s="21" t="str">
        <x:v>Sensitive / dry / combination / mixed</x:v>
      </x:c>
      <x:c r="Q165" s="21" t="str">
        <x:v>Mixed-positive</x:v>
      </x:c>
      <x:c r="R165" s="21"/>
      <x:c r="S165" s="21" t="str">
        <x:v>Unclear</x:v>
      </x:c>
      <x:c r="T165" s="21" t="str">
        <x:v>Low-Medium</x:v>
      </x:c>
      <x:c r="U165" s="21" t="str">
        <x:v>SRC-TOR-036</x:v>
      </x:c>
      <x:c r="V165" s="21" t="str">
        <x:v>Anecdotal and self-selected.</x:v>
      </x:c>
    </x:row>
    <x:row r="166" ht="132" customHeight="1">
      <x:c r="A166" s="21" t="str">
        <x:v>REV-TOR-011</x:v>
      </x:c>
      <x:c r="B166" s="21" t="str">
        <x:v>KB011</x:v>
      </x:c>
      <x:c r="C166" s="21" t="str">
        <x:v>TOR-P001</x:v>
      </x:c>
      <x:c r="D166" s="21" t="str">
        <x:v>Reddit r/koreanskincare</x:v>
      </x:c>
      <x:c r="E166" s="21" t="str">
        <x:v>https://www.reddit.com/r/koreanskincare/comments/1op5hdw/anyone_else_find_the_torriden_divein_serum_drying/</x:v>
      </x:c>
      <x:c r="F166" s="25"/>
      <x:c r="G166" s="25" t="str">
        <x:v>2026-08-01</x:v>
      </x:c>
      <x:c r="H166" s="33" t="str">
        <x:v>Thread and comments</x:v>
      </x:c>
      <x:c r="I166" s="21" t="str">
        <x:v>No</x:v>
      </x:c>
      <x:c r="J166" s="21" t="str">
        <x:v>Community sponsorship/disclosure varies</x:v>
      </x:c>
      <x:c r="K166" s="21" t="str">
        <x:v>Negative / Mixed</x:v>
      </x:c>
      <x:c r="L166" s="21" t="str">
        <x:v>Drying or tight feel without sealing</x:v>
      </x:c>
      <x:c r="M166" s="21" t="str">
        <x:v>Users discuss the HA serum feeling drying or tight, especially when not followed with a moisturizer or in dry conditions.</x:v>
      </x:c>
      <x:c r="N166" s="21" t="str">
        <x:v>Some users still find the serum useful when applied to damp skin and sealed with cream.</x:v>
      </x:c>
      <x:c r="O166" s="21" t="str">
        <x:v>Hydration can feel transient; dry climates and incomplete routines may worsen tightness.</x:v>
      </x:c>
      <x:c r="P166" s="21" t="str">
        <x:v>Dry / dehydrated</x:v>
      </x:c>
      <x:c r="Q166" s="21" t="str">
        <x:v>Conditional</x:v>
      </x:c>
      <x:c r="R166" s="21"/>
      <x:c r="S166" s="21" t="str">
        <x:v>Unclear</x:v>
      </x:c>
      <x:c r="T166" s="21" t="str">
        <x:v>Low-Medium</x:v>
      </x:c>
      <x:c r="U166" s="21" t="str">
        <x:v>SRC-TOR-037</x:v>
      </x:c>
      <x:c r="V166" s="21" t="str">
        <x:v>Anecdotal; not a clinical causality finding.</x:v>
      </x:c>
    </x:row>
    <x:row r="167" ht="132" customHeight="1">
      <x:c r="A167" s="21" t="str">
        <x:v>REV-TOR-012</x:v>
      </x:c>
      <x:c r="B167" s="21" t="str">
        <x:v>KB011</x:v>
      </x:c>
      <x:c r="C167" s="21" t="str">
        <x:v>TOR-P002</x:v>
      </x:c>
      <x:c r="D167" s="21" t="str">
        <x:v>Reddit r/KoreanBeauty</x:v>
      </x:c>
      <x:c r="E167" s="21" t="str">
        <x:v>https://www.reddit.com/r/KoreanBeauty/comments/1hiz7oq</x:v>
      </x:c>
      <x:c r="F167" s="25"/>
      <x:c r="G167" s="25" t="str">
        <x:v>2026-08-01</x:v>
      </x:c>
      <x:c r="H167" s="33" t="str">
        <x:v>Thread and comments</x:v>
      </x:c>
      <x:c r="I167" s="21" t="str">
        <x:v>No</x:v>
      </x:c>
      <x:c r="J167" s="21" t="str">
        <x:v>Community sponsorship/disclosure varies</x:v>
      </x:c>
      <x:c r="K167" s="21" t="str">
        <x:v>Negative</x:v>
      </x:c>
      <x:c r="L167" s="21" t="str">
        <x:v>Redness and itchy blotches</x:v>
      </x:c>
      <x:c r="M167" s="21" t="str">
        <x:v>A user reported red, itchy blotches after the DIVE IN cream, illustrating individual sensitivity risk.</x:v>
      </x:c>
      <x:c r="N167" s="21" t="str">
        <x:v>Other commenters may tolerate the cream well; the report does not establish a common defect.</x:v>
      </x:c>
      <x:c r="O167" s="21" t="str">
        <x:v>Potential irritation or allergy requires patch-test guidance and complaint/adverse-event handling.</x:v>
      </x:c>
      <x:c r="P167" s="21" t="str">
        <x:v>Sensitive</x:v>
      </x:c>
      <x:c r="Q167" s="21" t="str">
        <x:v>Low for reporter</x:v>
      </x:c>
      <x:c r="R167" s="21"/>
      <x:c r="S167" s="21" t="str">
        <x:v>Unclear</x:v>
      </x:c>
      <x:c r="T167" s="21" t="str">
        <x:v>Low</x:v>
      </x:c>
      <x:c r="U167" s="21" t="str">
        <x:v>SRC-TOR-038</x:v>
      </x:c>
      <x:c r="V167" s="21" t="str">
        <x:v>Single anecdote; no diagnosis or causality determination.</x:v>
      </x:c>
    </x:row>
    <x:row r="168" ht="132" customHeight="1">
      <x:c r="A168" s="21" t="str">
        <x:v>REV-TOR-013</x:v>
      </x:c>
      <x:c r="B168" s="21" t="str">
        <x:v>KB011</x:v>
      </x:c>
      <x:c r="C168" s="21"/>
      <x:c r="D168" s="21" t="str">
        <x:v>Reddit r/AsianBeauty</x:v>
      </x:c>
      <x:c r="E168" s="21" t="str">
        <x:v>https://www.reddit.com/r/AsianBeauty/comments/1hoy4v2</x:v>
      </x:c>
      <x:c r="F168" s="25"/>
      <x:c r="G168" s="25" t="str">
        <x:v>2026-08-01</x:v>
      </x:c>
      <x:c r="H168" s="33" t="str">
        <x:v>Thread and comments</x:v>
      </x:c>
      <x:c r="I168" s="21" t="str">
        <x:v>No</x:v>
      </x:c>
      <x:c r="J168" s="21" t="str">
        <x:v>Community sponsorship/disclosure varies</x:v>
      </x:c>
      <x:c r="K168" s="21" t="str">
        <x:v>Negative / Mixed</x:v>
      </x:c>
      <x:c r="L168" s="21" t="str">
        <x:v>Breakouts, dryness and routine mismatch</x:v>
      </x:c>
      <x:c r="M168" s="21" t="str">
        <x:v>Users discuss toner, serum and moisturizer combinations that felt drying or coincided with breakouts.</x:v>
      </x:c>
      <x:c r="N168" s="21" t="str">
        <x:v>Some Torriden products remain comfortable for others and may work when introduced one at a time.</x:v>
      </x:c>
      <x:c r="O168" s="21" t="str">
        <x:v>Layering several new products obscures causality; individual breakouts reduce universal fit.</x:v>
      </x:c>
      <x:c r="P168" s="21" t="str">
        <x:v>Acne-prone / sensitive</x:v>
      </x:c>
      <x:c r="Q168" s="21" t="str">
        <x:v>Mixed</x:v>
      </x:c>
      <x:c r="R168" s="21"/>
      <x:c r="S168" s="21" t="str">
        <x:v>Unclear</x:v>
      </x:c>
      <x:c r="T168" s="21" t="str">
        <x:v>Low</x:v>
      </x:c>
      <x:c r="U168" s="21" t="str">
        <x:v>SRC-TOR-039</x:v>
      </x:c>
      <x:c r="V168" s="21" t="str">
        <x:v>Anecdotal; multiple-product use prevents causal attribution.</x:v>
      </x:c>
    </x:row>
    <x:row r="169" ht="132" customHeight="1">
      <x:c r="A169" s="21" t="str">
        <x:v>REV-TOR-014</x:v>
      </x:c>
      <x:c r="B169" s="21" t="str">
        <x:v>KB011</x:v>
      </x:c>
      <x:c r="C169" s="21" t="str">
        <x:v>TOR-P001</x:v>
      </x:c>
      <x:c r="D169" s="21" t="str">
        <x:v>Reddit r/AsianBeauty</x:v>
      </x:c>
      <x:c r="E169" s="21" t="str">
        <x:v>https://www.reddit.com/r/AsianBeauty/comments/1fj9ahb/is_it_normal_for_it_to_be_clouded_torriden/</x:v>
      </x:c>
      <x:c r="F169" s="25"/>
      <x:c r="G169" s="25" t="str">
        <x:v>2026-08-01</x:v>
      </x:c>
      <x:c r="H169" s="33" t="str">
        <x:v>Thread and comments</x:v>
      </x:c>
      <x:c r="I169" s="21" t="str">
        <x:v>No</x:v>
      </x:c>
      <x:c r="J169" s="21" t="str">
        <x:v>Community sponsorship/disclosure varies</x:v>
      </x:c>
      <x:c r="K169" s="21" t="str">
        <x:v>Concern / Mixed</x:v>
      </x:c>
      <x:c r="L169" s="21" t="str">
        <x:v>Cloudy appearance and authenticity/version education</x:v>
      </x:c>
      <x:c r="M169" s="21" t="str">
        <x:v>A user questioned cloudy serum appearance; discussion highlighted formula/solubilizer variation and the need to confirm seller, lot and package version.</x:v>
      </x:c>
      <x:c r="N169" s="21" t="str">
        <x:v>Clear batch/version guidance can reduce avoidable returns and authenticity anxiety.</x:v>
      </x:c>
      <x:c r="O169" s="21" t="str">
        <x:v>Appearance changes can trigger counterfeit or stability concerns even without a confirmed defect.</x:v>
      </x:c>
      <x:c r="P169" s="21" t="str">
        <x:v>Mixed</x:v>
      </x:c>
      <x:c r="Q169" s="21" t="str">
        <x:v>Unclear</x:v>
      </x:c>
      <x:c r="R169" s="21"/>
      <x:c r="S169" s="21" t="str">
        <x:v>Unclear</x:v>
      </x:c>
      <x:c r="T169" s="21" t="str">
        <x:v>Low-Medium</x:v>
      </x:c>
      <x:c r="U169" s="21" t="str">
        <x:v>SRC-TOR-040</x:v>
      </x:c>
      <x:c r="V169" s="21" t="str">
        <x:v>No defect or counterfeit finding was established.</x:v>
      </x:c>
    </x:row>
    <x:row r="170" ht="132" customHeight="1">
      <x:c r="A170" s="21" t="str">
        <x:v>REV-TOR-015</x:v>
      </x:c>
      <x:c r="B170" s="21" t="str">
        <x:v>KB011</x:v>
      </x:c>
      <x:c r="C170" s="21"/>
      <x:c r="D170" s="21" t="str">
        <x:v>Reddit r/OliveYoungGlobal</x:v>
      </x:c>
      <x:c r="E170" s="21" t="str">
        <x:v>https://www.reddit.com/r/OliveYoungGlobal/comments/1twpqz2/is_the_torriden_dive_in_serum_being_pulled_from_us/</x:v>
      </x:c>
      <x:c r="F170" s="25"/>
      <x:c r="G170" s="25" t="str">
        <x:v>2026-08-01</x:v>
      </x:c>
      <x:c r="H170" s="33" t="str">
        <x:v>Thread and comments</x:v>
      </x:c>
      <x:c r="I170" s="21" t="str">
        <x:v>No</x:v>
      </x:c>
      <x:c r="J170" s="21" t="str">
        <x:v>Community sponsorship/disclosure varies</x:v>
      </x:c>
      <x:c r="K170" s="21" t="str">
        <x:v>Concern / Mixed</x:v>
      </x:c>
      <x:c r="L170" s="21" t="str">
        <x:v>U.S. availability and channel confusion</x:v>
      </x:c>
      <x:c r="M170" s="21" t="str">
        <x:v>Users discussed whether DIVE IN Serum availability was changing, while pointing to Amazon and Costco as continuing channels.</x:v>
      </x:c>
      <x:c r="N170" s="21" t="str">
        <x:v>Multiple U.S. channels provide resilience and easy replenishment.</x:v>
      </x:c>
      <x:c r="O170" s="21" t="str">
        <x:v>Assortment changes and uneven channel messages can create unnecessary consumer uncertainty.</x:v>
      </x:c>
      <x:c r="P170" s="21" t="str">
        <x:v>Mixed</x:v>
      </x:c>
      <x:c r="Q170" s="21" t="str">
        <x:v>Strong but channel-dependent</x:v>
      </x:c>
      <x:c r="R170" s="21"/>
      <x:c r="S170" s="21" t="str">
        <x:v>Likely U.S.</x:v>
      </x:c>
      <x:c r="T170" s="21" t="str">
        <x:v>Low-Medium</x:v>
      </x:c>
      <x:c r="U170" s="21" t="str">
        <x:v>SRC-TOR-041</x:v>
      </x:c>
      <x:c r="V170" s="21" t="str">
        <x:v>Anecdotal; retailer assortment changes are dynamic.</x:v>
      </x:c>
    </x:row>
    <x:row r="171" ht="132" customHeight="1">
      <x:c r="A171" s="21" t="str">
        <x:v>REV-TOR-016</x:v>
      </x:c>
      <x:c r="B171" s="21" t="str">
        <x:v>KB011</x:v>
      </x:c>
      <x:c r="C171" s="21" t="str">
        <x:v>TOR-P004</x:v>
      </x:c>
      <x:c r="D171" s="21" t="str">
        <x:v>Who What Wear</x:v>
      </x:c>
      <x:c r="E171" s="21" t="str">
        <x:v>https://www.whowhatwear.com/beauty/skin/best-korean-skincare</x:v>
      </x:c>
      <x:c r="F171" s="25"/>
      <x:c r="G171" s="25" t="str">
        <x:v>2026-08-01</x:v>
      </x:c>
      <x:c r="H171" s="33" t="str">
        <x:v>Editor-tested/affiliate roundup</x:v>
      </x:c>
      <x:c r="I171" s="21" t="str">
        <x:v>No</x:v>
      </x:c>
      <x:c r="J171" s="21" t="str">
        <x:v>Affiliate-commerce context</x:v>
      </x:c>
      <x:c r="K171" s="21" t="str">
        <x:v>Positive</x:v>
      </x:c>
      <x:c r="L171" s="21" t="str">
        <x:v>Hydration, plumping and mask adhesion</x:v>
      </x:c>
      <x:c r="M171" s="21" t="str">
        <x:v>Independent editorial coverage praised Torriden's mask adhesion/plumping, the serum's hydration and the brand's routine appeal.</x:v>
      </x:c>
      <x:c r="N171" s="21" t="str">
        <x:v>Editorial recognition broadens awareness beyond brand-owned and marketplace reviews.</x:v>
      </x:c>
      <x:c r="O171" s="21" t="str">
        <x:v>Affiliate context and editorial preference are not clinical proof or population-level satisfaction data.</x:v>
      </x:c>
      <x:c r="P171" s="21" t="str">
        <x:v>Mixed</x:v>
      </x:c>
      <x:c r="Q171" s="21" t="str">
        <x:v>Positive</x:v>
      </x:c>
      <x:c r="R171" s="21"/>
      <x:c r="S171" s="21" t="str">
        <x:v>Yes / U.S. editorial</x:v>
      </x:c>
      <x:c r="T171" s="21" t="str">
        <x:v>Medium-High</x:v>
      </x:c>
      <x:c r="U171" s="21" t="str">
        <x:v>SRC-TOR-042</x:v>
      </x:c>
      <x:c r="V171" s="21" t="str">
        <x:v>Summarized without verbatim quotation.</x:v>
      </x:c>
    </x:row>
    <x:row r="172" ht="112" customHeight="1">
      <x:c r="A172" s="21" t="str">
        <x:v>REV-NBZ-001</x:v>
      </x:c>
      <x:c r="B172" s="21" t="str">
        <x:v>KB012</x:v>
      </x:c>
      <x:c r="C172" s="21" t="str">
        <x:v>NBZ-P001</x:v>
      </x:c>
      <x:c r="D172" s="21" t="str">
        <x:v>Amazon U.S.</x:v>
      </x:c>
      <x:c r="E172" s="21" t="str">
        <x:v>https://www.amazon.com/dp/B0DLKGLBPG</x:v>
      </x:c>
      <x:c r="F172" s="25"/>
      <x:c r="G172" s="25" t="str">
        <x:v>2026-08-01</x:v>
      </x:c>
      <x:c r="H172" s="33" t="str">
        <x:v>20K+ bought/month badge</x:v>
      </x:c>
      <x:c r="I172" s="21"/>
      <x:c r="J172" s="21" t="str">
        <x:v>Marketplace reviews may include incentives or variants</x:v>
      </x:c>
      <x:c r="K172" s="21" t="str">
        <x:v>Positive signal</x:v>
      </x:c>
      <x:c r="L172" s="21" t="str">
        <x:v>High purchase velocity</x:v>
      </x:c>
      <x:c r="M172" s="21" t="str">
        <x:v>No. 9 Essence is the strongest sampled Amazon hero by rounded monthly purchase badge.</x:v>
      </x:c>
      <x:c r="N172" s="21" t="str">
        <x:v>Large current demand and Amazon's Choice visibility.</x:v>
      </x:c>
      <x:c r="O172" s="21" t="str">
        <x:v>Review-level causality and returns are not public.</x:v>
      </x:c>
      <x:c r="P172" s="21"/>
      <x:c r="Q172" s="21"/>
      <x:c r="R172" s="21"/>
      <x:c r="S172" s="21" t="str">
        <x:v>Yes</x:v>
      </x:c>
      <x:c r="T172" s="21" t="str">
        <x:v>High</x:v>
      </x:c>
      <x:c r="U172" s="21" t="str">
        <x:v>SRC-NBZ-012</x:v>
      </x:c>
      <x:c r="V172" s="21" t="str">
        <x:v>Platform display, not a representative consumer study.</x:v>
      </x:c>
    </x:row>
    <x:row r="173" ht="112" customHeight="1">
      <x:c r="A173" s="21" t="str">
        <x:v>REV-NBZ-002</x:v>
      </x:c>
      <x:c r="B173" s="21" t="str">
        <x:v>KB012</x:v>
      </x:c>
      <x:c r="C173" s="21" t="str">
        <x:v>NBZ-P002</x:v>
      </x:c>
      <x:c r="D173" s="21" t="str">
        <x:v>Official U.S. DTC</x:v>
      </x:c>
      <x:c r="E173" s="21" t="str">
        <x:v>https://us.numbuzin.com/products/no-5-vitamin-concentrated-serum</x:v>
      </x:c>
      <x:c r="F173" s="25"/>
      <x:c r="G173" s="25" t="str">
        <x:v>2026-08-01</x:v>
      </x:c>
      <x:c r="H173" s="33" t="n">
        <x:v>2770</x:v>
      </x:c>
      <x:c r="I173" s="21"/>
      <x:c r="J173" s="21" t="str">
        <x:v>First-party reviews may be moderated or incentivized</x:v>
      </x:c>
      <x:c r="K173" s="21" t="str">
        <x:v>Positive signal</x:v>
      </x:c>
      <x:c r="L173" s="21" t="str">
        <x:v>Brightening interest</x:v>
      </x:c>
      <x:c r="M173" s="21" t="str">
        <x:v>Large official-site review display supports sustained consumer interest.</x:v>
      </x:c>
      <x:c r="N173" s="21" t="str">
        <x:v>Many consumers seek dark-spot and tone-evening results.</x:v>
      </x:c>
      <x:c r="O173" s="21" t="str">
        <x:v>Site display alone does not establish efficacy or adverse-event rate.</x:v>
      </x:c>
      <x:c r="P173" s="21"/>
      <x:c r="Q173" s="21"/>
      <x:c r="R173" s="21"/>
      <x:c r="S173" s="21" t="str">
        <x:v>Yes</x:v>
      </x:c>
      <x:c r="T173" s="21" t="str">
        <x:v>Medium-High</x:v>
      </x:c>
      <x:c r="U173" s="21" t="str">
        <x:v>SRC-NBZ-022</x:v>
      </x:c>
      <x:c r="V173" s="21" t="str">
        <x:v>Dynamic review count.</x:v>
      </x:c>
    </x:row>
    <x:row r="174" ht="112" customHeight="1">
      <x:c r="A174" s="21" t="str">
        <x:v>REV-NBZ-003</x:v>
      </x:c>
      <x:c r="B174" s="21" t="str">
        <x:v>KB012</x:v>
      </x:c>
      <x:c r="C174" s="21" t="str">
        <x:v>NBZ-P005</x:v>
      </x:c>
      <x:c r="D174" s="21" t="str">
        <x:v>Amazon U.S.</x:v>
      </x:c>
      <x:c r="E174" s="21" t="str">
        <x:v>https://www.amazon.com/dp/B0915K6WD3</x:v>
      </x:c>
      <x:c r="F174" s="25"/>
      <x:c r="G174" s="25" t="str">
        <x:v>2026-08-01</x:v>
      </x:c>
      <x:c r="H174" s="33" t="n">
        <x:v>4274</x:v>
      </x:c>
      <x:c r="I174" s="21"/>
      <x:c r="J174" s="21" t="str">
        <x:v>Marketplace reviews may include incentives or variants</x:v>
      </x:c>
      <x:c r="K174" s="21" t="str">
        <x:v>Mostly Positive</x:v>
      </x:c>
      <x:c r="L174" s="21" t="str">
        <x:v>Softness / glow</x:v>
      </x:c>
      <x:c r="M174" s="21" t="str">
        <x:v>No. 3 Serum maintained a large review base and 4.4 rating despite a lower current category rank.</x:v>
      </x:c>
      <x:c r="N174" s="21" t="str">
        <x:v>Legacy satisfaction and awareness remain meaningful.</x:v>
      </x:c>
      <x:c r="O174" s="21" t="str">
        <x:v>Current #446 serum rank contradicts an implied top-10 status.</x:v>
      </x:c>
      <x:c r="P174" s="21"/>
      <x:c r="Q174" s="21"/>
      <x:c r="R174" s="21"/>
      <x:c r="S174" s="21" t="str">
        <x:v>Yes</x:v>
      </x:c>
      <x:c r="T174" s="21" t="str">
        <x:v>High</x:v>
      </x:c>
      <x:c r="U174" s="21" t="str">
        <x:v>SRC-NBZ-016</x:v>
      </x:c>
      <x:c r="V174" s="21" t="str">
        <x:v>Exact review mix not independently sampled in full.</x:v>
      </x:c>
    </x:row>
    <x:row r="175" ht="112" customHeight="1">
      <x:c r="A175" s="21" t="str">
        <x:v>REV-NBZ-004</x:v>
      </x:c>
      <x:c r="B175" s="21" t="str">
        <x:v>KB012</x:v>
      </x:c>
      <x:c r="C175" s="21" t="str">
        <x:v>NBZ-P003</x:v>
      </x:c>
      <x:c r="D175" s="21" t="str">
        <x:v>Target</x:v>
      </x:c>
      <x:c r="E175" s="21" t="str">
        <x:v>https://www.target.com/b/numbuzin/-/N-q643leiqo6e</x:v>
      </x:c>
      <x:c r="F175" s="25"/>
      <x:c r="G175" s="25" t="str">
        <x:v>2026-08-01</x:v>
      </x:c>
      <x:c r="H175" s="33" t="n">
        <x:v>17</x:v>
      </x:c>
      <x:c r="I175" s="21"/>
      <x:c r="J175" s="21" t="str">
        <x:v>Retailer reviews may include incentives</x:v>
      </x:c>
      <x:c r="K175" s="21" t="str">
        <x:v>Positive</x:v>
      </x:c>
      <x:c r="L175" s="21" t="str">
        <x:v>Glow toner</x:v>
      </x:c>
      <x:c r="M175" s="21" t="str">
        <x:v>Target displayed 4.7/17 for No. 3 Toner.</x:v>
      </x:c>
      <x:c r="N175" s="21" t="str">
        <x:v>High rating supports product satisfaction.</x:v>
      </x:c>
      <x:c r="O175" s="21" t="str">
        <x:v>Small sample and retailer selection bias.</x:v>
      </x:c>
      <x:c r="P175" s="21"/>
      <x:c r="Q175" s="21"/>
      <x:c r="R175" s="21"/>
      <x:c r="S175" s="21" t="str">
        <x:v>Yes</x:v>
      </x:c>
      <x:c r="T175" s="21" t="str">
        <x:v>Medium-High</x:v>
      </x:c>
      <x:c r="U175" s="21" t="str">
        <x:v>SRC-NBZ-027</x:v>
      </x:c>
      <x:c r="V175" s="21" t="str">
        <x:v>Counts are dynamic.</x:v>
      </x:c>
    </x:row>
    <x:row r="176" ht="112" customHeight="1">
      <x:c r="A176" s="21" t="str">
        <x:v>REV-NBZ-005</x:v>
      </x:c>
      <x:c r="B176" s="21" t="str">
        <x:v>KB012</x:v>
      </x:c>
      <x:c r="C176" s="21" t="str">
        <x:v>NBZ-P001</x:v>
      </x:c>
      <x:c r="D176" s="21" t="str">
        <x:v>Costco</x:v>
      </x:c>
      <x:c r="E176" s="21" t="str">
        <x:v>https://www.costco.com/numbuzin-lifting-essence-no.9-nad%2B-bio%2C-1.69-fl-oz%2C-2-pack.product.1971339.html</x:v>
      </x:c>
      <x:c r="F176" s="25"/>
      <x:c r="G176" s="25" t="str">
        <x:v>2026-08-01</x:v>
      </x:c>
      <x:c r="H176" s="33" t="n">
        <x:v>104</x:v>
      </x:c>
      <x:c r="I176" s="21"/>
      <x:c r="J176" s="21" t="str">
        <x:v>Retailer reviews may include incentives</x:v>
      </x:c>
      <x:c r="K176" s="21" t="str">
        <x:v>Positive</x:v>
      </x:c>
      <x:c r="L176" s="21" t="str">
        <x:v>No. 9 value / plumping</x:v>
      </x:c>
      <x:c r="M176" s="21" t="str">
        <x:v>Costco displayed 4.6/104 for the No. 9 Essence two-pack.</x:v>
      </x:c>
      <x:c r="N176" s="21" t="str">
        <x:v>Strong club-retail rating and value format.</x:v>
      </x:c>
      <x:c r="O176" s="21" t="str">
        <x:v>Pack value can intensify channel conflict.</x:v>
      </x:c>
      <x:c r="P176" s="21"/>
      <x:c r="Q176" s="21"/>
      <x:c r="R176" s="21"/>
      <x:c r="S176" s="21" t="str">
        <x:v>Yes</x:v>
      </x:c>
      <x:c r="T176" s="21" t="str">
        <x:v>High</x:v>
      </x:c>
      <x:c r="U176" s="21" t="str">
        <x:v>SRC-NBZ-028</x:v>
      </x:c>
      <x:c r="V176" s="21" t="str">
        <x:v>Member/retailer display.</x:v>
      </x:c>
    </x:row>
    <x:row r="177" ht="112" customHeight="1">
      <x:c r="A177" s="21" t="str">
        <x:v>REV-NBZ-006</x:v>
      </x:c>
      <x:c r="B177" s="21" t="str">
        <x:v>KB012</x:v>
      </x:c>
      <x:c r="C177" s="21" t="str">
        <x:v>NBZ-P001</x:v>
      </x:c>
      <x:c r="D177" s="21" t="str">
        <x:v>Reddit r/koreanskincare</x:v>
      </x:c>
      <x:c r="E177" s="21" t="str">
        <x:v>https://www.reddit.com/r/koreanskincare/comments/1rpb3p5/numbuzin_no_9_toner_and_essence/</x:v>
      </x:c>
      <x:c r="F177" s="25"/>
      <x:c r="G177" s="25" t="str">
        <x:v>2026-08-01</x:v>
      </x:c>
      <x:c r="H177" s="33" t="str">
        <x:v>Thread / comments</x:v>
      </x:c>
      <x:c r="I177" s="21" t="str">
        <x:v>No</x:v>
      </x:c>
      <x:c r="J177" s="21" t="str">
        <x:v>Low direct sponsorship; self-selection risk</x:v>
      </x:c>
      <x:c r="K177" s="21" t="str">
        <x:v>Mixed Positive</x:v>
      </x:c>
      <x:c r="L177" s="21" t="str">
        <x:v>Hydration / plumping / glow</x:v>
      </x:c>
      <x:c r="M177" s="21" t="str">
        <x:v>Users described hydration, plumping, glow and good value.</x:v>
      </x:c>
      <x:c r="N177" s="21" t="str">
        <x:v>Visible comfort and glow for some dry/dehydrated users.</x:v>
      </x:c>
      <x:c r="O177" s="21" t="str">
        <x:v>Breakouts, no effect, ingredient-list skepticism and temporary results reported.</x:v>
      </x:c>
      <x:c r="P177" s="21" t="str">
        <x:v>Dry / dehydrated / mixed</x:v>
      </x:c>
      <x:c r="Q177" s="21"/>
      <x:c r="R177" s="21"/>
      <x:c r="S177" s="21" t="str">
        <x:v>Mixed</x:v>
      </x:c>
      <x:c r="T177" s="21" t="str">
        <x:v>Low-Medium</x:v>
      </x:c>
      <x:c r="U177" s="21" t="str">
        <x:v>SRC-NBZ-039</x:v>
      </x:c>
      <x:c r="V177" s="21" t="str">
        <x:v>Anecdotal; routines and versions vary.</x:v>
      </x:c>
    </x:row>
    <x:row r="178" ht="112" customHeight="1">
      <x:c r="A178" s="21" t="str">
        <x:v>REV-NBZ-007</x:v>
      </x:c>
      <x:c r="B178" s="21" t="str">
        <x:v>KB012</x:v>
      </x:c>
      <x:c r="C178" s="21" t="str">
        <x:v>NBZ-P001</x:v>
      </x:c>
      <x:c r="D178" s="21" t="str">
        <x:v>Reddit r/koreanskincare</x:v>
      </x:c>
      <x:c r="E178" s="21" t="str">
        <x:v>https://www.reddit.com/r/koreanskincare/comments/1rlrypu/thoughts_on_numbuzin_9_products/</x:v>
      </x:c>
      <x:c r="F178" s="25"/>
      <x:c r="G178" s="25" t="str">
        <x:v>2026-08-01</x:v>
      </x:c>
      <x:c r="H178" s="33" t="str">
        <x:v>Thread / comments</x:v>
      </x:c>
      <x:c r="I178" s="21" t="str">
        <x:v>No</x:v>
      </x:c>
      <x:c r="J178" s="21" t="str">
        <x:v>Low direct sponsorship; self-selection risk</x:v>
      </x:c>
      <x:c r="K178" s="21" t="str">
        <x:v>Mixed</x:v>
      </x:c>
      <x:c r="L178" s="21" t="str">
        <x:v>Texture tolerance</x:v>
      </x:c>
      <x:c r="M178" s="21" t="str">
        <x:v>Many users praised hydration and plumping, especially for dry skin.</x:v>
      </x:c>
      <x:c r="N178" s="21" t="str">
        <x:v>Comfort, glow and routine appeal.</x:v>
      </x:c>
      <x:c r="O178" s="21" t="str">
        <x:v>Breakouts, stinging, thick/oily feel, no repurchase and eye-area sensitivity were reported.</x:v>
      </x:c>
      <x:c r="P178" s="21" t="str">
        <x:v>Dry / sensitive / mixed</x:v>
      </x:c>
      <x:c r="Q178" s="21" t="str">
        <x:v>Mixed</x:v>
      </x:c>
      <x:c r="R178" s="21"/>
      <x:c r="S178" s="21" t="str">
        <x:v>Mixed</x:v>
      </x:c>
      <x:c r="T178" s="21" t="str">
        <x:v>Low-Medium</x:v>
      </x:c>
      <x:c r="U178" s="21" t="str">
        <x:v>SRC-NBZ-040</x:v>
      </x:c>
      <x:c r="V178" s="21" t="str">
        <x:v>No clinical causality finding.</x:v>
      </x:c>
    </x:row>
    <x:row r="179" ht="112" customHeight="1">
      <x:c r="A179" s="21" t="str">
        <x:v>REV-NBZ-008</x:v>
      </x:c>
      <x:c r="B179" s="21" t="str">
        <x:v>KB012</x:v>
      </x:c>
      <x:c r="C179" s="21" t="str">
        <x:v>NBZ-P002</x:v>
      </x:c>
      <x:c r="D179" s="21" t="str">
        <x:v>Reddit r/AsianBeauty</x:v>
      </x:c>
      <x:c r="E179" s="21" t="str">
        <x:v>https://www.reddit.com/r/AsianBeauty/comments/1dlo9s4/is_the_numbuzin_no5_vitamin_concentrated_range/</x:v>
      </x:c>
      <x:c r="F179" s="25"/>
      <x:c r="G179" s="25" t="str">
        <x:v>2026-08-01</x:v>
      </x:c>
      <x:c r="H179" s="33" t="str">
        <x:v>Thread / comments</x:v>
      </x:c>
      <x:c r="I179" s="21" t="str">
        <x:v>No</x:v>
      </x:c>
      <x:c r="J179" s="21" t="str">
        <x:v>Low direct sponsorship; self-selection risk</x:v>
      </x:c>
      <x:c r="K179" s="21" t="str">
        <x:v>Positive</x:v>
      </x:c>
      <x:c r="L179" s="21" t="str">
        <x:v>Brightening / layering</x:v>
      </x:c>
      <x:c r="M179" s="21" t="str">
        <x:v>Users discussed brightness and tolerability, with generally favorable tone.</x:v>
      </x:c>
      <x:c r="N179" s="21" t="str">
        <x:v>Brightening without irritation for some.</x:v>
      </x:c>
      <x:c r="O179" s="21" t="str">
        <x:v>Sticky layering and individual tolerance concerns.</x:v>
      </x:c>
      <x:c r="P179" s="21" t="str">
        <x:v>Mixed</x:v>
      </x:c>
      <x:c r="Q179" s="21"/>
      <x:c r="R179" s="21"/>
      <x:c r="S179" s="21" t="str">
        <x:v>Mixed</x:v>
      </x:c>
      <x:c r="T179" s="21" t="str">
        <x:v>Low-Medium</x:v>
      </x:c>
      <x:c r="U179" s="21" t="str">
        <x:v>SRC-NBZ-041</x:v>
      </x:c>
      <x:c r="V179" s="21" t="str">
        <x:v>Anecdotal consumer discussion.</x:v>
      </x:c>
    </x:row>
    <x:row r="180" ht="112" customHeight="1">
      <x:c r="A180" s="21" t="str">
        <x:v>REV-NBZ-009</x:v>
      </x:c>
      <x:c r="B180" s="21" t="str">
        <x:v>KB012</x:v>
      </x:c>
      <x:c r="C180" s="21" t="str">
        <x:v>NBZ-P002</x:v>
      </x:c>
      <x:c r="D180" s="21" t="str">
        <x:v>Reddit r/AsianBeauty</x:v>
      </x:c>
      <x:c r="E180" s="21" t="str">
        <x:v>https://www.reddit.com/r/AsianBeauty/comments/1ejxufm/numbuzin_no_5_serum_breakout_or_purging/</x:v>
      </x:c>
      <x:c r="F180" s="25"/>
      <x:c r="G180" s="25" t="str">
        <x:v>2026-08-01</x:v>
      </x:c>
      <x:c r="H180" s="33" t="str">
        <x:v>Thread / comments</x:v>
      </x:c>
      <x:c r="I180" s="21" t="str">
        <x:v>No</x:v>
      </x:c>
      <x:c r="J180" s="21" t="str">
        <x:v>Low direct sponsorship; self-selection risk</x:v>
      </x:c>
      <x:c r="K180" s="21" t="str">
        <x:v>Mixed Negative</x:v>
      </x:c>
      <x:c r="L180" s="21" t="str">
        <x:v>Breakouts / irritation</x:v>
      </x:c>
      <x:c r="M180" s="21" t="str">
        <x:v>Users debated whether bumps and red pimples were linked to the product.</x:v>
      </x:c>
      <x:c r="N180" s="21" t="str">
        <x:v>Some noted dark-spot or brightness improvement.</x:v>
      </x:c>
      <x:c r="O180" s="21" t="str">
        <x:v>Bumps, redness and sensitivity were reported; 'purging' should not be assumed.</x:v>
      </x:c>
      <x:c r="P180" s="21" t="str">
        <x:v>Sensitive / acne-prone</x:v>
      </x:c>
      <x:c r="Q180" s="21"/>
      <x:c r="R180" s="21"/>
      <x:c r="S180" s="21" t="str">
        <x:v>Mixed</x:v>
      </x:c>
      <x:c r="T180" s="21" t="str">
        <x:v>Low-Medium</x:v>
      </x:c>
      <x:c r="U180" s="21" t="str">
        <x:v>SRC-NBZ-042</x:v>
      </x:c>
      <x:c r="V180" s="21" t="str">
        <x:v>No diagnosis or defect finding.</x:v>
      </x:c>
    </x:row>
    <x:row r="181" ht="112" customHeight="1">
      <x:c r="A181" s="21" t="str">
        <x:v>REV-NBZ-010</x:v>
      </x:c>
      <x:c r="B181" s="21" t="str">
        <x:v>KB012</x:v>
      </x:c>
      <x:c r="C181" s="21" t="str">
        <x:v>NBZ-P002</x:v>
      </x:c>
      <x:c r="D181" s="21" t="str">
        <x:v>Reddit r/AsianBeauty</x:v>
      </x:c>
      <x:c r="E181" s="21" t="str">
        <x:v>https://www.reddit.com/r/AsianBeauty/comments/1embb6j/numbuzin_no_5_vit_c_review_i_got_influenced/</x:v>
      </x:c>
      <x:c r="F181" s="25"/>
      <x:c r="G181" s="25" t="str">
        <x:v>2026-08-01</x:v>
      </x:c>
      <x:c r="H181" s="33" t="str">
        <x:v>Thread / comments</x:v>
      </x:c>
      <x:c r="I181" s="21" t="str">
        <x:v>No</x:v>
      </x:c>
      <x:c r="J181" s="21" t="str">
        <x:v>Influencer-discovery bias possible</x:v>
      </x:c>
      <x:c r="K181" s="21" t="str">
        <x:v>Positive</x:v>
      </x:c>
      <x:c r="L181" s="21" t="str">
        <x:v>Tone / dark spots</x:v>
      </x:c>
      <x:c r="M181" s="21" t="str">
        <x:v>User reported smoother, more even-looking tone and lighter dark spots/melasma.</x:v>
      </x:c>
      <x:c r="N181" s="21" t="str">
        <x:v>Visible cosmetic tone improvement.</x:v>
      </x:c>
      <x:c r="O181" s="21" t="str">
        <x:v>Single-user experience; pigmentation claims need substantiation.</x:v>
      </x:c>
      <x:c r="P181" s="21" t="str">
        <x:v>Mixed</x:v>
      </x:c>
      <x:c r="Q181" s="21"/>
      <x:c r="R181" s="21"/>
      <x:c r="S181" s="21" t="str">
        <x:v>Mixed</x:v>
      </x:c>
      <x:c r="T181" s="21" t="str">
        <x:v>Low</x:v>
      </x:c>
      <x:c r="U181" s="21" t="str">
        <x:v>SRC-NBZ-043</x:v>
      </x:c>
      <x:c r="V181" s="21" t="str">
        <x:v>Anecdotal, not clinical evidence.</x:v>
      </x:c>
    </x:row>
    <x:row r="182" ht="112" customHeight="1">
      <x:c r="A182" s="21" t="str">
        <x:v>REV-NBZ-011</x:v>
      </x:c>
      <x:c r="B182" s="21" t="str">
        <x:v>KB012</x:v>
      </x:c>
      <x:c r="C182" s="21" t="str">
        <x:v>NBZ-P005</x:v>
      </x:c>
      <x:c r="D182" s="21" t="str">
        <x:v>Reddit r/AsianBeauty</x:v>
      </x:c>
      <x:c r="E182" s="21" t="str">
        <x:v>https://www.reddit.com/r/AsianBeauty/comments/1e1lojm/numbuzin_no3_skin_softening_serum/</x:v>
      </x:c>
      <x:c r="F182" s="25"/>
      <x:c r="G182" s="25" t="str">
        <x:v>2026-08-01</x:v>
      </x:c>
      <x:c r="H182" s="33" t="str">
        <x:v>Thread / comments</x:v>
      </x:c>
      <x:c r="I182" s="21" t="str">
        <x:v>No</x:v>
      </x:c>
      <x:c r="J182" s="21" t="str">
        <x:v>Low direct sponsorship; self-selection risk</x:v>
      </x:c>
      <x:c r="K182" s="21" t="str">
        <x:v>Positive</x:v>
      </x:c>
      <x:c r="L182" s="21" t="str">
        <x:v>Hydration / softness</x:v>
      </x:c>
      <x:c r="M182" s="21" t="str">
        <x:v>Users discussed improved hydration and softness from No. 3 Serum.</x:v>
      </x:c>
      <x:c r="N182" s="21" t="str">
        <x:v>Soft, hydrated feel and glow.</x:v>
      </x:c>
      <x:c r="O182" s="21" t="str">
        <x:v>Results vary and ingredient complexity can complicate attribution.</x:v>
      </x:c>
      <x:c r="P182" s="21" t="str">
        <x:v>Mixed</x:v>
      </x:c>
      <x:c r="Q182" s="21"/>
      <x:c r="R182" s="21"/>
      <x:c r="S182" s="21" t="str">
        <x:v>Mixed</x:v>
      </x:c>
      <x:c r="T182" s="21" t="str">
        <x:v>Low-Medium</x:v>
      </x:c>
      <x:c r="U182" s="21" t="str">
        <x:v>SRC-NBZ-044</x:v>
      </x:c>
      <x:c r="V182" s="21" t="str">
        <x:v>Anecdotal consumer evidence.</x:v>
      </x:c>
    </x:row>
    <x:row r="183" ht="112" customHeight="1">
      <x:c r="A183" s="21" t="str">
        <x:v>REV-NBZ-012</x:v>
      </x:c>
      <x:c r="B183" s="21" t="str">
        <x:v>KB012</x:v>
      </x:c>
      <x:c r="C183" s="21" t="str">
        <x:v>NBZ-P003</x:v>
      </x:c>
      <x:c r="D183" s="21" t="str">
        <x:v>Reddit r/KoreanBeauty</x:v>
      </x:c>
      <x:c r="E183" s="21" t="str">
        <x:v>https://www.reddit.com/r/KoreanBeauty/comments/180sn0r</x:v>
      </x:c>
      <x:c r="F183" s="25"/>
      <x:c r="G183" s="25" t="str">
        <x:v>2026-08-01</x:v>
      </x:c>
      <x:c r="H183" s="33" t="str">
        <x:v>Thread / comments</x:v>
      </x:c>
      <x:c r="I183" s="21" t="str">
        <x:v>No</x:v>
      </x:c>
      <x:c r="J183" s="21" t="str">
        <x:v>Low direct sponsorship; self-selection risk</x:v>
      </x:c>
      <x:c r="K183" s="21" t="str">
        <x:v>Cautionary</x:v>
      </x:c>
      <x:c r="L183" s="21" t="str">
        <x:v>Ferment sensitivity</x:v>
      </x:c>
      <x:c r="M183" s="21" t="str">
        <x:v>Users highlighted the very long fermented ingredient list.</x:v>
      </x:c>
      <x:c r="N183" s="21" t="str">
        <x:v>Fermented routine appeal for tolerant users.</x:v>
      </x:c>
      <x:c r="O183" s="21" t="str">
        <x:v>Reactive skin may find the complex formula difficult to troubleshoot.</x:v>
      </x:c>
      <x:c r="P183" s="21" t="str">
        <x:v>Sensitive / reactive</x:v>
      </x:c>
      <x:c r="Q183" s="21"/>
      <x:c r="R183" s="21"/>
      <x:c r="S183" s="21" t="str">
        <x:v>Mixed</x:v>
      </x:c>
      <x:c r="T183" s="21" t="str">
        <x:v>Low</x:v>
      </x:c>
      <x:c r="U183" s="21" t="str">
        <x:v>SRC-NBZ-045</x:v>
      </x:c>
      <x:c r="V183" s="21" t="str">
        <x:v>Patch testing and one-product-at-a-time introduction are prudent.</x:v>
      </x:c>
    </x:row>
    <x:row r="184" ht="112" customHeight="1">
      <x:c r="A184" s="21" t="str">
        <x:v>REV-NBZ-013</x:v>
      </x:c>
      <x:c r="B184" s="21" t="str">
        <x:v>KB012</x:v>
      </x:c>
      <x:c r="C184" s="21" t="str">
        <x:v>NBZ-P003</x:v>
      </x:c>
      <x:c r="D184" s="21" t="str">
        <x:v>Reddit r/AsianBeauty</x:v>
      </x:c>
      <x:c r="E184" s="21" t="str">
        <x:v>https://www.reddit.com/r/AsianBeauty/comments/1ua6i6j/cant_find_numbuzin_no3_super_glowing_essence/</x:v>
      </x:c>
      <x:c r="F184" s="25"/>
      <x:c r="G184" s="25" t="str">
        <x:v>2026-08-01</x:v>
      </x:c>
      <x:c r="H184" s="33" t="str">
        <x:v>Thread / comments</x:v>
      </x:c>
      <x:c r="I184" s="21" t="str">
        <x:v>No</x:v>
      </x:c>
      <x:c r="J184" s="21" t="str">
        <x:v>Low direct sponsorship; self-selection risk</x:v>
      </x:c>
      <x:c r="K184" s="21" t="str">
        <x:v>Mixed</x:v>
      </x:c>
      <x:c r="L184" s="21" t="str">
        <x:v>Availability / formula confusion</x:v>
      </x:c>
      <x:c r="M184" s="21" t="str">
        <x:v>Users discussed trouble finding the No. 3 toner and possible discontinuation or packaging changes.</x:v>
      </x:c>
      <x:c r="N184" s="21" t="str">
        <x:v>Strong interest in locating the hero.</x:v>
      </x:c>
      <x:c r="O184" s="21" t="str">
        <x:v>Channel, packaging and formula confusion can undermine trust.</x:v>
      </x:c>
      <x:c r="P184" s="21"/>
      <x:c r="Q184" s="21"/>
      <x:c r="R184" s="21"/>
      <x:c r="S184" s="21" t="str">
        <x:v>Mixed</x:v>
      </x:c>
      <x:c r="T184" s="21" t="str">
        <x:v>Low-Medium</x:v>
      </x:c>
      <x:c r="U184" s="21" t="str">
        <x:v>SRC-NBZ-046</x:v>
      </x:c>
      <x:c r="V184" s="21" t="str">
        <x:v>Official U.S. site still listed the product when checked.</x:v>
      </x:c>
    </x:row>
    <x:row r="185" ht="112" customHeight="1">
      <x:c r="A185" s="21" t="str">
        <x:v>REV-NBZ-014</x:v>
      </x:c>
      <x:c r="B185" s="21" t="str">
        <x:v>KB012</x:v>
      </x:c>
      <x:c r="C185" s="21"/>
      <x:c r="D185" s="21" t="str">
        <x:v>Reddit r/AsianBeauty</x:v>
      </x:c>
      <x:c r="E185" s="21" t="str">
        <x:v>https://www.reddit.com/r/AsianBeauty/comments/1bji0pw</x:v>
      </x:c>
      <x:c r="F185" s="25"/>
      <x:c r="G185" s="25" t="str">
        <x:v>2026-08-01</x:v>
      </x:c>
      <x:c r="H185" s="33" t="str">
        <x:v>Thread / comments</x:v>
      </x:c>
      <x:c r="I185" s="21" t="str">
        <x:v>No</x:v>
      </x:c>
      <x:c r="J185" s="21" t="str">
        <x:v>Low direct sponsorship; self-selection risk</x:v>
      </x:c>
      <x:c r="K185" s="21" t="str">
        <x:v>Mixed</x:v>
      </x:c>
      <x:c r="L185" s="21" t="str">
        <x:v>Amazon authenticity</x:v>
      </x:c>
      <x:c r="M185" s="21" t="str">
        <x:v>Users discussed buying from the official Amazon seller and checking authenticity.</x:v>
      </x:c>
      <x:c r="N185" s="21" t="str">
        <x:v>Official-seller identity helps consumer confidence.</x:v>
      </x:c>
      <x:c r="O185" s="21" t="str">
        <x:v>Marketplace commingling, seller and package-version concern persists.</x:v>
      </x:c>
      <x:c r="P185" s="21"/>
      <x:c r="Q185" s="21"/>
      <x:c r="R185" s="21"/>
      <x:c r="S185" s="21" t="str">
        <x:v>Mixed</x:v>
      </x:c>
      <x:c r="T185" s="21" t="str">
        <x:v>Low-Medium</x:v>
      </x:c>
      <x:c r="U185" s="21" t="str">
        <x:v>SRC-NBZ-047</x:v>
      </x:c>
      <x:c r="V185" s="21" t="str">
        <x:v>Do not treat comments as proof of counterfeit.</x:v>
      </x:c>
    </x:row>
    <x:row r="186" ht="112" customHeight="1">
      <x:c r="A186" s="21" t="str">
        <x:v>REV-NBZ-015</x:v>
      </x:c>
      <x:c r="B186" s="21" t="str">
        <x:v>KB012</x:v>
      </x:c>
      <x:c r="C186" s="21"/>
      <x:c r="D186" s="21" t="str">
        <x:v>Reddit r/IndianBeautyTalks</x:v>
      </x:c>
      <x:c r="E186" s="21" t="str">
        <x:v>https://www.reddit.com/r/IndianBeautyTalks/comments/1v4yjf9/the_ultimate_numbuzin_cheat_sheet_which_number_is/</x:v>
      </x:c>
      <x:c r="F186" s="25" t="str">
        <x:v>2026-07</x:v>
      </x:c>
      <x:c r="G186" s="25" t="str">
        <x:v>2026-08-01</x:v>
      </x:c>
      <x:c r="H186" s="33" t="str">
        <x:v>Thread / comments</x:v>
      </x:c>
      <x:c r="I186" s="21" t="str">
        <x:v>No</x:v>
      </x:c>
      <x:c r="J186" s="21" t="str">
        <x:v>Community content; regional and self-selection risk</x:v>
      </x:c>
      <x:c r="K186" s="21" t="str">
        <x:v>Positive</x:v>
      </x:c>
      <x:c r="L186" s="21" t="str">
        <x:v>Numbered range comprehension</x:v>
      </x:c>
      <x:c r="M186" s="21" t="str">
        <x:v>Community cheat sheet described No. 3 as a glass-skin favorite and summarized No. 5/No. 9 concern-based roles.</x:v>
      </x:c>
      <x:c r="N186" s="21" t="str">
        <x:v>Numbering can support education and routine bundling.</x:v>
      </x:c>
      <x:c r="O186" s="21" t="str">
        <x:v>Many numbered products can also confuse consumers; regional audience is not U.S.-specific.</x:v>
      </x:c>
      <x:c r="P186" s="21"/>
      <x:c r="Q186" s="21"/>
      <x:c r="R186" s="21"/>
      <x:c r="S186" s="21" t="str">
        <x:v>No</x:v>
      </x:c>
      <x:c r="T186" s="21" t="str">
        <x:v>Low-Medium</x:v>
      </x:c>
      <x:c r="U186" s="21" t="str">
        <x:v>SRC-NBZ-047</x:v>
      </x:c>
      <x:c r="V186" s="21" t="str">
        <x:v>Used for awareness architecture, not U.S. sales.</x:v>
      </x:c>
    </x:row>
    <x:row r="187" ht="112" customHeight="1">
      <x:c r="A187" s="21" t="str">
        <x:v>REV-NBZ-016</x:v>
      </x:c>
      <x:c r="B187" s="21" t="str">
        <x:v>KB012</x:v>
      </x:c>
      <x:c r="C187" s="21"/>
      <x:c r="D187" s="21" t="str">
        <x:v>Cross-source synthesis</x:v>
      </x:c>
      <x:c r="E187" s="21" t="str">
        <x:v>See Source Log</x:v>
      </x:c>
      <x:c r="F187" s="25"/>
      <x:c r="G187" s="25" t="str">
        <x:v>2026-08-01</x:v>
      </x:c>
      <x:c r="H187" s="33" t="str">
        <x:v>16 sampled signals</x:v>
      </x:c>
      <x:c r="I187" s="21"/>
      <x:c r="J187" s="21" t="str">
        <x:v>Mixed source types</x:v>
      </x:c>
      <x:c r="K187" s="21" t="str">
        <x:v>Mixed Positive</x:v>
      </x:c>
      <x:c r="L187" s="21" t="str">
        <x:v>Consumer fit</x:v>
      </x:c>
      <x:c r="M187" s="21" t="str">
        <x:v>Across retailer, marketplace and forum evidence, the strongest repeat themes are glow, softness, hydration/plumping, brightening and value.</x:v>
      </x:c>
      <x:c r="N187" s="21" t="str">
        <x:v>Clear visible-benefit stories and strong price-value perception.</x:v>
      </x:c>
      <x:c r="O187" s="21" t="str">
        <x:v>Breakouts, stinging, sticky/oily texture, temporary results, ingredient complexity and authenticity/version confusion.</x:v>
      </x:c>
      <x:c r="P187" s="21" t="str">
        <x:v>Mixed</x:v>
      </x:c>
      <x:c r="Q187" s="21" t="str">
        <x:v>Mixed</x:v>
      </x:c>
      <x:c r="R187" s="21" t="str">
        <x:v>ANUA; Beauty of Joseon; ma:nyo; LANEIGE</x:v>
      </x:c>
      <x:c r="S187" s="21" t="str">
        <x:v>Mixed</x:v>
      </x:c>
      <x:c r="T187" s="21" t="str">
        <x:v>Medium</x:v>
      </x:c>
      <x:c r="U187" s="21" t="str">
        <x:v>SRC-NBZ-012,SRC-NBZ-016,SRC-NBZ-022,SRC-NBZ-027,SRC-NBZ-028,SRC-NBZ-039:SRC-NBZ-047</x:v>
      </x:c>
      <x:c r="V187" s="21" t="str">
        <x:v>Directional synthesis; not statistically representative.</x:v>
      </x:c>
    </x:row>
    <x:row r="188" ht="116" customHeight="1">
      <x:c r="A188" s="21" t="str">
        <x:v>REV-MIX-001</x:v>
      </x:c>
      <x:c r="B188" s="21" t="str">
        <x:v>KB013</x:v>
      </x:c>
      <x:c r="C188" s="21" t="str">
        <x:v>MIX-P001</x:v>
      </x:c>
      <x:c r="D188" s="21" t="str">
        <x:v>Mixsoon U.S.</x:v>
      </x:c>
      <x:c r="E188" s="21" t="str">
        <x:v>https://mixsoon.us/products/mixsoon-bean-essence-50ml</x:v>
      </x:c>
      <x:c r="F188" s="25"/>
      <x:c r="G188" s="25" t="str">
        <x:v>2026-08-01</x:v>
      </x:c>
      <x:c r="H188" s="33" t="n">
        <x:v>267</x:v>
      </x:c>
      <x:c r="I188" s="21" t="str">
        <x:v>Not individually audited</x:v>
      </x:c>
      <x:c r="J188" s="21" t="str">
        <x:v>Brand-owned review environment</x:v>
      </x:c>
      <x:c r="K188" s="21" t="str">
        <x:v>Mostly Positive</x:v>
      </x:c>
      <x:c r="L188" s="21" t="str">
        <x:v>Glow, hydration and texture versus polarized outcomes</x:v>
      </x:c>
      <x:c r="M188" s="21" t="str">
        <x:v>Official DTC aggregate is strongly positive but includes a meaningful low-star tail.</x:v>
      </x:c>
      <x:c r="N188" s="21" t="str">
        <x:v>Hydration, glow, smoother feel, makeup compatibility and repeat use.</x:v>
      </x:c>
      <x:c r="O188" s="21" t="str">
        <x:v>10% one-star share in displayed distribution; individual causes not audited.</x:v>
      </x:c>
      <x:c r="P188" s="21" t="str">
        <x:v>Mixed</x:v>
      </x:c>
      <x:c r="Q188" s="21" t="str">
        <x:v>Positive</x:v>
      </x:c>
      <x:c r="R188" s="21" t="str">
        <x:v>COSRX and other essences</x:v>
      </x:c>
      <x:c r="S188" s="21" t="str">
        <x:v>Mixed / U.S. storefront</x:v>
      </x:c>
      <x:c r="T188" s="21" t="str">
        <x:v>Medium-High</x:v>
      </x:c>
      <x:c r="U188" s="21" t="str">
        <x:v>SRC-MIX-011</x:v>
      </x:c>
      <x:c r="V188" s="21" t="str">
        <x:v>Aggregate review distribution; no verbatim quote stored.</x:v>
      </x:c>
    </x:row>
    <x:row r="189" ht="116" customHeight="1">
      <x:c r="A189" s="21" t="str">
        <x:v>REV-MIX-002</x:v>
      </x:c>
      <x:c r="B189" s="21" t="str">
        <x:v>KB013</x:v>
      </x:c>
      <x:c r="C189" s="21" t="str">
        <x:v>MIX-P001</x:v>
      </x:c>
      <x:c r="D189" s="21" t="str">
        <x:v>Amazon U.S.</x:v>
      </x:c>
      <x:c r="E189" s="21" t="str">
        <x:v>https://www.amazon.com/dp/B08ZXVVY8M</x:v>
      </x:c>
      <x:c r="F189" s="25"/>
      <x:c r="G189" s="25" t="str">
        <x:v>2026-08-01</x:v>
      </x:c>
      <x:c r="H189" s="33" t="n">
        <x:v>9975</x:v>
      </x:c>
      <x:c r="I189" s="21" t="str">
        <x:v>Mixed / not individually audited</x:v>
      </x:c>
      <x:c r="J189" s="21" t="str">
        <x:v>Retailer reviews may include incentives; disclosures vary</x:v>
      </x:c>
      <x:c r="K189" s="21" t="str">
        <x:v>Mostly Positive</x:v>
      </x:c>
      <x:c r="L189" s="21" t="str">
        <x:v>Hydration and gentle texture care versus overhype</x:v>
      </x:c>
      <x:c r="M189" s="21" t="str">
        <x:v>Large review family supports substantial satisfaction and awareness.</x:v>
      </x:c>
      <x:c r="N189" s="21" t="str">
        <x:v>Hydrating, gentle, glowy and smoother-looking skin.</x:v>
      </x:c>
      <x:c r="O189" s="21" t="str">
        <x:v>Some consumers describe too much hype, stickiness or limited effect.</x:v>
      </x:c>
      <x:c r="P189" s="21" t="str">
        <x:v>Mixed</x:v>
      </x:c>
      <x:c r="Q189" s="21" t="str">
        <x:v>Strong positive signal</x:v>
      </x:c>
      <x:c r="R189" s="21" t="str">
        <x:v>COSRX and other essences</x:v>
      </x:c>
      <x:c r="S189" s="21" t="str">
        <x:v>Yes / U.S. marketplace</x:v>
      </x:c>
      <x:c r="T189" s="21" t="str">
        <x:v>High</x:v>
      </x:c>
      <x:c r="U189" s="21" t="str">
        <x:v>SRC-MIX-017</x:v>
      </x:c>
      <x:c r="V189" s="21" t="str">
        <x:v>Variant-family review count is dynamic.</x:v>
      </x:c>
    </x:row>
    <x:row r="190" ht="116" customHeight="1">
      <x:c r="A190" s="21" t="str">
        <x:v>REV-MIX-003</x:v>
      </x:c>
      <x:c r="B190" s="21" t="str">
        <x:v>KB013</x:v>
      </x:c>
      <x:c r="C190" s="21" t="str">
        <x:v>MIX-P002</x:v>
      </x:c>
      <x:c r="D190" s="21" t="str">
        <x:v>Amazon U.S.</x:v>
      </x:c>
      <x:c r="E190" s="21" t="str">
        <x:v>https://www.amazon.com/dp/B09GP95FQP</x:v>
      </x:c>
      <x:c r="F190" s="25"/>
      <x:c r="G190" s="25" t="str">
        <x:v>2026-08-01</x:v>
      </x:c>
      <x:c r="H190" s="33" t="n">
        <x:v>3378</x:v>
      </x:c>
      <x:c r="I190" s="21" t="str">
        <x:v>Mixed / not individually audited</x:v>
      </x:c>
      <x:c r="J190" s="21" t="str">
        <x:v>Retailer reviews may include incentives; disclosures vary</x:v>
      </x:c>
      <x:c r="K190" s="21" t="str">
        <x:v>Mostly Positive</x:v>
      </x:c>
      <x:c r="L190" s="21" t="str">
        <x:v>Silky hydration versus occasional breakouts</x:v>
      </x:c>
      <x:c r="M190" s="21" t="str">
        <x:v>Amazon summary is strongly positive overall.</x:v>
      </x:c>
      <x:c r="N190" s="21" t="str">
        <x:v>Deep hydration, non-greasy finish, softness, smoothness and value.</x:v>
      </x:c>
      <x:c r="O190" s="21" t="str">
        <x:v>Some acne-prone users report breakouts or sensitivity.</x:v>
      </x:c>
      <x:c r="P190" s="21" t="str">
        <x:v>Mixed</x:v>
      </x:c>
      <x:c r="Q190" s="21" t="str">
        <x:v>Strong positive signal</x:v>
      </x:c>
      <x:c r="R190" s="21" t="str">
        <x:v>Beauty of Joseon and other moisturizers</x:v>
      </x:c>
      <x:c r="S190" s="21" t="str">
        <x:v>Yes / U.S. marketplace</x:v>
      </x:c>
      <x:c r="T190" s="21" t="str">
        <x:v>High</x:v>
      </x:c>
      <x:c r="U190" s="21" t="str">
        <x:v>SRC-MIX-019</x:v>
      </x:c>
      <x:c r="V190" s="21" t="str">
        <x:v>Amazon displayed 4.7/3,378.</x:v>
      </x:c>
    </x:row>
    <x:row r="191" ht="116" customHeight="1">
      <x:c r="A191" s="21" t="str">
        <x:v>REV-MIX-004</x:v>
      </x:c>
      <x:c r="B191" s="21" t="str">
        <x:v>KB013</x:v>
      </x:c>
      <x:c r="C191" s="21"/>
      <x:c r="D191" s="21" t="str">
        <x:v>Ulta Beauty</x:v>
      </x:c>
      <x:c r="E191" s="21" t="str">
        <x:v>https://www.ulta.com/brand/mixsoon?category=skin-care%2Ck-beauty</x:v>
      </x:c>
      <x:c r="F191" s="25"/>
      <x:c r="G191" s="25" t="str">
        <x:v>2026-08-01</x:v>
      </x:c>
      <x:c r="H191" s="33" t="str">
        <x:v>Multiple products</x:v>
      </x:c>
      <x:c r="I191" s="21" t="str">
        <x:v>Mixed / not individually audited</x:v>
      </x:c>
      <x:c r="J191" s="21" t="str">
        <x:v>Retailer reviews may include incentives</x:v>
      </x:c>
      <x:c r="K191" s="21" t="str">
        <x:v>Mostly Positive</x:v>
      </x:c>
      <x:c r="L191" s="21" t="str">
        <x:v>Broad assortment satisfaction with SKU-level variation</x:v>
      </x:c>
      <x:c r="M191" s="21" t="str">
        <x:v>Bean Cream, Bean Essence and Cleansing Oil have generally positive ratings; Vitamin C 20% had a weak 2.0/5 display.</x:v>
      </x:c>
      <x:c r="N191" s="21" t="str">
        <x:v>Hydration, glow, lightweight feel and accessible pricing.</x:v>
      </x:c>
      <x:c r="O191" s="21" t="str">
        <x:v>Performance varies by SKU; some new products have very small samples.</x:v>
      </x:c>
      <x:c r="P191" s="21" t="str">
        <x:v>Mixed</x:v>
      </x:c>
      <x:c r="Q191" s="21" t="str">
        <x:v>Positive overall</x:v>
      </x:c>
      <x:c r="R191" s="21" t="str">
        <x:v>Multiple K-Beauty brands</x:v>
      </x:c>
      <x:c r="S191" s="21" t="str">
        <x:v>Yes / U.S. retailer</x:v>
      </x:c>
      <x:c r="T191" s="21" t="str">
        <x:v>High</x:v>
      </x:c>
      <x:c r="U191" s="21" t="str">
        <x:v>SRC-MIX-025</x:v>
      </x:c>
      <x:c r="V191" s="21" t="str">
        <x:v>Ratings and counts are dynamic.</x:v>
      </x:c>
    </x:row>
    <x:row r="192" ht="116" customHeight="1">
      <x:c r="A192" s="21" t="str">
        <x:v>REV-MIX-005</x:v>
      </x:c>
      <x:c r="B192" s="21" t="str">
        <x:v>KB013</x:v>
      </x:c>
      <x:c r="C192" s="21" t="str">
        <x:v>MIX-P001</x:v>
      </x:c>
      <x:c r="D192" s="21" t="str">
        <x:v>Walmart</x:v>
      </x:c>
      <x:c r="E192" s="21" t="str">
        <x:v>https://www.walmart.com/ip/Mixsoon-Bean-Essence-1-69-fl-oz-50-ml/</x:v>
      </x:c>
      <x:c r="F192" s="25"/>
      <x:c r="G192" s="25" t="str">
        <x:v>2026-08-01</x:v>
      </x:c>
      <x:c r="H192" s="33" t="n">
        <x:v>32</x:v>
      </x:c>
      <x:c r="I192" s="21" t="str">
        <x:v>Mixed / not individually audited</x:v>
      </x:c>
      <x:c r="J192" s="21" t="str">
        <x:v>Retailer review environment; sellers vary</x:v>
      </x:c>
      <x:c r="K192" s="21" t="str">
        <x:v>Mostly Positive</x:v>
      </x:c>
      <x:c r="L192" s="21" t="str">
        <x:v>Mainstream retail validation</x:v>
      </x:c>
      <x:c r="M192" s="21" t="str">
        <x:v>Walmart display showed 4.3/32 for Bean Essence.</x:v>
      </x:c>
      <x:c r="N192" s="21" t="str">
        <x:v>Glow, hydration and familiar hero recognition.</x:v>
      </x:c>
      <x:c r="O192" s="21" t="str">
        <x:v>Small sample; seller and version context can vary.</x:v>
      </x:c>
      <x:c r="P192" s="21" t="str">
        <x:v>Mixed</x:v>
      </x:c>
      <x:c r="Q192" s="21" t="str">
        <x:v>Positive</x:v>
      </x:c>
      <x:c r="R192" s="21" t="str">
        <x:v>Other marketplace essences</x:v>
      </x:c>
      <x:c r="S192" s="21" t="str">
        <x:v>Yes / U.S. retailer</x:v>
      </x:c>
      <x:c r="T192" s="21" t="str">
        <x:v>Medium-High</x:v>
      </x:c>
      <x:c r="U192" s="21" t="str">
        <x:v>SRC-MIX-026</x:v>
      </x:c>
      <x:c r="V192" s="21" t="str">
        <x:v>Treat seller identity separately from aggregate reviews.</x:v>
      </x:c>
    </x:row>
    <x:row r="193" ht="116" customHeight="1">
      <x:c r="A193" s="21" t="str">
        <x:v>REV-MIX-006</x:v>
      </x:c>
      <x:c r="B193" s="21" t="str">
        <x:v>KB013</x:v>
      </x:c>
      <x:c r="C193" s="21" t="str">
        <x:v>MIX-P001</x:v>
      </x:c>
      <x:c r="D193" s="21" t="str">
        <x:v>Reddit r/AsianBeauty</x:v>
      </x:c>
      <x:c r="E193" s="21" t="str">
        <x:v>https://www.reddit.com/r/AsianBeauty/comments/151vvoq/thoughts_on_mixsoon_essences/</x:v>
      </x:c>
      <x:c r="F193" s="25"/>
      <x:c r="G193" s="25" t="str">
        <x:v>2026-08-01</x:v>
      </x:c>
      <x:c r="H193" s="33" t="str">
        <x:v>Thread</x:v>
      </x:c>
      <x:c r="I193" s="21" t="str">
        <x:v>No</x:v>
      </x:c>
      <x:c r="J193" s="21" t="str">
        <x:v>No formal sponsorship audit</x:v>
      </x:c>
      <x:c r="K193" s="21" t="str">
        <x:v>Mixed</x:v>
      </x:c>
      <x:c r="L193" s="21" t="str">
        <x:v>Mixed experience with Mixsoon essences</x:v>
      </x:c>
      <x:c r="M193" s="21" t="str">
        <x:v>Community discussion includes repeat users and skeptical/no-effect reactions.</x:v>
      </x:c>
      <x:c r="N193" s="21" t="str">
        <x:v>Hydration, glow and enjoyable layering for some.</x:v>
      </x:c>
      <x:c r="O193" s="21" t="str">
        <x:v>Limited effect, value skepticism and preference for alternatives for others.</x:v>
      </x:c>
      <x:c r="P193" s="21" t="str">
        <x:v>Mixed</x:v>
      </x:c>
      <x:c r="Q193" s="21" t="str">
        <x:v>Mixed</x:v>
      </x:c>
      <x:c r="R193" s="21" t="str">
        <x:v>Other Korean essences</x:v>
      </x:c>
      <x:c r="S193" s="21" t="str">
        <x:v>Mixed / not verified</x:v>
      </x:c>
      <x:c r="T193" s="21" t="str">
        <x:v>Low-Medium</x:v>
      </x:c>
      <x:c r="U193" s="21" t="str">
        <x:v>SRC-MIX-035</x:v>
      </x:c>
      <x:c r="V193" s="21" t="str">
        <x:v>Self-selected anecdotal discussion.</x:v>
      </x:c>
    </x:row>
    <x:row r="194" ht="116" customHeight="1">
      <x:c r="A194" s="21" t="str">
        <x:v>REV-MIX-007</x:v>
      </x:c>
      <x:c r="B194" s="21" t="str">
        <x:v>KB013</x:v>
      </x:c>
      <x:c r="C194" s="21" t="str">
        <x:v>MIX-P001</x:v>
      </x:c>
      <x:c r="D194" s="21" t="str">
        <x:v>Reddit r/AsianBeauty</x:v>
      </x:c>
      <x:c r="E194" s="21" t="str">
        <x:v>https://www.reddit.com/r/AsianBeauty/comments/1dbamni/mixsoon_bean_essence_my_experience/</x:v>
      </x:c>
      <x:c r="F194" s="25"/>
      <x:c r="G194" s="25" t="str">
        <x:v>2026-08-01</x:v>
      </x:c>
      <x:c r="H194" s="33" t="str">
        <x:v>Thread</x:v>
      </x:c>
      <x:c r="I194" s="21" t="str">
        <x:v>No</x:v>
      </x:c>
      <x:c r="J194" s="21" t="str">
        <x:v>No formal sponsorship audit</x:v>
      </x:c>
      <x:c r="K194" s="21" t="str">
        <x:v>Mixed-Negative</x:v>
      </x:c>
      <x:c r="L194" s="21" t="str">
        <x:v>Irritation versus exfoliation/hydration benefits</x:v>
      </x:c>
      <x:c r="M194" s="21" t="str">
        <x:v>Thread centers on one user's adverse experience with contrasting community reactions.</x:v>
      </x:c>
      <x:c r="N194" s="21" t="str">
        <x:v>Some users report smoother texture, hydration and gentle exfoliation.</x:v>
      </x:c>
      <x:c r="O194" s="21" t="str">
        <x:v>Burning, sensitization or incompatibility reported by some.</x:v>
      </x:c>
      <x:c r="P194" s="21" t="str">
        <x:v>Sensitive / mixed</x:v>
      </x:c>
      <x:c r="Q194" s="21" t="str">
        <x:v>Mixed</x:v>
      </x:c>
      <x:c r="R194" s="21" t="str">
        <x:v>Other gentle exfoliants</x:v>
      </x:c>
      <x:c r="S194" s="21" t="str">
        <x:v>Mixed / not verified</x:v>
      </x:c>
      <x:c r="T194" s="21" t="str">
        <x:v>Low-Medium</x:v>
      </x:c>
      <x:c r="U194" s="21" t="str">
        <x:v>SRC-MIX-036</x:v>
      </x:c>
      <x:c r="V194" s="21" t="str">
        <x:v>No clinical causality or defect finding.</x:v>
      </x:c>
    </x:row>
    <x:row r="195" ht="116" customHeight="1">
      <x:c r="A195" s="21" t="str">
        <x:v>REV-MIX-008</x:v>
      </x:c>
      <x:c r="B195" s="21" t="str">
        <x:v>KB013</x:v>
      </x:c>
      <x:c r="C195" s="21" t="str">
        <x:v>MIX-P001</x:v>
      </x:c>
      <x:c r="D195" s="21" t="str">
        <x:v>Reddit r/AsianBeauty</x:v>
      </x:c>
      <x:c r="E195" s="21" t="str">
        <x:v>https://www.reddit.com/r/AsianBeauty/comments/1eivf7o/</x:v>
      </x:c>
      <x:c r="F195" s="25"/>
      <x:c r="G195" s="25" t="str">
        <x:v>2026-08-01</x:v>
      </x:c>
      <x:c r="H195" s="33" t="str">
        <x:v>Thread</x:v>
      </x:c>
      <x:c r="I195" s="21" t="str">
        <x:v>No</x:v>
      </x:c>
      <x:c r="J195" s="21" t="str">
        <x:v>No formal sponsorship audit</x:v>
      </x:c>
      <x:c r="K195" s="21" t="str">
        <x:v>Mixed-Negative</x:v>
      </x:c>
      <x:c r="L195" s="21" t="str">
        <x:v>Heavy, slippery or oily sensory profile</x:v>
      </x:c>
      <x:c r="M195" s="21" t="str">
        <x:v>Users debate whether the elastic essence texture feels elegant or overly occlusive.</x:v>
      </x:c>
      <x:c r="N195" s="21" t="str">
        <x:v>Dewy finish and massage slip for some.</x:v>
      </x:c>
      <x:c r="O195" s="21" t="str">
        <x:v>Heavy, slippery, sticky or oily feel for others.</x:v>
      </x:c>
      <x:c r="P195" s="21" t="str">
        <x:v>Mixed</x:v>
      </x:c>
      <x:c r="Q195" s="21" t="str">
        <x:v>Mixed</x:v>
      </x:c>
      <x:c r="R195" s="21" t="str">
        <x:v>COSRX snail and other essences</x:v>
      </x:c>
      <x:c r="S195" s="21" t="str">
        <x:v>Mixed / not verified</x:v>
      </x:c>
      <x:c r="T195" s="21" t="str">
        <x:v>Low</x:v>
      </x:c>
      <x:c r="U195" s="21" t="str">
        <x:v>SRC-MIX-037</x:v>
      </x:c>
      <x:c r="V195" s="21" t="str">
        <x:v>Self-selected consumer perceptions.</x:v>
      </x:c>
    </x:row>
    <x:row r="196" ht="116" customHeight="1">
      <x:c r="A196" s="21" t="str">
        <x:v>REV-MIX-009</x:v>
      </x:c>
      <x:c r="B196" s="21" t="str">
        <x:v>KB013</x:v>
      </x:c>
      <x:c r="C196" s="21"/>
      <x:c r="D196" s="21" t="str">
        <x:v>Reddit r/AsianBeauty</x:v>
      </x:c>
      <x:c r="E196" s="21" t="str">
        <x:v>https://www.reddit.com/r/AsianBeauty/comments/1hmsne3/</x:v>
      </x:c>
      <x:c r="F196" s="25"/>
      <x:c r="G196" s="25" t="str">
        <x:v>2026-08-01</x:v>
      </x:c>
      <x:c r="H196" s="33" t="str">
        <x:v>Thread</x:v>
      </x:c>
      <x:c r="I196" s="21" t="str">
        <x:v>No</x:v>
      </x:c>
      <x:c r="J196" s="21" t="str">
        <x:v>High allegation/sampling risk</x:v>
      </x:c>
      <x:c r="K196" s="21" t="str">
        <x:v>Mixed-Negative</x:v>
      </x:c>
      <x:c r="L196" s="21" t="str">
        <x:v>Marketing authenticity concern</x:v>
      </x:c>
      <x:c r="M196" s="21" t="str">
        <x:v>Users alleged bot-like or overly coordinated promotion patterns.</x:v>
      </x:c>
      <x:c r="N196" s="21" t="str">
        <x:v>Strong brand visibility and discovery are evident.</x:v>
      </x:c>
      <x:c r="O196" s="21" t="str">
        <x:v>Perceived influencer saturation can reduce trust.</x:v>
      </x:c>
      <x:c r="P196" s="21" t="str">
        <x:v>Not applicable</x:v>
      </x:c>
      <x:c r="Q196" s="21" t="str">
        <x:v>Mixed</x:v>
      </x:c>
      <x:c r="R196" s="21" t="str">
        <x:v>Other viral K-Beauty brands</x:v>
      </x:c>
      <x:c r="S196" s="21" t="str">
        <x:v>Mixed / not verified</x:v>
      </x:c>
      <x:c r="T196" s="21" t="str">
        <x:v>Low</x:v>
      </x:c>
      <x:c r="U196" s="21" t="str">
        <x:v>SRC-MIX-038</x:v>
      </x:c>
      <x:c r="V196" s="21" t="str">
        <x:v>Allegations are anecdotal and not proven.</x:v>
      </x:c>
    </x:row>
    <x:row r="197" ht="116" customHeight="1">
      <x:c r="A197" s="21" t="str">
        <x:v>REV-MIX-010</x:v>
      </x:c>
      <x:c r="B197" s="21" t="str">
        <x:v>KB013</x:v>
      </x:c>
      <x:c r="C197" s="21" t="str">
        <x:v>MIX-P003</x:v>
      </x:c>
      <x:c r="D197" s="21" t="str">
        <x:v>Reddit r/SkincareAddiction</x:v>
      </x:c>
      <x:c r="E197" s="21" t="str">
        <x:v>https://www.reddit.com/r/SkincareAddiction/comments/1dj35z3/product_question_mixsoon_glacier_water/</x:v>
      </x:c>
      <x:c r="F197" s="25"/>
      <x:c r="G197" s="25" t="str">
        <x:v>2026-08-01</x:v>
      </x:c>
      <x:c r="H197" s="33" t="str">
        <x:v>Thread</x:v>
      </x:c>
      <x:c r="I197" s="21" t="str">
        <x:v>No</x:v>
      </x:c>
      <x:c r="J197" s="21" t="str">
        <x:v>No formal sponsorship audit</x:v>
      </x:c>
      <x:c r="K197" s="21" t="str">
        <x:v>Mixed</x:v>
      </x:c>
      <x:c r="L197" s="21" t="str">
        <x:v>Plumping value versus itching/breakouts</x:v>
      </x:c>
      <x:c r="M197" s="21" t="str">
        <x:v>Consumers report very different tolerance outcomes for Glacier Serum.</x:v>
      </x:c>
      <x:c r="N197" s="21" t="str">
        <x:v>Plump, hydrated feel and large-format value.</x:v>
      </x:c>
      <x:c r="O197" s="21" t="str">
        <x:v>Itching, breakouts or incompatibility for some.</x:v>
      </x:c>
      <x:c r="P197" s="21" t="str">
        <x:v>Mixed / sensitive</x:v>
      </x:c>
      <x:c r="Q197" s="21" t="str">
        <x:v>Mixed</x:v>
      </x:c>
      <x:c r="R197" s="21" t="str">
        <x:v>Other hyaluronic serums</x:v>
      </x:c>
      <x:c r="S197" s="21" t="str">
        <x:v>Mixed / not verified</x:v>
      </x:c>
      <x:c r="T197" s="21" t="str">
        <x:v>Low-Medium</x:v>
      </x:c>
      <x:c r="U197" s="21" t="str">
        <x:v>SRC-MIX-039</x:v>
      </x:c>
      <x:c r="V197" s="21" t="str">
        <x:v>No clinical causality or defect finding.</x:v>
      </x:c>
    </x:row>
    <x:row r="198" ht="116" customHeight="1">
      <x:c r="A198" s="21" t="str">
        <x:v>REV-MIX-011</x:v>
      </x:c>
      <x:c r="B198" s="21" t="str">
        <x:v>KB013</x:v>
      </x:c>
      <x:c r="C198" s="21" t="str">
        <x:v>MIX-P003</x:v>
      </x:c>
      <x:c r="D198" s="21" t="str">
        <x:v>Reddit r/koreanskincare</x:v>
      </x:c>
      <x:c r="E198" s="21" t="str">
        <x:v>https://www.reddit.com/r/koreanskincare/comments/1kwqbwa/</x:v>
      </x:c>
      <x:c r="F198" s="25"/>
      <x:c r="G198" s="25" t="str">
        <x:v>2026-08-01</x:v>
      </x:c>
      <x:c r="H198" s="33" t="str">
        <x:v>Thread</x:v>
      </x:c>
      <x:c r="I198" s="21" t="str">
        <x:v>No</x:v>
      </x:c>
      <x:c r="J198" s="21" t="str">
        <x:v>No formal sponsorship audit</x:v>
      </x:c>
      <x:c r="K198" s="21" t="str">
        <x:v>Mixed-Positive</x:v>
      </x:c>
      <x:c r="L198" s="21" t="str">
        <x:v>Large-format value</x:v>
      </x:c>
      <x:c r="M198" s="21" t="str">
        <x:v>Thread highlights the 300 mL serum as a strong value proposition.</x:v>
      </x:c>
      <x:c r="N198" s="21" t="str">
        <x:v>Hydration, layering and 'bang for buck' sentiment.</x:v>
      </x:c>
      <x:c r="O198" s="21" t="str">
        <x:v>Some users see little difference from simpler hyaluronic products.</x:v>
      </x:c>
      <x:c r="P198" s="21" t="str">
        <x:v>Dry/dehydrated / mixed</x:v>
      </x:c>
      <x:c r="Q198" s="21" t="str">
        <x:v>Positive-Mixed</x:v>
      </x:c>
      <x:c r="R198" s="21" t="str">
        <x:v>Torriden and generic HA serums</x:v>
      </x:c>
      <x:c r="S198" s="21" t="str">
        <x:v>Mixed / not verified</x:v>
      </x:c>
      <x:c r="T198" s="21" t="str">
        <x:v>Low-Medium</x:v>
      </x:c>
      <x:c r="U198" s="21" t="str">
        <x:v>SRC-MIX-040</x:v>
      </x:c>
      <x:c r="V198" s="21" t="str">
        <x:v>Self-selected consumer discussion.</x:v>
      </x:c>
    </x:row>
    <x:row r="199" ht="116" customHeight="1">
      <x:c r="A199" s="21" t="str">
        <x:v>REV-MIX-012</x:v>
      </x:c>
      <x:c r="B199" s="21" t="str">
        <x:v>KB013</x:v>
      </x:c>
      <x:c r="C199" s="21" t="str">
        <x:v>MIX-P001</x:v>
      </x:c>
      <x:c r="D199" s="21" t="str">
        <x:v>Reddit r/AsianBeauty</x:v>
      </x:c>
      <x:c r="E199" s="21" t="str">
        <x:v>https://www.reddit.com/r/AsianBeauty/comments/1r94pzy/what_is_in_my_mixsoon_bean_essence/</x:v>
      </x:c>
      <x:c r="F199" s="25"/>
      <x:c r="G199" s="25" t="str">
        <x:v>2026-08-01</x:v>
      </x:c>
      <x:c r="H199" s="33" t="str">
        <x:v>Thread</x:v>
      </x:c>
      <x:c r="I199" s="21" t="str">
        <x:v>No</x:v>
      </x:c>
      <x:c r="J199" s="21" t="str">
        <x:v>No formal sponsorship audit</x:v>
      </x:c>
      <x:c r="K199" s="21" t="str">
        <x:v>Negative Risk Signal</x:v>
      </x:c>
      <x:c r="L199" s="21" t="str">
        <x:v>Visible particulate / possible contamination concern</x:v>
      </x:c>
      <x:c r="M199" s="21" t="str">
        <x:v>A consumer posted an isolated black-particle concern and comments speculated about mold.</x:v>
      </x:c>
      <x:c r="N199" s="21"/>
      <x:c r="O199" s="21" t="str">
        <x:v>Particulate, preservative-efficacy, storage and microbial questions.</x:v>
      </x:c>
      <x:c r="P199" s="21" t="str">
        <x:v>Not applicable</x:v>
      </x:c>
      <x:c r="Q199" s="21" t="str">
        <x:v>Negative</x:v>
      </x:c>
      <x:c r="R199" s="21" t="str">
        <x:v>Other fermented essences</x:v>
      </x:c>
      <x:c r="S199" s="21" t="str">
        <x:v>Mixed / not verified</x:v>
      </x:c>
      <x:c r="T199" s="21" t="str">
        <x:v>Low</x:v>
      </x:c>
      <x:c r="U199" s="21" t="str">
        <x:v>SRC-MIX-041</x:v>
      </x:c>
      <x:c r="V199" s="21" t="str">
        <x:v>Not a confirmed defect or recall; require batch investigation procedures and microbial files.</x:v>
      </x:c>
    </x:row>
    <x:row r="200" ht="116" customHeight="1">
      <x:c r="A200" s="21" t="str">
        <x:v>REV-MIX-013</x:v>
      </x:c>
      <x:c r="B200" s="21" t="str">
        <x:v>KB013</x:v>
      </x:c>
      <x:c r="C200" s="21" t="str">
        <x:v>MIX-P001</x:v>
      </x:c>
      <x:c r="D200" s="21" t="str">
        <x:v>Reddit r/SkincareAddiction</x:v>
      </x:c>
      <x:c r="E200" s="21" t="str">
        <x:v>https://www.reddit.com/r/SkincareAddiction/comments/1rjzutq/</x:v>
      </x:c>
      <x:c r="F200" s="25"/>
      <x:c r="G200" s="25" t="str">
        <x:v>2026-08-01</x:v>
      </x:c>
      <x:c r="H200" s="33" t="str">
        <x:v>Thread</x:v>
      </x:c>
      <x:c r="I200" s="21" t="str">
        <x:v>No</x:v>
      </x:c>
      <x:c r="J200" s="21" t="str">
        <x:v>No formal sponsorship audit</x:v>
      </x:c>
      <x:c r="K200" s="21" t="str">
        <x:v>Mixed-Negative</x:v>
      </x:c>
      <x:c r="L200" s="21" t="str">
        <x:v>Costco versus other version/texture concern</x:v>
      </x:c>
      <x:c r="M200" s="21" t="str">
        <x:v>A consumer compared Costco and another bottle and associated a texture difference with breakouts.</x:v>
      </x:c>
      <x:c r="N200" s="21" t="str">
        <x:v>Club value and easy access.</x:v>
      </x:c>
      <x:c r="O200" s="21" t="str">
        <x:v>Package/texture variation, authenticity and breakout concern.</x:v>
      </x:c>
      <x:c r="P200" s="21" t="str">
        <x:v>Mixed</x:v>
      </x:c>
      <x:c r="Q200" s="21" t="str">
        <x:v>Mixed</x:v>
      </x:c>
      <x:c r="R200" s="21" t="str">
        <x:v>Other Bean Essence variants</x:v>
      </x:c>
      <x:c r="S200" s="21" t="str">
        <x:v>Mixed / not verified</x:v>
      </x:c>
      <x:c r="T200" s="21" t="str">
        <x:v>Low</x:v>
      </x:c>
      <x:c r="U200" s="21" t="str">
        <x:v>SRC-MIX-042</x:v>
      </x:c>
      <x:c r="V200" s="21" t="str">
        <x:v>Anecdotal; verify UPC, lot, formula and channel version mapping.</x:v>
      </x:c>
    </x:row>
    <x:row r="201" ht="116" customHeight="1">
      <x:c r="A201" s="21" t="str">
        <x:v>REV-MIX-014</x:v>
      </x:c>
      <x:c r="B201" s="21" t="str">
        <x:v>KB013</x:v>
      </x:c>
      <x:c r="C201" s="21" t="str">
        <x:v>MIX-P001</x:v>
      </x:c>
      <x:c r="D201" s="21" t="str">
        <x:v>Reddit r/koreanskincare</x:v>
      </x:c>
      <x:c r="E201" s="21" t="str">
        <x:v>https://www.reddit.com/r/koreanskincare/comments/1v7q99l/</x:v>
      </x:c>
      <x:c r="F201" s="25"/>
      <x:c r="G201" s="25" t="str">
        <x:v>2026-08-01</x:v>
      </x:c>
      <x:c r="H201" s="33" t="str">
        <x:v>Thread</x:v>
      </x:c>
      <x:c r="I201" s="21" t="str">
        <x:v>No</x:v>
      </x:c>
      <x:c r="J201" s="21" t="str">
        <x:v>No formal sponsorship audit</x:v>
      </x:c>
      <x:c r="K201" s="21" t="str">
        <x:v>Mixed Risk Signal</x:v>
      </x:c>
      <x:c r="L201" s="21" t="str">
        <x:v>Localized Costco clearance</x:v>
      </x:c>
      <x:c r="M201" s="21" t="str">
        <x:v>User reported a Bay Area clearance price of $4.97 for a two-pack.</x:v>
      </x:c>
      <x:c r="N201" s="21" t="str">
        <x:v>Exceptional consumer value if accurate.</x:v>
      </x:c>
      <x:c r="O201" s="21" t="str">
        <x:v>Severe price conflict and inventory liquidation risk.</x:v>
      </x:c>
      <x:c r="P201" s="21" t="str">
        <x:v>Not applicable</x:v>
      </x:c>
      <x:c r="Q201" s="21" t="str">
        <x:v>Purchase/value positive; channel negative</x:v>
      </x:c>
      <x:c r="R201" s="21" t="str">
        <x:v>Other clearance K-Beauty</x:v>
      </x:c>
      <x:c r="S201" s="21" t="str">
        <x:v>Likely U.S. / not independently verified</x:v>
      </x:c>
      <x:c r="T201" s="21" t="str">
        <x:v>Low-Medium</x:v>
      </x:c>
      <x:c r="U201" s="21" t="str">
        <x:v>SRC-MIX-043</x:v>
      </x:c>
      <x:c r="V201" s="21" t="str">
        <x:v>Localized anecdote; not a national price.</x:v>
      </x:c>
    </x:row>
    <x:row r="202" ht="116" customHeight="1">
      <x:c r="A202" s="56" t="str">
        <x:v>REV-MIX-015</x:v>
      </x:c>
      <x:c r="B202" s="56" t="str">
        <x:v>KB013</x:v>
      </x:c>
      <x:c r="C202" s="56" t="str">
        <x:v>MIX-P001</x:v>
      </x:c>
      <x:c r="D202" s="56" t="str">
        <x:v>Reddit</x:v>
      </x:c>
      <x:c r="E202" s="56" t="str">
        <x:v>https://www.reddit.com/r/SkincareAddiction/comments/1fxqyik/</x:v>
      </x:c>
      <x:c r="F202" s="56"/>
      <x:c r="G202" s="56" t="str">
        <x:v>2026-08-01</x:v>
      </x:c>
      <x:c r="H202" s="56" t="str">
        <x:v>Thread</x:v>
      </x:c>
      <x:c r="I202" s="56" t="str">
        <x:v>No</x:v>
      </x:c>
      <x:c r="J202" s="56" t="str">
        <x:v>No formal sponsorship audit</x:v>
      </x:c>
      <x:c r="K202" s="56" t="str">
        <x:v>Mixed Risk Signal</x:v>
      </x:c>
      <x:c r="L202" s="56" t="str">
        <x:v>Authenticity and packaging variation</x:v>
      </x:c>
      <x:c r="M202" s="56" t="str">
        <x:v>Consumers compare packaging, seller and texture to assess authenticity.</x:v>
      </x:c>
      <x:c r="N202" s="56" t="str">
        <x:v>Official seller/retailer education can reassure consumers.</x:v>
      </x:c>
      <x:c r="O202" s="56" t="str">
        <x:v>Counterfeit anxiety and package-version confusion.</x:v>
      </x:c>
      <x:c r="P202" s="56" t="str">
        <x:v>Not applicable</x:v>
      </x:c>
      <x:c r="Q202" s="56" t="str">
        <x:v>Mixed</x:v>
      </x:c>
      <x:c r="R202" s="56" t="str">
        <x:v>Marketplace K-Beauty brands</x:v>
      </x:c>
      <x:c r="S202" s="56" t="str">
        <x:v>Mixed / not verified</x:v>
      </x:c>
      <x:c r="T202" s="56" t="str">
        <x:v>Low-Medium</x:v>
      </x:c>
      <x:c r="U202" s="56" t="str">
        <x:v>SRC-MIX-044</x:v>
      </x:c>
      <x:c r="V202" s="56" t="str">
        <x:v>Packaging difference alone does not prove counterfeit.</x:v>
      </x:c>
    </x:row>
    <x:row r="203" ht="116" customHeight="1">
      <x:c r="A203" s="56" t="str">
        <x:v>REV-MIX-016</x:v>
      </x:c>
      <x:c r="B203" s="56" t="str">
        <x:v>KB013</x:v>
      </x:c>
      <x:c r="C203" s="56" t="str">
        <x:v>MIX-P001</x:v>
      </x:c>
      <x:c r="D203" s="56" t="str">
        <x:v>Daily Beast</x:v>
      </x:c>
      <x:c r="E203" s="56" t="str">
        <x:v>https://www.thedailybeast.com/mixsoon-bean-essence-review/</x:v>
      </x:c>
      <x:c r="F203" s="56" t="str">
        <x:v>2025-07-10</x:v>
      </x:c>
      <x:c r="G203" s="56" t="str">
        <x:v>2026-08-01</x:v>
      </x:c>
      <x:c r="H203" s="56" t="str">
        <x:v>Editorial review</x:v>
      </x:c>
      <x:c r="I203" s="56" t="str">
        <x:v>Not applicable</x:v>
      </x:c>
      <x:c r="J203" s="56" t="str">
        <x:v>Affiliate-commerce publication</x:v>
      </x:c>
      <x:c r="K203" s="56" t="str">
        <x:v>Positive</x:v>
      </x:c>
      <x:c r="L203" s="56" t="str">
        <x:v>Viral hero and cult awareness</x:v>
      </x:c>
      <x:c r="M203" s="56" t="str">
        <x:v>Editorial review characterizes Bean Essence as a viral/cult product and describes the texture/glow use case.</x:v>
      </x:c>
      <x:c r="N203" s="56" t="str">
        <x:v>Media validation, discovery and favorable texture/glow narrative.</x:v>
      </x:c>
      <x:c r="O203" s="56" t="str">
        <x:v>Affiliate incentives and single-writer perspective limit independence.</x:v>
      </x:c>
      <x:c r="P203" s="56" t="str">
        <x:v>Mixed</x:v>
      </x:c>
      <x:c r="Q203" s="56" t="str">
        <x:v>Positive</x:v>
      </x:c>
      <x:c r="R203" s="56" t="str">
        <x:v>Other viral essences</x:v>
      </x:c>
      <x:c r="S203" s="56" t="str">
        <x:v>U.S. publication</x:v>
      </x:c>
      <x:c r="T203" s="56" t="str">
        <x:v>Medium</x:v>
      </x:c>
      <x:c r="U203" s="56" t="str">
        <x:v>SRC-MIX-034</x:v>
      </x:c>
      <x:c r="V203" s="56" t="str">
        <x:v>Editorial awareness evidence, not consumer-scale research.</x:v>
      </x:c>
    </x:row>
    <x:row r="204" ht="118" customHeight="1">
      <x:c r="A204" s="56" t="str">
        <x:v>REV-DAL-001</x:v>
      </x:c>
      <x:c r="B204" s="56" t="str">
        <x:v>KB014</x:v>
      </x:c>
      <x:c r="C204" s="56" t="str">
        <x:v>DAL-P001</x:v>
      </x:c>
      <x:c r="D204" s="56" t="str">
        <x:v>Amazon U.S.</x:v>
      </x:c>
      <x:c r="E204" s="56" t="str">
        <x:v>https://www.amazon.com/dp/B0BFQ9RD5B</x:v>
      </x:c>
      <x:c r="F204" s="56"/>
      <x:c r="G204" s="56" t="str">
        <x:v>2026-08-01</x:v>
      </x:c>
      <x:c r="H204" s="56" t="n">
        <x:v>33414</x:v>
      </x:c>
      <x:c r="I204" s="56" t="str">
        <x:v>Mixed / not individually audited</x:v>
      </x:c>
      <x:c r="J204" s="56" t="str">
        <x:v>Retailer review environment; incentive disclosures vary</x:v>
      </x:c>
      <x:c r="K204" s="56" t="str">
        <x:v>Mostly Positive</x:v>
      </x:c>
      <x:c r="L204" s="56" t="str">
        <x:v>Exceptional scale; glow and hydration</x:v>
      </x:c>
      <x:c r="M204" s="56" t="str">
        <x:v>4.5/33,414 is a strong satisfaction and awareness signal.</x:v>
      </x:c>
      <x:c r="N204" s="56" t="str">
        <x:v>Fine mist, dewy finish, hydration and makeup refresh.</x:v>
      </x:c>
      <x:c r="O204" s="56" t="str">
        <x:v>Fragrance, oiliness and reactions for some users.</x:v>
      </x:c>
      <x:c r="P204" s="56" t="str">
        <x:v>Mixed</x:v>
      </x:c>
      <x:c r="Q204" s="56" t="str">
        <x:v>Strong positive signal</x:v>
      </x:c>
      <x:c r="R204" s="56" t="str">
        <x:v>Peach &amp; Lily; Tatcha; Pixi</x:v>
      </x:c>
      <x:c r="S204" s="56" t="str">
        <x:v>Yes / U.S. marketplace</x:v>
      </x:c>
      <x:c r="T204" s="56" t="str">
        <x:v>High</x:v>
      </x:c>
      <x:c r="U204" s="56" t="str">
        <x:v>SRC-DAL-017</x:v>
      </x:c>
      <x:c r="V204" s="56" t="str">
        <x:v>Dynamic variant-family aggregate; no verbatim quote stored.</x:v>
      </x:c>
    </x:row>
    <x:row r="205" ht="118" customHeight="1">
      <x:c r="A205" s="56" t="str">
        <x:v>REV-DAL-002</x:v>
      </x:c>
      <x:c r="B205" s="56" t="str">
        <x:v>KB014</x:v>
      </x:c>
      <x:c r="C205" s="56" t="str">
        <x:v>DAL-P002</x:v>
      </x:c>
      <x:c r="D205" s="56" t="str">
        <x:v>Amazon U.S.</x:v>
      </x:c>
      <x:c r="E205" s="56" t="str">
        <x:v>https://www.amazon.com/dp/B09SZ5JX2Y</x:v>
      </x:c>
      <x:c r="F205" s="56"/>
      <x:c r="G205" s="56" t="str">
        <x:v>2026-08-01</x:v>
      </x:c>
      <x:c r="H205" s="56" t="n">
        <x:v>7856</x:v>
      </x:c>
      <x:c r="I205" s="56" t="str">
        <x:v>Mixed / not individually audited</x:v>
      </x:c>
      <x:c r="J205" s="56" t="str">
        <x:v>Retailer review environment; incentive disclosures vary</x:v>
      </x:c>
      <x:c r="K205" s="56" t="str">
        <x:v>Mostly Positive</x:v>
      </x:c>
      <x:c r="L205" s="56" t="str">
        <x:v>Portable moisture and glow</x:v>
      </x:c>
      <x:c r="M205" s="56" t="str">
        <x:v>4.5/7,856 supports a mature high-velocity multi-balm franchise.</x:v>
      </x:c>
      <x:c r="N205" s="56" t="str">
        <x:v>Convenience, softness, targeted glow and makeup-prep use.</x:v>
      </x:c>
      <x:c r="O205" s="56" t="str">
        <x:v>Occlusive feel, fragrance, value and wrinkle-claim skepticism.</x:v>
      </x:c>
      <x:c r="P205" s="56" t="str">
        <x:v>Mixed</x:v>
      </x:c>
      <x:c r="Q205" s="56" t="str">
        <x:v>Strong positive signal</x:v>
      </x:c>
      <x:c r="R205" s="56" t="str">
        <x:v>KAHI Multi Balm</x:v>
      </x:c>
      <x:c r="S205" s="56" t="str">
        <x:v>Yes / U.S. marketplace</x:v>
      </x:c>
      <x:c r="T205" s="56" t="str">
        <x:v>High</x:v>
      </x:c>
      <x:c r="U205" s="56" t="str">
        <x:v>SRC-DAL-018</x:v>
      </x:c>
      <x:c r="V205" s="56" t="str">
        <x:v>Dynamic review family.</x:v>
      </x:c>
    </x:row>
    <x:row r="206" ht="118" customHeight="1">
      <x:c r="A206" s="56" t="str">
        <x:v>REV-DAL-003</x:v>
      </x:c>
      <x:c r="B206" s="56" t="str">
        <x:v>KB014</x:v>
      </x:c>
      <x:c r="C206" s="56" t="str">
        <x:v>DAL-P003</x:v>
      </x:c>
      <x:c r="D206" s="56" t="str">
        <x:v>Amazon U.S.</x:v>
      </x:c>
      <x:c r="E206" s="56" t="str">
        <x:v>https://www.amazon.com/dp/B0CC2HZ8WL</x:v>
      </x:c>
      <x:c r="F206" s="56"/>
      <x:c r="G206" s="56" t="str">
        <x:v>2026-08-01</x:v>
      </x:c>
      <x:c r="H206" s="56" t="n">
        <x:v>766</x:v>
      </x:c>
      <x:c r="I206" s="56" t="str">
        <x:v>Mixed / not individually audited</x:v>
      </x:c>
      <x:c r="J206" s="56" t="str">
        <x:v>Retailer review environment; incentive disclosures vary</x:v>
      </x:c>
      <x:c r="K206" s="56" t="str">
        <x:v>Mostly Positive</x:v>
      </x:c>
      <x:c r="L206" s="56" t="str">
        <x:v>Plumping sensory appeal versus results skepticism</x:v>
      </x:c>
      <x:c r="M206" s="56" t="str">
        <x:v>4.4/766 plus 7K+ monthly badge shows strong current discovery.</x:v>
      </x:c>
      <x:c r="N206" s="56" t="str">
        <x:v>Rich moisture, package novelty and temporarily plumper-looking skin.</x:v>
      </x:c>
      <x:c r="O206" s="56" t="str">
        <x:v>Price, stickiness, irritation and permanence/claim skepticism.</x:v>
      </x:c>
      <x:c r="P206" s="56" t="str">
        <x:v>Mixed</x:v>
      </x:c>
      <x:c r="Q206" s="56" t="str">
        <x:v>Positive-Mixed</x:v>
      </x:c>
      <x:c r="R206" s="56" t="str">
        <x:v>Medicube collagen creams</x:v>
      </x:c>
      <x:c r="S206" s="56" t="str">
        <x:v>Yes / U.S. marketplace</x:v>
      </x:c>
      <x:c r="T206" s="56" t="str">
        <x:v>High</x:v>
      </x:c>
      <x:c r="U206" s="56" t="str">
        <x:v>SRC-DAL-019</x:v>
      </x:c>
      <x:c r="V206" s="56" t="str">
        <x:v>No clinical causality or permanent-effect inference.</x:v>
      </x:c>
    </x:row>
    <x:row r="207" ht="118" customHeight="1">
      <x:c r="A207" s="56" t="str">
        <x:v>REV-DAL-004</x:v>
      </x:c>
      <x:c r="B207" s="56" t="str">
        <x:v>KB014</x:v>
      </x:c>
      <x:c r="C207" s="56" t="str">
        <x:v>DAL-P004</x:v>
      </x:c>
      <x:c r="D207" s="56" t="str">
        <x:v>Amazon U.S.</x:v>
      </x:c>
      <x:c r="E207" s="56" t="str">
        <x:v>https://www.amazon.com/dp/B08KQFTDH9</x:v>
      </x:c>
      <x:c r="F207" s="56"/>
      <x:c r="G207" s="56" t="str">
        <x:v>2026-08-01</x:v>
      </x:c>
      <x:c r="H207" s="56" t="n">
        <x:v>2427</x:v>
      </x:c>
      <x:c r="I207" s="56" t="str">
        <x:v>Mixed / not individually audited</x:v>
      </x:c>
      <x:c r="J207" s="56" t="str">
        <x:v>Retailer review environment; incentive disclosures vary</x:v>
      </x:c>
      <x:c r="K207" s="56" t="str">
        <x:v>Mostly Positive</x:v>
      </x:c>
      <x:c r="L207" s="56" t="str">
        <x:v>Hydration and calming sensory use</x:v>
      </x:c>
      <x:c r="M207" s="56" t="str">
        <x:v>4.5/2,427 supports established demand beyond the hero mist.</x:v>
      </x:c>
      <x:c r="N207" s="56" t="str">
        <x:v>Refreshing hydration and glow.</x:v>
      </x:c>
      <x:c r="O207" s="56" t="str">
        <x:v>Fragrance/essential-oil concern and overlap with First Spray.</x:v>
      </x:c>
      <x:c r="P207" s="56" t="str">
        <x:v>Mixed</x:v>
      </x:c>
      <x:c r="Q207" s="56" t="str">
        <x:v>Positive</x:v>
      </x:c>
      <x:c r="R207" s="56" t="str">
        <x:v>Other calming mists</x:v>
      </x:c>
      <x:c r="S207" s="56" t="str">
        <x:v>Yes / U.S. marketplace</x:v>
      </x:c>
      <x:c r="T207" s="56" t="str">
        <x:v>High</x:v>
      </x:c>
      <x:c r="U207" s="56" t="str">
        <x:v>SRC-DAL-020</x:v>
      </x:c>
      <x:c r="V207" s="56" t="str">
        <x:v>Dynamic review family.</x:v>
      </x:c>
    </x:row>
    <x:row r="208" ht="118" customHeight="1">
      <x:c r="A208" s="56" t="str">
        <x:v>REV-DAL-005</x:v>
      </x:c>
      <x:c r="B208" s="56" t="str">
        <x:v>KB014</x:v>
      </x:c>
      <x:c r="C208" s="56" t="str">
        <x:v>DAL-P001</x:v>
      </x:c>
      <x:c r="D208" s="56" t="str">
        <x:v>Ulta Beauty</x:v>
      </x:c>
      <x:c r="E208" s="56" t="str">
        <x:v>https://www.ulta.com/p/white-truffle-first-spray-hydrating-glow-mist-serum-pimprod2056403?sku=2650461</x:v>
      </x:c>
      <x:c r="F208" s="56"/>
      <x:c r="G208" s="56" t="str">
        <x:v>2026-08-01</x:v>
      </x:c>
      <x:c r="H208" s="56" t="n">
        <x:v>293</x:v>
      </x:c>
      <x:c r="I208" s="56" t="str">
        <x:v>Mixed / retailer disclosures vary</x:v>
      </x:c>
      <x:c r="J208" s="56" t="str">
        <x:v>Retailer reviews may include incentives</x:v>
      </x:c>
      <x:c r="K208" s="56" t="str">
        <x:v>Mostly Positive</x:v>
      </x:c>
      <x:c r="L208" s="56" t="str">
        <x:v>National specialty validation</x:v>
      </x:c>
      <x:c r="M208" s="56" t="str">
        <x:v>Ulta showed 4.6/293 for the 100 mL mist.</x:v>
      </x:c>
      <x:c r="N208" s="56" t="str">
        <x:v>Glow, fine spray, hydration and makeup compatibility.</x:v>
      </x:c>
      <x:c r="O208" s="56" t="str">
        <x:v>Scent, oily finish and irritation concerns appear in the broader review pattern.</x:v>
      </x:c>
      <x:c r="P208" s="56" t="str">
        <x:v>Mixed</x:v>
      </x:c>
      <x:c r="Q208" s="56" t="str">
        <x:v>Positive</x:v>
      </x:c>
      <x:c r="R208" s="56" t="str">
        <x:v>Peach &amp; Lily and other Ulta mists</x:v>
      </x:c>
      <x:c r="S208" s="56" t="str">
        <x:v>Yes / U.S. retailer</x:v>
      </x:c>
      <x:c r="T208" s="56" t="str">
        <x:v>High</x:v>
      </x:c>
      <x:c r="U208" s="56" t="str">
        <x:v>SRC-DAL-025</x:v>
      </x:c>
      <x:c r="V208" s="56" t="str">
        <x:v>Rating/count dynamic.</x:v>
      </x:c>
    </x:row>
    <x:row r="209" ht="118" customHeight="1">
      <x:c r="A209" s="56" t="str">
        <x:v>REV-DAL-006</x:v>
      </x:c>
      <x:c r="B209" s="56" t="str">
        <x:v>KB014</x:v>
      </x:c>
      <x:c r="C209" s="56" t="str">
        <x:v>DAL-P002</x:v>
      </x:c>
      <x:c r="D209" s="56" t="str">
        <x:v>Ulta Beauty</x:v>
      </x:c>
      <x:c r="E209" s="56" t="str">
        <x:v>https://www.ulta.com/p/double-serum-all-in-one-multi-balm-stick-pimprod2056401?sku=2650458</x:v>
      </x:c>
      <x:c r="F209" s="56"/>
      <x:c r="G209" s="56" t="str">
        <x:v>2026-08-01</x:v>
      </x:c>
      <x:c r="H209" s="56" t="n">
        <x:v>168</x:v>
      </x:c>
      <x:c r="I209" s="56" t="str">
        <x:v>Mixed / retailer disclosures vary</x:v>
      </x:c>
      <x:c r="J209" s="56" t="str">
        <x:v>Retailer reviews may include incentives</x:v>
      </x:c>
      <x:c r="K209" s="56" t="str">
        <x:v>Mostly Positive</x:v>
      </x:c>
      <x:c r="L209" s="56" t="str">
        <x:v>Multi-balm format validation</x:v>
      </x:c>
      <x:c r="M209" s="56" t="str">
        <x:v>Ulta brand page showed about 4.6/168.</x:v>
      </x:c>
      <x:c r="N209" s="56" t="str">
        <x:v>Convenience, moisturized look and portability.</x:v>
      </x:c>
      <x:c r="O209" s="56" t="str">
        <x:v>Small size, occlusion and value concerns for some.</x:v>
      </x:c>
      <x:c r="P209" s="56" t="str">
        <x:v>Mixed</x:v>
      </x:c>
      <x:c r="Q209" s="56" t="str">
        <x:v>Positive</x:v>
      </x:c>
      <x:c r="R209" s="56" t="str">
        <x:v>KAHI</x:v>
      </x:c>
      <x:c r="S209" s="56" t="str">
        <x:v>Yes / U.S. retailer</x:v>
      </x:c>
      <x:c r="T209" s="56" t="str">
        <x:v>High</x:v>
      </x:c>
      <x:c r="U209" s="56" t="str">
        <x:v>SRC-DAL-025</x:v>
      </x:c>
      <x:c r="V209" s="56" t="str">
        <x:v>Rating/count dynamic.</x:v>
      </x:c>
    </x:row>
    <x:row r="210" ht="118" customHeight="1">
      <x:c r="A210" s="56" t="str">
        <x:v>REV-DAL-007</x:v>
      </x:c>
      <x:c r="B210" s="56" t="str">
        <x:v>KB014</x:v>
      </x:c>
      <x:c r="C210" s="56" t="str">
        <x:v>DAL-P003</x:v>
      </x:c>
      <x:c r="D210" s="56" t="str">
        <x:v>Ulta Beauty</x:v>
      </x:c>
      <x:c r="E210" s="56" t="str">
        <x:v>https://www.ulta.com/p/intensive-volufiline-elasticity-boost-grinding-cream-pimprod2056393?sku=2650473</x:v>
      </x:c>
      <x:c r="F210" s="56"/>
      <x:c r="G210" s="56" t="str">
        <x:v>2026-08-01</x:v>
      </x:c>
      <x:c r="H210" s="56" t="n">
        <x:v>86</x:v>
      </x:c>
      <x:c r="I210" s="56" t="str">
        <x:v>Mixed / retailer disclosures vary</x:v>
      </x:c>
      <x:c r="J210" s="56" t="str">
        <x:v>Retailer reviews may include incentives</x:v>
      </x:c>
      <x:c r="K210" s="56" t="str">
        <x:v>Positive</x:v>
      </x:c>
      <x:c r="L210" s="56" t="str">
        <x:v>Strong early retailer rating</x:v>
      </x:c>
      <x:c r="M210" s="56" t="str">
        <x:v>Ulta showed about 4.9/86.</x:v>
      </x:c>
      <x:c r="N210" s="56" t="str">
        <x:v>Moisture, rich texture, packaging and smoother-looking skin.</x:v>
      </x:c>
      <x:c r="O210" s="56" t="str">
        <x:v>Small sample relative to Amazon; claim durability not established.</x:v>
      </x:c>
      <x:c r="P210" s="56" t="str">
        <x:v>Mixed</x:v>
      </x:c>
      <x:c r="Q210" s="56" t="str">
        <x:v>Positive</x:v>
      </x:c>
      <x:c r="R210" s="56" t="str">
        <x:v>Medicube</x:v>
      </x:c>
      <x:c r="S210" s="56" t="str">
        <x:v>Yes / U.S. retailer</x:v>
      </x:c>
      <x:c r="T210" s="56" t="str">
        <x:v>High</x:v>
      </x:c>
      <x:c r="U210" s="56" t="str">
        <x:v>SRC-DAL-025</x:v>
      </x:c>
      <x:c r="V210" s="56" t="str">
        <x:v>Rating/count dynamic.</x:v>
      </x:c>
    </x:row>
    <x:row r="211" ht="118" customHeight="1">
      <x:c r="A211" s="56" t="str">
        <x:v>REV-DAL-008</x:v>
      </x:c>
      <x:c r="B211" s="56" t="str">
        <x:v>KB014</x:v>
      </x:c>
      <x:c r="C211" s="56" t="str">
        <x:v>DAL-P001</x:v>
      </x:c>
      <x:c r="D211" s="56" t="str">
        <x:v>Costco</x:v>
      </x:c>
      <x:c r="E211" s="56" t="str">
        <x:v>https://www.costco.com/skin-care.html</x:v>
      </x:c>
      <x:c r="F211" s="56"/>
      <x:c r="G211" s="56" t="str">
        <x:v>2026-08-01</x:v>
      </x:c>
      <x:c r="H211" s="56" t="n">
        <x:v>865</x:v>
      </x:c>
      <x:c r="I211" s="56" t="str">
        <x:v>Mixed / retailer disclosures vary</x:v>
      </x:c>
      <x:c r="J211" s="56" t="str">
        <x:v>Retailer reviews</x:v>
      </x:c>
      <x:c r="K211" s="56" t="str">
        <x:v>Mostly Positive</x:v>
      </x:c>
      <x:c r="L211" s="56" t="str">
        <x:v>Club-size value and repeat use</x:v>
      </x:c>
      <x:c r="M211" s="56" t="str">
        <x:v>Costco displayed about 4.7/865 for the 6.08 fl oz item.</x:v>
      </x:c>
      <x:c r="N211" s="56" t="str">
        <x:v>Value, hydration, glow and large size.</x:v>
      </x:c>
      <x:c r="O211" s="56" t="str">
        <x:v>Club price can reset consumer reference price and compress other channels.</x:v>
      </x:c>
      <x:c r="P211" s="56" t="str">
        <x:v>Mixed</x:v>
      </x:c>
      <x:c r="Q211" s="56" t="str">
        <x:v>Consumer positive; channel mixed</x:v>
      </x:c>
      <x:c r="R211" s="56" t="str">
        <x:v>Other club skincare</x:v>
      </x:c>
      <x:c r="S211" s="56" t="str">
        <x:v>Yes / U.S. retailer</x:v>
      </x:c>
      <x:c r="T211" s="56" t="str">
        <x:v>High</x:v>
      </x:c>
      <x:c r="U211" s="56" t="str">
        <x:v>SRC-DAL-026</x:v>
      </x:c>
      <x:c r="V211" s="56" t="str">
        <x:v>Rating/count and item availability vary.</x:v>
      </x:c>
    </x:row>
    <x:row r="212" ht="118" customHeight="1">
      <x:c r="A212" s="56" t="str">
        <x:v>REV-DAL-009</x:v>
      </x:c>
      <x:c r="B212" s="56" t="str">
        <x:v>KB014</x:v>
      </x:c>
      <x:c r="C212" s="56" t="str">
        <x:v>DAL-P001</x:v>
      </x:c>
      <x:c r="D212" s="56" t="str">
        <x:v>iHerb</x:v>
      </x:c>
      <x:c r="E212" s="56" t="str">
        <x:v>https://www.iherb.com/pr/d-alba-first-spray-serum-3-38-fl-oz-100-ml/116015</x:v>
      </x:c>
      <x:c r="F212" s="56"/>
      <x:c r="G212" s="56" t="str">
        <x:v>2026-08-01</x:v>
      </x:c>
      <x:c r="H212" s="56" t="n">
        <x:v>3265</x:v>
      </x:c>
      <x:c r="I212" s="56" t="str">
        <x:v>Mixed / retailer disclosures vary</x:v>
      </x:c>
      <x:c r="J212" s="56" t="str">
        <x:v>Verified-purchase reviews available</x:v>
      </x:c>
      <x:c r="K212" s="56" t="str">
        <x:v>Mostly Positive</x:v>
      </x:c>
      <x:c r="L212" s="56" t="str">
        <x:v>Large global review base</x:v>
      </x:c>
      <x:c r="M212" s="56" t="str">
        <x:v>iHerb showed 4.7/3,265 and 2K+ sold in 30 days.</x:v>
      </x:c>
      <x:c r="N212" s="56" t="str">
        <x:v>Hydration, quality, glow and luxurious feel.</x:v>
      </x:c>
      <x:c r="O212" s="56" t="str">
        <x:v>Some reviews call the size small for the price or scent noticeable.</x:v>
      </x:c>
      <x:c r="P212" s="56" t="str">
        <x:v>Mixed</x:v>
      </x:c>
      <x:c r="Q212" s="56" t="str">
        <x:v>Positive</x:v>
      </x:c>
      <x:c r="R212" s="56" t="str">
        <x:v>Other hydrating serums</x:v>
      </x:c>
      <x:c r="S212" s="56" t="str">
        <x:v>Mixed / global retailer</x:v>
      </x:c>
      <x:c r="T212" s="56" t="str">
        <x:v>High</x:v>
      </x:c>
      <x:c r="U212" s="56" t="str">
        <x:v>SRC-DAL-027</x:v>
      </x:c>
      <x:c r="V212" s="56" t="str">
        <x:v>Retailer data dynamic.</x:v>
      </x:c>
    </x:row>
    <x:row r="213" ht="118" customHeight="1">
      <x:c r="A213" s="56" t="str">
        <x:v>REV-DAL-010</x:v>
      </x:c>
      <x:c r="B213" s="56" t="str">
        <x:v>KB014</x:v>
      </x:c>
      <x:c r="C213" s="56" t="str">
        <x:v>DAL-P001</x:v>
      </x:c>
      <x:c r="D213" s="56" t="str">
        <x:v>d'Alba Official DTC</x:v>
      </x:c>
      <x:c r="E213" s="56" t="str">
        <x:v>https://dalba.com/products/dalba-white-truffle-first-spray-serum</x:v>
      </x:c>
      <x:c r="F213" s="56"/>
      <x:c r="G213" s="56" t="str">
        <x:v>2026-08-01</x:v>
      </x:c>
      <x:c r="H213" s="56" t="n">
        <x:v>750</x:v>
      </x:c>
      <x:c r="I213" s="56" t="str">
        <x:v>Brand-owned review environment</x:v>
      </x:c>
      <x:c r="J213" s="56" t="str">
        <x:v>Brand-owned review collection</x:v>
      </x:c>
      <x:c r="K213" s="56" t="str">
        <x:v>Positive</x:v>
      </x:c>
      <x:c r="L213" s="56" t="str">
        <x:v>Very strong first-party aggregate</x:v>
      </x:c>
      <x:c r="M213" s="56" t="str">
        <x:v>Official page showed 4.9 average from 750 reviews.</x:v>
      </x:c>
      <x:c r="N213" s="56" t="str">
        <x:v>Glow, hydration and makeup-fixing use.</x:v>
      </x:c>
      <x:c r="O213" s="56" t="str">
        <x:v>Brand-owned environment and claim-heavy page reduce independence.</x:v>
      </x:c>
      <x:c r="P213" s="56" t="str">
        <x:v>Mixed</x:v>
      </x:c>
      <x:c r="Q213" s="56" t="str">
        <x:v>Positive</x:v>
      </x:c>
      <x:c r="R213" s="56" t="str">
        <x:v>Glow mists</x:v>
      </x:c>
      <x:c r="S213" s="56" t="str">
        <x:v>Global/U.S.-accessible</x:v>
      </x:c>
      <x:c r="T213" s="56" t="str">
        <x:v>Medium-High</x:v>
      </x:c>
      <x:c r="U213" s="56" t="str">
        <x:v>SRC-DAL-011</x:v>
      </x:c>
      <x:c r="V213" s="56" t="str">
        <x:v>No independent review audit.</x:v>
      </x:c>
    </x:row>
    <x:row r="214" ht="118" customHeight="1">
      <x:c r="A214" s="56" t="str">
        <x:v>REV-DAL-011</x:v>
      </x:c>
      <x:c r="B214" s="56" t="str">
        <x:v>KB014</x:v>
      </x:c>
      <x:c r="C214" s="56" t="str">
        <x:v>DAL-P001</x:v>
      </x:c>
      <x:c r="D214" s="56" t="str">
        <x:v>Reddit r/AsianBeauty</x:v>
      </x:c>
      <x:c r="E214" s="56" t="str">
        <x:v>https://www.reddit.com/r/AsianBeauty/comments/wbrs1o</x:v>
      </x:c>
      <x:c r="F214" s="56"/>
      <x:c r="G214" s="56" t="str">
        <x:v>2026-08-01</x:v>
      </x:c>
      <x:c r="H214" s="56" t="str">
        <x:v>Thread</x:v>
      </x:c>
      <x:c r="I214" s="56" t="str">
        <x:v>No</x:v>
      </x:c>
      <x:c r="J214" s="56" t="str">
        <x:v>No formal sponsorship audit</x:v>
      </x:c>
      <x:c r="K214" s="56" t="str">
        <x:v>Mixed-Positive</x:v>
      </x:c>
      <x:c r="L214" s="56" t="str">
        <x:v>Hydration and fine mist versus fragrance/oil</x:v>
      </x:c>
      <x:c r="M214" s="56" t="str">
        <x:v>Users often like quick hydration and glow, including over makeup.</x:v>
      </x:c>
      <x:c r="N214" s="56" t="str">
        <x:v>Fine mist, refreshing feel and dry-skin utility.</x:v>
      </x:c>
      <x:c r="O214" s="56" t="str">
        <x:v>Heavily fragranced and leaves a light oil layer for some.</x:v>
      </x:c>
      <x:c r="P214" s="56" t="str">
        <x:v>Dry/dehydrated / mixed</x:v>
      </x:c>
      <x:c r="Q214" s="56" t="str">
        <x:v>Mixed-Positive</x:v>
      </x:c>
      <x:c r="R214" s="56" t="str">
        <x:v>Other facial mists</x:v>
      </x:c>
      <x:c r="S214" s="56" t="str">
        <x:v>Mixed / not verified</x:v>
      </x:c>
      <x:c r="T214" s="56" t="str">
        <x:v>Low-Medium</x:v>
      </x:c>
      <x:c r="U214" s="56" t="str">
        <x:v>SRC-DAL-035</x:v>
      </x:c>
      <x:c r="V214" s="56" t="str">
        <x:v>Self-selected anecdotal discussion.</x:v>
      </x:c>
    </x:row>
    <x:row r="215" ht="118" customHeight="1">
      <x:c r="A215" s="56" t="str">
        <x:v>REV-DAL-012</x:v>
      </x:c>
      <x:c r="B215" s="56" t="str">
        <x:v>KB014</x:v>
      </x:c>
      <x:c r="C215" s="56" t="str">
        <x:v>DAL-P001</x:v>
      </x:c>
      <x:c r="D215" s="56" t="str">
        <x:v>Reddit r/AsianBeauty</x:v>
      </x:c>
      <x:c r="E215" s="56" t="str">
        <x:v>https://www.reddit.com/r/AsianBeauty/comments/1c88z43/thoughts_on_dalba_white_truffle_serum_spray/</x:v>
      </x:c>
      <x:c r="F215" s="56"/>
      <x:c r="G215" s="56" t="str">
        <x:v>2026-08-01</x:v>
      </x:c>
      <x:c r="H215" s="56" t="str">
        <x:v>Thread</x:v>
      </x:c>
      <x:c r="I215" s="56" t="str">
        <x:v>No</x:v>
      </x:c>
      <x:c r="J215" s="56" t="str">
        <x:v>No formal sponsorship audit</x:v>
      </x:c>
      <x:c r="K215" s="56" t="str">
        <x:v>Polarized</x:v>
      </x:c>
      <x:c r="L215" s="56" t="str">
        <x:v>Strong fragrance and temporary glow</x:v>
      </x:c>
      <x:c r="M215" s="56" t="str">
        <x:v>Large thread contains both repeat purchasers and strong detractors.</x:v>
      </x:c>
      <x:c r="N215" s="56" t="str">
        <x:v>Radiant finish, smoother makeup, glow without greasiness for some.</x:v>
      </x:c>
      <x:c r="O215" s="56" t="str">
        <x:v>Overpowering scent, breakouts, redness, stickiness, little difference or value skepticism.</x:v>
      </x:c>
      <x:c r="P215" s="56" t="str">
        <x:v>Mixed / sensitive</x:v>
      </x:c>
      <x:c r="Q215" s="56" t="str">
        <x:v>Mixed</x:v>
      </x:c>
      <x:c r="R215" s="56" t="str">
        <x:v>Aestura and other fragrance-free mists</x:v>
      </x:c>
      <x:c r="S215" s="56" t="str">
        <x:v>Mixed / not verified</x:v>
      </x:c>
      <x:c r="T215" s="56" t="str">
        <x:v>Low-Medium</x:v>
      </x:c>
      <x:c r="U215" s="56" t="str">
        <x:v>SRC-DAL-036,SRC-DAL-037,SRC-DAL-038</x:v>
      </x:c>
      <x:c r="V215" s="56" t="str">
        <x:v>No causality finding; strong qualitative pattern.</x:v>
      </x:c>
    </x:row>
    <x:row r="216" ht="118" customHeight="1">
      <x:c r="A216" s="56" t="str">
        <x:v>REV-DAL-013</x:v>
      </x:c>
      <x:c r="B216" s="56" t="str">
        <x:v>KB014</x:v>
      </x:c>
      <x:c r="C216" s="56" t="str">
        <x:v>DAL-P001</x:v>
      </x:c>
      <x:c r="D216" s="56" t="str">
        <x:v>Reddit r/AsianBeauty</x:v>
      </x:c>
      <x:c r="E216" s="56" t="str">
        <x:v>https://www.reddit.com/r/AsianBeauty/comments/14m1sgb/thoughts_on_d_alba/</x:v>
      </x:c>
      <x:c r="F216" s="56"/>
      <x:c r="G216" s="56" t="str">
        <x:v>2026-08-01</x:v>
      </x:c>
      <x:c r="H216" s="56" t="str">
        <x:v>Thread</x:v>
      </x:c>
      <x:c r="I216" s="56" t="str">
        <x:v>No</x:v>
      </x:c>
      <x:c r="J216" s="56" t="str">
        <x:v>No formal sponsorship audit</x:v>
      </x:c>
      <x:c r="K216" s="56" t="str">
        <x:v>Mixed-Negative</x:v>
      </x:c>
      <x:c r="L216" s="56" t="str">
        <x:v>Nice sheen but optional/irritating for some</x:v>
      </x:c>
      <x:c r="M216" s="56" t="str">
        <x:v>Users describe the spray as pleasant but nonessential; others report irritation or breakouts.</x:v>
      </x:c>
      <x:c r="N216" s="56" t="str">
        <x:v>Travel convenience, luxury scent for fans and dewy look.</x:v>
      </x:c>
      <x:c r="O216" s="56" t="str">
        <x:v>Little difference, irritation, smell and acne reports.</x:v>
      </x:c>
      <x:c r="P216" s="56" t="str">
        <x:v>Mixed</x:v>
      </x:c>
      <x:c r="Q216" s="56" t="str">
        <x:v>Mixed</x:v>
      </x:c>
      <x:c r="R216" s="56" t="str">
        <x:v>Other hydrating toners/serums</x:v>
      </x:c>
      <x:c r="S216" s="56" t="str">
        <x:v>Mixed / not verified</x:v>
      </x:c>
      <x:c r="T216" s="56" t="str">
        <x:v>Low</x:v>
      </x:c>
      <x:c r="U216" s="56" t="str">
        <x:v>SRC-DAL-037,SRC-DAL-038</x:v>
      </x:c>
      <x:c r="V216" s="56" t="str">
        <x:v>Anecdotal and self-selected.</x:v>
      </x:c>
    </x:row>
    <x:row r="217" ht="118" customHeight="1">
      <x:c r="A217" s="56" t="str">
        <x:v>REV-DAL-014</x:v>
      </x:c>
      <x:c r="B217" s="56" t="str">
        <x:v>KB014</x:v>
      </x:c>
      <x:c r="C217" s="56" t="str">
        <x:v>DAL-P001</x:v>
      </x:c>
      <x:c r="D217" s="56" t="str">
        <x:v>Jolse consumer review</x:v>
      </x:c>
      <x:c r="E217" s="56" t="str">
        <x:v>https://jolse.com/article/product-review/4/249482/</x:v>
      </x:c>
      <x:c r="F217" s="56" t="str">
        <x:v>2025-12-02</x:v>
      </x:c>
      <x:c r="G217" s="56" t="str">
        <x:v>2026-08-01</x:v>
      </x:c>
      <x:c r="H217" s="56" t="n">
        <x:v>1</x:v>
      </x:c>
      <x:c r="I217" s="56" t="str">
        <x:v>No formal sponsorship audit</x:v>
      </x:c>
      <x:c r="J217" s="56" t="str">
        <x:v>Retailer rewards may exist</x:v>
      </x:c>
      <x:c r="K217" s="56" t="str">
        <x:v>Positive</x:v>
      </x:c>
      <x:c r="L217" s="56" t="str">
        <x:v>Makeup-freshening glow</x:v>
      </x:c>
      <x:c r="M217" s="56" t="str">
        <x:v>Reviewer praised the light two-layer mist for daily glow and makeup refresh.</x:v>
      </x:c>
      <x:c r="N217" s="56" t="str">
        <x:v>Fine mist, soft moisture and makeup freshness.</x:v>
      </x:c>
      <x:c r="O217" s="56"/>
      <x:c r="P217" s="56" t="str">
        <x:v>Mixed</x:v>
      </x:c>
      <x:c r="Q217" s="56" t="str">
        <x:v>Positive</x:v>
      </x:c>
      <x:c r="R217" s="56" t="str">
        <x:v>Other setting/hydration mists</x:v>
      </x:c>
      <x:c r="S217" s="56" t="str">
        <x:v>Cross-border consumer</x:v>
      </x:c>
      <x:c r="T217" s="56" t="str">
        <x:v>Low-Medium</x:v>
      </x:c>
      <x:c r="U217" s="56" t="str">
        <x:v>SRC-DAL-039</x:v>
      </x:c>
      <x:c r="V217" s="56" t="str">
        <x:v>Single consumer review; paraphrased.</x:v>
      </x:c>
    </x:row>
    <x:row r="218" ht="118" customHeight="1">
      <x:c r="A218" s="56" t="str">
        <x:v>REV-DAL-015</x:v>
      </x:c>
      <x:c r="B218" s="56" t="str">
        <x:v>KB014</x:v>
      </x:c>
      <x:c r="C218" s="56" t="str">
        <x:v>DAL-P001</x:v>
      </x:c>
      <x:c r="D218" s="56" t="str">
        <x:v>Jolse consumer review</x:v>
      </x:c>
      <x:c r="E218" s="56" t="str">
        <x:v>https://jolse.com/article/product-review/4/248663/</x:v>
      </x:c>
      <x:c r="F218" s="56" t="str">
        <x:v>2025-11-27</x:v>
      </x:c>
      <x:c r="G218" s="56" t="str">
        <x:v>2026-08-01</x:v>
      </x:c>
      <x:c r="H218" s="56" t="n">
        <x:v>1</x:v>
      </x:c>
      <x:c r="I218" s="56" t="str">
        <x:v>No formal sponsorship audit</x:v>
      </x:c>
      <x:c r="J218" s="56" t="str">
        <x:v>Retailer rewards may exist</x:v>
      </x:c>
      <x:c r="K218" s="56" t="str">
        <x:v>Mixed</x:v>
      </x:c>
      <x:c r="L218" s="56" t="str">
        <x:v>Good dry-air hydration, weak setting-spray performance</x:v>
      </x:c>
      <x:c r="M218" s="56" t="str">
        <x:v>Reviewer found strong hydration in dry indoor conditions but poor performance as a primer/setting spray.</x:v>
      </x:c>
      <x:c r="N218" s="56" t="str">
        <x:v>Softness, hydration and satin finish.</x:v>
      </x:c>
      <x:c r="O218" s="56" t="str">
        <x:v>Overapplication can affect later layers; setting performance rated poorly by reviewer.</x:v>
      </x:c>
      <x:c r="P218" s="56" t="str">
        <x:v>Dry</x:v>
      </x:c>
      <x:c r="Q218" s="56" t="str">
        <x:v>Mixed</x:v>
      </x:c>
      <x:c r="R218" s="56" t="str">
        <x:v>Other hydrating mists</x:v>
      </x:c>
      <x:c r="S218" s="56" t="str">
        <x:v>Cross-border consumer</x:v>
      </x:c>
      <x:c r="T218" s="56" t="str">
        <x:v>Low-Medium</x:v>
      </x:c>
      <x:c r="U218" s="56" t="str">
        <x:v>SRC-DAL-040</x:v>
      </x:c>
      <x:c r="V218" s="56" t="str">
        <x:v>Single consumer review; paraphrased.</x:v>
      </x:c>
    </x:row>
    <x:row r="219" ht="118" customHeight="1">
      <x:c r="A219" s="56" t="str">
        <x:v>REV-DAL-016</x:v>
      </x:c>
      <x:c r="B219" s="56" t="str">
        <x:v>KB014</x:v>
      </x:c>
      <x:c r="C219" s="56" t="str">
        <x:v>DAL-P005</x:v>
      </x:c>
      <x:c r="D219" s="56" t="str">
        <x:v>Ulta Beauty</x:v>
      </x:c>
      <x:c r="E219" s="56" t="str">
        <x:v>https://www.ulta.com/p/uv-tone-up-sunscreen-broad-spectrum-spf-50-pimprod2056402?sku=2650460</x:v>
      </x:c>
      <x:c r="F219" s="56"/>
      <x:c r="G219" s="56" t="str">
        <x:v>2026-08-01</x:v>
      </x:c>
      <x:c r="H219" s="56" t="n">
        <x:v>62</x:v>
      </x:c>
      <x:c r="I219" s="56" t="str">
        <x:v>Mixed / retailer disclosures vary</x:v>
      </x:c>
      <x:c r="J219" s="56" t="str">
        <x:v>Retailer reviews may include incentives</x:v>
      </x:c>
      <x:c r="K219" s="56" t="str">
        <x:v>Mostly Positive</x:v>
      </x:c>
      <x:c r="L219" s="56" t="str">
        <x:v>Tone-up glow with fit limitations</x:v>
      </x:c>
      <x:c r="M219" s="56" t="str">
        <x:v>Ulta showed 4.4/62 for the U.S. Broad Spectrum SPF 50+ product.</x:v>
      </x:c>
      <x:c r="N219" s="56" t="str">
        <x:v>Glow, makeup-base use and high SPF.</x:v>
      </x:c>
      <x:c r="O219" s="56" t="str">
        <x:v>Tint/white-cast suitability, texture and exact U.S. formula preferences vary.</x:v>
      </x:c>
      <x:c r="P219" s="56" t="str">
        <x:v>Tone-dependent</x:v>
      </x:c>
      <x:c r="Q219" s="56" t="str">
        <x:v>Positive-Mixed</x:v>
      </x:c>
      <x:c r="R219" s="56" t="str">
        <x:v>Beauty of Joseon U.S. SPF</x:v>
      </x:c>
      <x:c r="S219" s="56" t="str">
        <x:v>Yes / U.S. retailer</x:v>
      </x:c>
      <x:c r="T219" s="56" t="str">
        <x:v>High</x:v>
      </x:c>
      <x:c r="U219" s="56" t="str">
        <x:v>SRC-DAL-015,SRC-DAL-025,SRC-DAL-041</x:v>
      </x:c>
      <x:c r="V219" s="56" t="str">
        <x:v>Use exact NDC/Drug Facts product only.</x:v>
      </x:c>
    </x:row>
    <x:row r="220" ht="120" customHeight="1">
      <x:c r="A220" s="56" t="str">
        <x:v>REV-SBM-001</x:v>
      </x:c>
      <x:c r="B220" s="56" t="str">
        <x:v>KB015</x:v>
      </x:c>
      <x:c r="C220" s="56" t="str">
        <x:v>SBM-P001</x:v>
      </x:c>
      <x:c r="D220" s="56" t="str">
        <x:v>Amazon U.S.</x:v>
      </x:c>
      <x:c r="E220" s="56" t="str">
        <x:v>https://www.amazon.com/dp/B087LYWWW4</x:v>
      </x:c>
      <x:c r="F220" s="56"/>
      <x:c r="G220" s="56" t="str">
        <x:v>2026-08-01</x:v>
      </x:c>
      <x:c r="H220" s="56" t="n">
        <x:v>2738</x:v>
      </x:c>
      <x:c r="I220" s="56" t="str">
        <x:v>Mixed / not individually audited</x:v>
      </x:c>
      <x:c r="J220" s="56" t="str">
        <x:v>Retailer review environment; incentive disclosures vary</x:v>
      </x:c>
      <x:c r="K220" s="56" t="str">
        <x:v>Mostly Positive</x:v>
      </x:c>
      <x:c r="L220" s="56" t="str">
        <x:v>High body-acne demand and value</x:v>
      </x:c>
      <x:c r="M220" s="56" t="str">
        <x:v>4.5/2,738 plus 10K+ bought/month is a strong satisfaction and velocity signal.</x:v>
      </x:c>
      <x:c r="N220" s="56" t="str">
        <x:v>Body-breakout utility, large size, cleansing and repeat purchase.</x:v>
      </x:c>
      <x:c r="O220" s="56" t="str">
        <x:v>Dryness, fragrance/botanical sensitivity and OTC-use irritation warnings.</x:v>
      </x:c>
      <x:c r="P220" s="56" t="str">
        <x:v>Acne-prone body skin</x:v>
      </x:c>
      <x:c r="Q220" s="56" t="str">
        <x:v>Strong positive signal</x:v>
      </x:c>
      <x:c r="R220" s="56" t="str">
        <x:v>Naturium; PanOxyl</x:v>
      </x:c>
      <x:c r="S220" s="56" t="str">
        <x:v>Yes / U.S. marketplace</x:v>
      </x:c>
      <x:c r="T220" s="56" t="str">
        <x:v>High</x:v>
      </x:c>
      <x:c r="U220" s="56" t="str">
        <x:v>SRC-SBM-011,SRC-SBM-039</x:v>
      </x:c>
      <x:c r="V220" s="56" t="str">
        <x:v>Dynamic aggregate; no individual-review audit.</x:v>
      </x:c>
    </x:row>
    <x:row r="221" ht="120" customHeight="1">
      <x:c r="A221" s="56" t="str">
        <x:v>REV-SBM-002</x:v>
      </x:c>
      <x:c r="B221" s="56" t="str">
        <x:v>KB015</x:v>
      </x:c>
      <x:c r="C221" s="56" t="str">
        <x:v>SBM-P002</x:v>
      </x:c>
      <x:c r="D221" s="56" t="str">
        <x:v>Amazon U.S.</x:v>
      </x:c>
      <x:c r="E221" s="56" t="str">
        <x:v>https://www.amazon.com/dp/B07BYJF7L7</x:v>
      </x:c>
      <x:c r="F221" s="56"/>
      <x:c r="G221" s="56" t="str">
        <x:v>2026-08-01</x:v>
      </x:c>
      <x:c r="H221" s="56" t="n">
        <x:v>9444</x:v>
      </x:c>
      <x:c r="I221" s="56" t="str">
        <x:v>Mixed / not individually audited</x:v>
      </x:c>
      <x:c r="J221" s="56" t="str">
        <x:v>Retailer review environment; incentive disclosures vary</x:v>
      </x:c>
      <x:c r="K221" s="56" t="str">
        <x:v>Mostly Positive</x:v>
      </x:c>
      <x:c r="L221" s="56" t="str">
        <x:v>Legacy toner with exceptional scale</x:v>
      </x:c>
      <x:c r="M221" s="56" t="str">
        <x:v>4.6/9,444 plus 5K+ bought/month supports durable awareness and repeat demand.</x:v>
      </x:c>
      <x:c r="N221" s="56" t="str">
        <x:v>Light feel, texture/oil control and broad routine compatibility.</x:v>
      </x:c>
      <x:c r="O221" s="56" t="str">
        <x:v>Peppermint/tea-tree sensitivity, dryness, purging and limited-change reports.</x:v>
      </x:c>
      <x:c r="P221" s="56" t="str">
        <x:v>Mixed</x:v>
      </x:c>
      <x:c r="Q221" s="56" t="str">
        <x:v>Strong positive signal</x:v>
      </x:c>
      <x:c r="R221" s="56" t="str">
        <x:v>COSRX; ANUA; Paula's Choice</x:v>
      </x:c>
      <x:c r="S221" s="56" t="str">
        <x:v>Yes / U.S. marketplace</x:v>
      </x:c>
      <x:c r="T221" s="56" t="str">
        <x:v>High</x:v>
      </x:c>
      <x:c r="U221" s="56" t="str">
        <x:v>SRC-SBM-012</x:v>
      </x:c>
      <x:c r="V221" s="56" t="str">
        <x:v>Dynamic aggregate and variant family.</x:v>
      </x:c>
    </x:row>
    <x:row r="222" ht="120" customHeight="1">
      <x:c r="A222" s="56" t="str">
        <x:v>REV-SBM-003</x:v>
      </x:c>
      <x:c r="B222" s="56" t="str">
        <x:v>KB015</x:v>
      </x:c>
      <x:c r="C222" s="56" t="str">
        <x:v>SBM-P003</x:v>
      </x:c>
      <x:c r="D222" s="56" t="str">
        <x:v>Amazon U.S.</x:v>
      </x:c>
      <x:c r="E222" s="56" t="str">
        <x:v>https://www.amazon.com/dp/B07Q34Y99J</x:v>
      </x:c>
      <x:c r="F222" s="56"/>
      <x:c r="G222" s="56" t="str">
        <x:v>2026-08-01</x:v>
      </x:c>
      <x:c r="H222" s="56" t="n">
        <x:v>1983</x:v>
      </x:c>
      <x:c r="I222" s="56" t="str">
        <x:v>Mixed / not individually audited</x:v>
      </x:c>
      <x:c r="J222" s="56" t="str">
        <x:v>Retailer review environment; incentive disclosures vary</x:v>
      </x:c>
      <x:c r="K222" s="56" t="str">
        <x:v>Mostly Positive</x:v>
      </x:c>
      <x:c r="L222" s="56" t="str">
        <x:v>Strong low-ticket OTC cleanser</x:v>
      </x:c>
      <x:c r="M222" s="56" t="str">
        <x:v>4.6/1,983 and 3K+ bought/month show meaningful demand.</x:v>
      </x:c>
      <x:c r="N222" s="56" t="str">
        <x:v>Foaming cleanse, oil control and regimen fit.</x:v>
      </x:c>
      <x:c r="O222" s="56" t="str">
        <x:v>Dryness, stripping feel, peppermint/fragrance and OTC irritation.</x:v>
      </x:c>
      <x:c r="P222" s="56" t="str">
        <x:v>Oily/acne-prone</x:v>
      </x:c>
      <x:c r="Q222" s="56" t="str">
        <x:v>Positive</x:v>
      </x:c>
      <x:c r="R222" s="56" t="str">
        <x:v>PanOxyl; CeraVe SA</x:v>
      </x:c>
      <x:c r="S222" s="56" t="str">
        <x:v>Yes / U.S. marketplace</x:v>
      </x:c>
      <x:c r="T222" s="56" t="str">
        <x:v>High</x:v>
      </x:c>
      <x:c r="U222" s="56" t="str">
        <x:v>SRC-SBM-013,SRC-SBM-040</x:v>
      </x:c>
      <x:c r="V222" s="56" t="str">
        <x:v>Match exact OTC label and size.</x:v>
      </x:c>
    </x:row>
    <x:row r="223" ht="120" customHeight="1">
      <x:c r="A223" s="56" t="str">
        <x:v>REV-SBM-004</x:v>
      </x:c>
      <x:c r="B223" s="56" t="str">
        <x:v>KB015</x:v>
      </x:c>
      <x:c r="C223" s="56" t="str">
        <x:v>SBM-P004</x:v>
      </x:c>
      <x:c r="D223" s="56" t="str">
        <x:v>Amazon U.S.</x:v>
      </x:c>
      <x:c r="E223" s="56" t="str">
        <x:v>https://www.amazon.com/dp/B07KNP5CG3</x:v>
      </x:c>
      <x:c r="F223" s="56"/>
      <x:c r="G223" s="56" t="str">
        <x:v>2026-08-01</x:v>
      </x:c>
      <x:c r="H223" s="56" t="n">
        <x:v>2915</x:v>
      </x:c>
      <x:c r="I223" s="56" t="str">
        <x:v>Mixed / not individually audited</x:v>
      </x:c>
      <x:c r="J223" s="56" t="str">
        <x:v>Retailer review environment; incentive disclosures vary</x:v>
      </x:c>
      <x:c r="K223" s="56" t="str">
        <x:v>Mostly Positive</x:v>
      </x:c>
      <x:c r="L223" s="56" t="str">
        <x:v>Routine-completing hydration</x:v>
      </x:c>
      <x:c r="M223" s="56" t="str">
        <x:v>4.5/2,915 and 1K+ bought/month support an established moisturizer.</x:v>
      </x:c>
      <x:c r="N223" s="56" t="str">
        <x:v>Light hydration, calming feel and pairing with active steps.</x:v>
      </x:c>
      <x:c r="O223" s="56" t="str">
        <x:v>Fragrance, limited acne improvement, small size and price spread.</x:v>
      </x:c>
      <x:c r="P223" s="56" t="str">
        <x:v>Mixed</x:v>
      </x:c>
      <x:c r="Q223" s="56" t="str">
        <x:v>Positive</x:v>
      </x:c>
      <x:c r="R223" s="56" t="str">
        <x:v>Barrier/blemish moisturizers</x:v>
      </x:c>
      <x:c r="S223" s="56" t="str">
        <x:v>Yes / U.S. marketplace</x:v>
      </x:c>
      <x:c r="T223" s="56" t="str">
        <x:v>High</x:v>
      </x:c>
      <x:c r="U223" s="56" t="str">
        <x:v>SRC-SBM-014</x:v>
      </x:c>
      <x:c r="V223" s="56" t="str">
        <x:v>Dynamic aggregate.</x:v>
      </x:c>
    </x:row>
    <x:row r="224" ht="120" customHeight="1">
      <x:c r="A224" s="56" t="str">
        <x:v>REV-SBM-005</x:v>
      </x:c>
      <x:c r="B224" s="56" t="str">
        <x:v>KB015</x:v>
      </x:c>
      <x:c r="C224" s="56" t="str">
        <x:v>SBM-P005</x:v>
      </x:c>
      <x:c r="D224" s="56" t="str">
        <x:v>Amazon U.S.</x:v>
      </x:c>
      <x:c r="E224" s="56" t="str">
        <x:v>https://www.amazon.com/dp/B0BXGW8DRP</x:v>
      </x:c>
      <x:c r="F224" s="56"/>
      <x:c r="G224" s="56" t="str">
        <x:v>2026-08-01</x:v>
      </x:c>
      <x:c r="H224" s="56" t="n">
        <x:v>3058</x:v>
      </x:c>
      <x:c r="I224" s="56" t="str">
        <x:v>Mixed / not individually audited</x:v>
      </x:c>
      <x:c r="J224" s="56" t="str">
        <x:v>Retailer review environment; incentive disclosures vary</x:v>
      </x:c>
      <x:c r="K224" s="56" t="str">
        <x:v>Mostly Positive</x:v>
      </x:c>
      <x:c r="L224" s="56" t="str">
        <x:v>Beginner-retinol accessibility</x:v>
      </x:c>
      <x:c r="M224" s="56" t="str">
        <x:v>4.3/3,058 and 1K+ bought/month support mature demand with more polarization than Miracle heroes.</x:v>
      </x:c>
      <x:c r="N224" s="56" t="str">
        <x:v>Mild feel, texture, easy application and beginner suitability.</x:v>
      </x:c>
      <x:c r="O224" s="56" t="str">
        <x:v>Fragrance, irritation/purging and questions about retinoid concentration/results.</x:v>
      </x:c>
      <x:c r="P224" s="56" t="str">
        <x:v>Mixed / retinoid beginners</x:v>
      </x:c>
      <x:c r="Q224" s="56" t="str">
        <x:v>Positive-Mixed</x:v>
      </x:c>
      <x:c r="R224" s="56" t="str">
        <x:v>Retinol and retinal serums</x:v>
      </x:c>
      <x:c r="S224" s="56" t="str">
        <x:v>Yes / U.S. marketplace</x:v>
      </x:c>
      <x:c r="T224" s="56" t="str">
        <x:v>High</x:v>
      </x:c>
      <x:c r="U224" s="56" t="str">
        <x:v>SRC-SBM-015,SRC-SBM-037</x:v>
      </x:c>
      <x:c r="V224" s="56" t="str">
        <x:v>No clinical efficacy inference.</x:v>
      </x:c>
    </x:row>
    <x:row r="225" ht="120" customHeight="1">
      <x:c r="A225" s="56" t="str">
        <x:v>REV-SBM-006</x:v>
      </x:c>
      <x:c r="B225" s="56" t="str">
        <x:v>KB015</x:v>
      </x:c>
      <x:c r="C225" s="56" t="str">
        <x:v>SBM-P002</x:v>
      </x:c>
      <x:c r="D225" s="56" t="str">
        <x:v>iHerb</x:v>
      </x:c>
      <x:c r="E225" s="56" t="str">
        <x:v>https://www.iherb.com/pr/some-by-mi-aha-bha-pha-30-days-miracle-toner-5-07-fl-oz-150-ml/84615</x:v>
      </x:c>
      <x:c r="F225" s="56"/>
      <x:c r="G225" s="56" t="str">
        <x:v>2026-08-01</x:v>
      </x:c>
      <x:c r="H225" s="56" t="n">
        <x:v>35219</x:v>
      </x:c>
      <x:c r="I225" s="56" t="str">
        <x:v>Mixed / retailer disclosures vary</x:v>
      </x:c>
      <x:c r="J225" s="56" t="str">
        <x:v>Verified-purchase reviews available</x:v>
      </x:c>
      <x:c r="K225" s="56" t="str">
        <x:v>Mostly Positive</x:v>
      </x:c>
      <x:c r="L225" s="56" t="str">
        <x:v>Exceptional global review base</x:v>
      </x:c>
      <x:c r="M225" s="56" t="str">
        <x:v>iHerb showed 4.6/35,219, 161 Q&amp;A and 2K+ sold in 30 days.</x:v>
      </x:c>
      <x:c r="N225" s="56" t="str">
        <x:v>Gentle exfoliation, oil/texture help and routine value.</x:v>
      </x:c>
      <x:c r="O225" s="56" t="str">
        <x:v>Dryness or eye-area irritation when overused; start gradually.</x:v>
      </x:c>
      <x:c r="P225" s="56" t="str">
        <x:v>Mixed</x:v>
      </x:c>
      <x:c r="Q225" s="56" t="str">
        <x:v>Strong positive signal</x:v>
      </x:c>
      <x:c r="R225" s="56" t="str">
        <x:v>Other K-Beauty toners</x:v>
      </x:c>
      <x:c r="S225" s="56" t="str">
        <x:v>Global retailer</x:v>
      </x:c>
      <x:c r="T225" s="56" t="str">
        <x:v>High</x:v>
      </x:c>
      <x:c r="U225" s="56" t="str">
        <x:v>SRC-SBM-026,SRC-SBM-027</x:v>
      </x:c>
      <x:c r="V225" s="56" t="str">
        <x:v>Retailer data are dynamic.</x:v>
      </x:c>
    </x:row>
    <x:row r="226" ht="120" customHeight="1">
      <x:c r="A226" s="56" t="str">
        <x:v>REV-SBM-007</x:v>
      </x:c>
      <x:c r="B226" s="56" t="str">
        <x:v>KB015</x:v>
      </x:c>
      <x:c r="C226" s="56" t="str">
        <x:v>SBM-P002</x:v>
      </x:c>
      <x:c r="D226" s="56" t="str">
        <x:v>YesStyle</x:v>
      </x:c>
      <x:c r="E226" s="56" t="str">
        <x:v>https://www.yesstyle.com/en/some-by-mi-t%C3%B3nico-aha/info.html/pid.1067311275</x:v>
      </x:c>
      <x:c r="F226" s="56"/>
      <x:c r="G226" s="56" t="str">
        <x:v>2026-08-01</x:v>
      </x:c>
      <x:c r="H226" s="56" t="n">
        <x:v>10976</x:v>
      </x:c>
      <x:c r="I226" s="56" t="str">
        <x:v>Mixed / retailer disclosures vary</x:v>
      </x:c>
      <x:c r="J226" s="56" t="str">
        <x:v>Retailer rewards may exist</x:v>
      </x:c>
      <x:c r="K226" s="56" t="str">
        <x:v>Mostly Positive</x:v>
      </x:c>
      <x:c r="L226" s="56" t="str">
        <x:v>Large cross-border engagement</x:v>
      </x:c>
      <x:c r="M226" s="56" t="str">
        <x:v>Page displayed 10,976 reviews/engagement and #4 in Exfoliators.</x:v>
      </x:c>
      <x:c r="N226" s="56" t="str">
        <x:v>Affordability, texture and long-standing recognition.</x:v>
      </x:c>
      <x:c r="O226" s="56" t="str">
        <x:v>Promotional review environment and cross-border formula/price differences.</x:v>
      </x:c>
      <x:c r="P226" s="56" t="str">
        <x:v>Mixed</x:v>
      </x:c>
      <x:c r="Q226" s="56" t="str">
        <x:v>Positive</x:v>
      </x:c>
      <x:c r="R226" s="56" t="str">
        <x:v>COSRX and other K-Beauty toners</x:v>
      </x:c>
      <x:c r="S226" s="56" t="str">
        <x:v>Global retailer</x:v>
      </x:c>
      <x:c r="T226" s="56" t="str">
        <x:v>Medium-High</x:v>
      </x:c>
      <x:c r="U226" s="56" t="str">
        <x:v>SRC-SBM-030</x:v>
      </x:c>
      <x:c r="V226" s="56" t="str">
        <x:v>Display meaning and count are dynamic.</x:v>
      </x:c>
    </x:row>
    <x:row r="227" ht="120" customHeight="1">
      <x:c r="A227" s="56" t="str">
        <x:v>REV-SBM-008</x:v>
      </x:c>
      <x:c r="B227" s="56" t="str">
        <x:v>KB015</x:v>
      </x:c>
      <x:c r="C227" s="56" t="str">
        <x:v>SBM-P002</x:v>
      </x:c>
      <x:c r="D227" s="56" t="str">
        <x:v>Ulta Beauty</x:v>
      </x:c>
      <x:c r="E227" s="56" t="str">
        <x:v>https://www.ulta.com/p/aha-bha-pha-30-day-miracle-exfoliating-toner-pimprod2051778?sku=2641258</x:v>
      </x:c>
      <x:c r="F227" s="56"/>
      <x:c r="G227" s="56" t="str">
        <x:v>2026-08-01</x:v>
      </x:c>
      <x:c r="H227" s="56" t="n">
        <x:v>11</x:v>
      </x:c>
      <x:c r="I227" s="56" t="str">
        <x:v>Mixed / retailer disclosures vary</x:v>
      </x:c>
      <x:c r="J227" s="56" t="str">
        <x:v>Retailer reviews may include incentives</x:v>
      </x:c>
      <x:c r="K227" s="56" t="str">
        <x:v>Positive</x:v>
      </x:c>
      <x:c r="L227" s="56" t="str">
        <x:v>Early national specialty validation</x:v>
      </x:c>
      <x:c r="M227" s="56" t="str">
        <x:v>Ulta showed 4.8/11 at $24.</x:v>
      </x:c>
      <x:c r="N227" s="56" t="str">
        <x:v>Gentle exfoliation and smoother-looking texture.</x:v>
      </x:c>
      <x:c r="O227" s="56" t="str">
        <x:v>Small review sample and large price premium versus Amazon.</x:v>
      </x:c>
      <x:c r="P227" s="56" t="str">
        <x:v>Mixed</x:v>
      </x:c>
      <x:c r="Q227" s="56" t="str">
        <x:v>Positive / low sample</x:v>
      </x:c>
      <x:c r="R227" s="56" t="str">
        <x:v>COSRX; ANUA</x:v>
      </x:c>
      <x:c r="S227" s="56" t="str">
        <x:v>Yes / U.S. retailer</x:v>
      </x:c>
      <x:c r="T227" s="56" t="str">
        <x:v>High</x:v>
      </x:c>
      <x:c r="U227" s="56" t="str">
        <x:v>SRC-SBM-020</x:v>
      </x:c>
      <x:c r="V227" s="56" t="str">
        <x:v>Rating/count dynamic.</x:v>
      </x:c>
    </x:row>
    <x:row r="228" ht="120" customHeight="1">
      <x:c r="A228" s="56" t="str">
        <x:v>REV-SBM-009</x:v>
      </x:c>
      <x:c r="B228" s="56" t="str">
        <x:v>KB015</x:v>
      </x:c>
      <x:c r="C228" s="56" t="str">
        <x:v>SBM-P005</x:v>
      </x:c>
      <x:c r="D228" s="56" t="str">
        <x:v>Ulta Beauty</x:v>
      </x:c>
      <x:c r="E228" s="56" t="str">
        <x:v>https://www.ulta.com/brand/some-by-mi</x:v>
      </x:c>
      <x:c r="F228" s="56"/>
      <x:c r="G228" s="56" t="str">
        <x:v>2026-08-01</x:v>
      </x:c>
      <x:c r="H228" s="56" t="n">
        <x:v>19</x:v>
      </x:c>
      <x:c r="I228" s="56" t="str">
        <x:v>Mixed / retailer disclosures vary</x:v>
      </x:c>
      <x:c r="J228" s="56" t="str">
        <x:v>Retailer reviews may include incentives</x:v>
      </x:c>
      <x:c r="K228" s="56" t="str">
        <x:v>Positive-Mixed</x:v>
      </x:c>
      <x:c r="L228" s="56" t="str">
        <x:v>Beginner-retinol specialty signal</x:v>
      </x:c>
      <x:c r="M228" s="56" t="str">
        <x:v>Ulta showed 4.3/19 at $32.</x:v>
      </x:c>
      <x:c r="N228" s="56" t="str">
        <x:v>Beginner positioning and accessible routine education.</x:v>
      </x:c>
      <x:c r="O228" s="56" t="str">
        <x:v>Small sample, premium versus Amazon and retinoid-use caution.</x:v>
      </x:c>
      <x:c r="P228" s="56" t="str">
        <x:v>Mixed</x:v>
      </x:c>
      <x:c r="Q228" s="56" t="str">
        <x:v>Positive-Mixed</x:v>
      </x:c>
      <x:c r="R228" s="56" t="str">
        <x:v>Other Ulta retinol serums</x:v>
      </x:c>
      <x:c r="S228" s="56" t="str">
        <x:v>Yes / U.S. retailer</x:v>
      </x:c>
      <x:c r="T228" s="56" t="str">
        <x:v>High</x:v>
      </x:c>
      <x:c r="U228" s="56" t="str">
        <x:v>SRC-SBM-019,SRC-SBM-022</x:v>
      </x:c>
      <x:c r="V228" s="56" t="str">
        <x:v>Rating/count dynamic.</x:v>
      </x:c>
    </x:row>
    <x:row r="229" ht="120" customHeight="1">
      <x:c r="A229" s="56" t="str">
        <x:v>REV-SBM-010</x:v>
      </x:c>
      <x:c r="B229" s="56" t="str">
        <x:v>KB015</x:v>
      </x:c>
      <x:c r="C229" s="56" t="str">
        <x:v>SBM-P001</x:v>
      </x:c>
      <x:c r="D229" s="56" t="str">
        <x:v>Ulta Beauty</x:v>
      </x:c>
      <x:c r="E229" s="56" t="str">
        <x:v>https://www.ulta.com/brand/some-by-mi</x:v>
      </x:c>
      <x:c r="F229" s="56"/>
      <x:c r="G229" s="56" t="str">
        <x:v>2026-08-01</x:v>
      </x:c>
      <x:c r="H229" s="56" t="n">
        <x:v>2</x:v>
      </x:c>
      <x:c r="I229" s="56" t="str">
        <x:v>Mixed / retailer disclosures vary</x:v>
      </x:c>
      <x:c r="J229" s="56" t="str">
        <x:v>Retailer reviews may include incentives</x:v>
      </x:c>
      <x:c r="K229" s="56" t="str">
        <x:v>Positive / very low sample</x:v>
      </x:c>
      <x:c r="L229" s="56" t="str">
        <x:v>Body cleanser specialty listing</x:v>
      </x:c>
      <x:c r="M229" s="56" t="str">
        <x:v>Ulta showed 4.5/2 at $21.</x:v>
      </x:c>
      <x:c r="N229" s="56" t="str">
        <x:v>Body-acne assortment recognition.</x:v>
      </x:c>
      <x:c r="O229" s="56" t="str">
        <x:v>Too few reviews for robust inference.</x:v>
      </x:c>
      <x:c r="P229" s="56" t="str">
        <x:v>Acne-prone body skin</x:v>
      </x:c>
      <x:c r="Q229" s="56" t="str">
        <x:v>Positive / insufficient sample</x:v>
      </x:c>
      <x:c r="R229" s="56" t="str">
        <x:v>Naturium; PanOxyl</x:v>
      </x:c>
      <x:c r="S229" s="56" t="str">
        <x:v>Yes / U.S. retailer</x:v>
      </x:c>
      <x:c r="T229" s="56" t="str">
        <x:v>High</x:v>
      </x:c>
      <x:c r="U229" s="56" t="str">
        <x:v>SRC-SBM-019,SRC-SBM-021</x:v>
      </x:c>
      <x:c r="V229" s="56" t="str">
        <x:v>Use Amazon/TikTok as stronger demand signals.</x:v>
      </x:c>
    </x:row>
    <x:row r="230" ht="120" customHeight="1">
      <x:c r="A230" s="56" t="str">
        <x:v>REV-SBM-011</x:v>
      </x:c>
      <x:c r="B230" s="56" t="str">
        <x:v>KB015</x:v>
      </x:c>
      <x:c r="C230" s="56" t="str">
        <x:v>SBM-P002</x:v>
      </x:c>
      <x:c r="D230" s="56" t="str">
        <x:v>Reddit r/AsianBeauty</x:v>
      </x:c>
      <x:c r="E230" s="56" t="str">
        <x:v>https://www.reddit.com/r/AsianBeauty/comments/1fyppx9/review_of_some_by_mi_aha_bha_pha_30_days_miracle/</x:v>
      </x:c>
      <x:c r="F230" s="56" t="str">
        <x:v>2024-10-08</x:v>
      </x:c>
      <x:c r="G230" s="56" t="str">
        <x:v>2026-08-01</x:v>
      </x:c>
      <x:c r="H230" s="56" t="str">
        <x:v>Thread</x:v>
      </x:c>
      <x:c r="I230" s="56" t="str">
        <x:v>No</x:v>
      </x:c>
      <x:c r="J230" s="56" t="str">
        <x:v>No formal sponsorship audit</x:v>
      </x:c>
      <x:c r="K230" s="56" t="str">
        <x:v>Mixed-Positive</x:v>
      </x:c>
      <x:c r="L230" s="56" t="str">
        <x:v>Gentle texture/oil benefit versus irritation</x:v>
      </x:c>
      <x:c r="M230" s="56" t="str">
        <x:v>Original review described sebum and texture improvement after reducing frequency; comments include repeat purchase and strong praise.</x:v>
      </x:c>
      <x:c r="N230" s="56" t="str">
        <x:v>Light, hydrating feel, smoother texture and oil control.</x:v>
      </x:c>
      <x:c r="O230" s="56" t="str">
        <x:v>Daily use caused breakouts for the author; others report dryness, stripping and peppermint irritation.</x:v>
      </x:c>
      <x:c r="P230" s="56" t="str">
        <x:v>Sensitive/combination</x:v>
      </x:c>
      <x:c r="Q230" s="56" t="str">
        <x:v>Mixed-Positive</x:v>
      </x:c>
      <x:c r="R230" s="56" t="str">
        <x:v>Other exfoliating toners</x:v>
      </x:c>
      <x:c r="S230" s="56" t="str">
        <x:v>Mixed / not verified</x:v>
      </x:c>
      <x:c r="T230" s="56" t="str">
        <x:v>Low-Medium</x:v>
      </x:c>
      <x:c r="U230" s="56" t="str">
        <x:v>SRC-SBM-034</x:v>
      </x:c>
      <x:c r="V230" s="56" t="str">
        <x:v>Self-selected anecdotal discussion.</x:v>
      </x:c>
    </x:row>
    <x:row r="231" ht="120" customHeight="1">
      <x:c r="A231" s="56" t="str">
        <x:v>REV-SBM-012</x:v>
      </x:c>
      <x:c r="B231" s="56" t="str">
        <x:v>KB015</x:v>
      </x:c>
      <x:c r="C231" s="56" t="str">
        <x:v>SBM-P002</x:v>
      </x:c>
      <x:c r="D231" s="56" t="str">
        <x:v>Reddit r/AsianBeauty</x:v>
      </x:c>
      <x:c r="E231" s="56" t="str">
        <x:v>https://www.reddit.com/r/AsianBeauty/comments/jqks14</x:v>
      </x:c>
      <x:c r="F231" s="56" t="str">
        <x:v>2020-11-08</x:v>
      </x:c>
      <x:c r="G231" s="56" t="str">
        <x:v>2026-08-01</x:v>
      </x:c>
      <x:c r="H231" s="56" t="str">
        <x:v>Thread</x:v>
      </x:c>
      <x:c r="I231" s="56" t="str">
        <x:v>No</x:v>
      </x:c>
      <x:c r="J231" s="56" t="str">
        <x:v>No formal sponsorship audit</x:v>
      </x:c>
      <x:c r="K231" s="56" t="str">
        <x:v>Polarized</x:v>
      </x:c>
      <x:c r="L231" s="56" t="str">
        <x:v>Long-standing awareness but inconsistent efficacy</x:v>
      </x:c>
      <x:c r="M231" s="56" t="str">
        <x:v>One detailed user saw smoother, clearer-looking skin but not a 30-day cure; comments range from love to no difference and severe breakout.</x:v>
      </x:c>
      <x:c r="N231" s="56" t="str">
        <x:v>Smoothness, hydration and blemish-control perception.</x:v>
      </x:c>
      <x:c r="O231" s="56" t="str">
        <x:v>No visible change, irritation, purging and severe-breakout anecdotes.</x:v>
      </x:c>
      <x:c r="P231" s="56" t="str">
        <x:v>Mixed</x:v>
      </x:c>
      <x:c r="Q231" s="56" t="str">
        <x:v>Mixed</x:v>
      </x:c>
      <x:c r="R231" s="56" t="str">
        <x:v>Other exfoliating toners</x:v>
      </x:c>
      <x:c r="S231" s="56" t="str">
        <x:v>Mixed / not verified</x:v>
      </x:c>
      <x:c r="T231" s="56" t="str">
        <x:v>Low-Medium</x:v>
      </x:c>
      <x:c r="U231" s="56" t="str">
        <x:v>SRC-SBM-036</x:v>
      </x:c>
      <x:c r="V231" s="56" t="str">
        <x:v>Anecdotal; no causality finding.</x:v>
      </x:c>
    </x:row>
    <x:row r="232" ht="120" customHeight="1">
      <x:c r="A232" s="56" t="str">
        <x:v>REV-SBM-013</x:v>
      </x:c>
      <x:c r="B232" s="56" t="str">
        <x:v>KB015</x:v>
      </x:c>
      <x:c r="C232" s="56" t="str">
        <x:v>SBM-P002</x:v>
      </x:c>
      <x:c r="D232" s="56" t="str">
        <x:v>Reddit r/AsianBeauty</x:v>
      </x:c>
      <x:c r="E232" s="56" t="str">
        <x:v>https://www.reddit.com/r/AsianBeauty/comments/105dj11/is_the_some_by_mi_aha_bha_pha_toner_safe_to_use/</x:v>
      </x:c>
      <x:c r="F232" s="56" t="str">
        <x:v>2023-01-07</x:v>
      </x:c>
      <x:c r="G232" s="56" t="str">
        <x:v>2026-08-01</x:v>
      </x:c>
      <x:c r="H232" s="56" t="str">
        <x:v>Thread</x:v>
      </x:c>
      <x:c r="I232" s="56" t="str">
        <x:v>No</x:v>
      </x:c>
      <x:c r="J232" s="56" t="str">
        <x:v>No formal sponsorship audit</x:v>
      </x:c>
      <x:c r="K232" s="56" t="str">
        <x:v>Mixed</x:v>
      </x:c>
      <x:c r="L232" s="56" t="str">
        <x:v>Frequency and concentration debate</x:v>
      </x:c>
      <x:c r="M232" s="56" t="str">
        <x:v>Users recommend gradual introduction based on tolerance; some call it gentle while others argue the acid levels are too low for meaningful exfoliation.</x:v>
      </x:c>
      <x:c r="N232" s="56" t="str">
        <x:v>Tolerance for many users and easy daily-routine fit.</x:v>
      </x:c>
      <x:c r="O232" s="56" t="str">
        <x:v>Irritation risk, purging reports and efficacy skepticism.</x:v>
      </x:c>
      <x:c r="P232" s="56" t="str">
        <x:v>Mixed</x:v>
      </x:c>
      <x:c r="Q232" s="56" t="str">
        <x:v>Mixed</x:v>
      </x:c>
      <x:c r="R232" s="56" t="str">
        <x:v>Other low-strength acids</x:v>
      </x:c>
      <x:c r="S232" s="56" t="str">
        <x:v>Mixed / not verified</x:v>
      </x:c>
      <x:c r="T232" s="56" t="str">
        <x:v>Low</x:v>
      </x:c>
      <x:c r="U232" s="56" t="str">
        <x:v>SRC-SBM-035</x:v>
      </x:c>
      <x:c r="V232" s="56" t="str">
        <x:v>Consumer interpretation is not formulation substantiation.</x:v>
      </x:c>
    </x:row>
    <x:row r="233" ht="120" customHeight="1">
      <x:c r="A233" s="56" t="str">
        <x:v>REV-SBM-014</x:v>
      </x:c>
      <x:c r="B233" s="56" t="str">
        <x:v>KB015</x:v>
      </x:c>
      <x:c r="C233" s="56" t="str">
        <x:v>SBM-P005</x:v>
      </x:c>
      <x:c r="D233" s="56" t="str">
        <x:v>Reddit r/AsianBeauty</x:v>
      </x:c>
      <x:c r="E233" s="56" t="str">
        <x:v>https://www.reddit.com/r/AsianBeauty/comments/11yrn6f/product_question_some_by_mi_retinol_intense/</x:v>
      </x:c>
      <x:c r="F233" s="56" t="str">
        <x:v>2023-03-22</x:v>
      </x:c>
      <x:c r="G233" s="56" t="str">
        <x:v>2026-08-01</x:v>
      </x:c>
      <x:c r="H233" s="56" t="str">
        <x:v>Thread</x:v>
      </x:c>
      <x:c r="I233" s="56" t="str">
        <x:v>No</x:v>
      </x:c>
      <x:c r="J233" s="56" t="str">
        <x:v>No formal sponsorship audit</x:v>
      </x:c>
      <x:c r="K233" s="56" t="str">
        <x:v>Mixed</x:v>
      </x:c>
      <x:c r="L233" s="56" t="str">
        <x:v>Mild beginner use versus fragrance concern</x:v>
      </x:c>
      <x:c r="M233" s="56" t="str">
        <x:v>A user with sensitive skin described it as mild and non-clogging after a month; comments debate fragrance, essential oils and low percentages.</x:v>
      </x:c>
      <x:c r="N233" s="56" t="str">
        <x:v>Beginner-friendly sensory use and low irritation for some.</x:v>
      </x:c>
      <x:c r="O233" s="56" t="str">
        <x:v>Fragrance avoidance and uncertainty over retinoid strength/effect.</x:v>
      </x:c>
      <x:c r="P233" s="56" t="str">
        <x:v>Sensitive / retinoid beginner</x:v>
      </x:c>
      <x:c r="Q233" s="56" t="str">
        <x:v>Mixed</x:v>
      </x:c>
      <x:c r="R233" s="56" t="str">
        <x:v>Other beginner retinoids</x:v>
      </x:c>
      <x:c r="S233" s="56" t="str">
        <x:v>Mixed / not verified</x:v>
      </x:c>
      <x:c r="T233" s="56" t="str">
        <x:v>Low-Medium</x:v>
      </x:c>
      <x:c r="U233" s="56" t="str">
        <x:v>SRC-SBM-037</x:v>
      </x:c>
      <x:c r="V233" s="56" t="str">
        <x:v>Self-selected and too early for efficacy inference.</x:v>
      </x:c>
    </x:row>
    <x:row r="234" ht="120" customHeight="1">
      <x:c r="A234" s="56" t="str">
        <x:v>REV-SBM-015</x:v>
      </x:c>
      <x:c r="B234" s="56" t="str">
        <x:v>KB015</x:v>
      </x:c>
      <x:c r="C234" s="56" t="str">
        <x:v>SBM-P001</x:v>
      </x:c>
      <x:c r="D234" s="56" t="str">
        <x:v>Reddit r/AsianBeauty</x:v>
      </x:c>
      <x:c r="E234" s="56" t="str">
        <x:v>https://www.reddit.com/r/AsianBeauty/comments/13xkc3v/thoughts_on_the_some_by_mi_ahabhapha_30_days/</x:v>
      </x:c>
      <x:c r="F234" s="56" t="str">
        <x:v>2023-06-01</x:v>
      </x:c>
      <x:c r="G234" s="56" t="str">
        <x:v>2026-08-01</x:v>
      </x:c>
      <x:c r="H234" s="56" t="str">
        <x:v>Thread</x:v>
      </x:c>
      <x:c r="I234" s="56" t="str">
        <x:v>No</x:v>
      </x:c>
      <x:c r="J234" s="56" t="str">
        <x:v>No formal sponsorship audit</x:v>
      </x:c>
      <x:c r="K234" s="56" t="str">
        <x:v>Mixed-Negative</x:v>
      </x:c>
      <x:c r="L234" s="56" t="str">
        <x:v>Body-wash allergy and regimen skepticism</x:v>
      </x:c>
      <x:c r="M234" s="56" t="str">
        <x:v>Thread contains neutral/no-change Miracle-line experiences and one delayed allergic-reaction report attributed by the user to the body wash.</x:v>
      </x:c>
      <x:c r="N234" s="56" t="str">
        <x:v>Some users report no worsening and usable routine fit.</x:v>
      </x:c>
      <x:c r="O234" s="56" t="str">
        <x:v>Allergic-reaction anecdote, compromised-barrier concern and no visible change.</x:v>
      </x:c>
      <x:c r="P234" s="56" t="str">
        <x:v>Sensitive/eczema-prone</x:v>
      </x:c>
      <x:c r="Q234" s="56" t="str">
        <x:v>Mixed-Negative</x:v>
      </x:c>
      <x:c r="R234" s="56" t="str">
        <x:v>Other fragrance-free body washes</x:v>
      </x:c>
      <x:c r="S234" s="56" t="str">
        <x:v>Mixed / not verified</x:v>
      </x:c>
      <x:c r="T234" s="56" t="str">
        <x:v>Low</x:v>
      </x:c>
      <x:c r="U234" s="56" t="str">
        <x:v>SRC-SBM-038</x:v>
      </x:c>
      <x:c r="V234" s="56" t="str">
        <x:v>No defect or causality determination; supports patch-test and allergen review.</x:v>
      </x:c>
    </x:row>
    <x:row r="235" ht="120" customHeight="1">
      <x:c r="A235" s="56" t="str">
        <x:v>REV-SBM-016</x:v>
      </x:c>
      <x:c r="B235" s="56" t="str">
        <x:v>KB015</x:v>
      </x:c>
      <x:c r="C235" s="56"/>
      <x:c r="D235" s="56" t="str">
        <x:v>Ulta Beauty — V10 Hyal Air Fit Sunscreen</x:v>
      </x:c>
      <x:c r="E235" s="56" t="str">
        <x:v>https://www.ulta.com/brand/some-by-mi</x:v>
      </x:c>
      <x:c r="F235" s="56"/>
      <x:c r="G235" s="56" t="str">
        <x:v>2026-08-01</x:v>
      </x:c>
      <x:c r="H235" s="56" t="n">
        <x:v>8</x:v>
      </x:c>
      <x:c r="I235" s="56" t="str">
        <x:v>Mixed / retailer disclosures vary</x:v>
      </x:c>
      <x:c r="J235" s="56" t="str">
        <x:v>Retailer reviews may include incentives</x:v>
      </x:c>
      <x:c r="K235" s="56" t="str">
        <x:v>Positive-Mixed / low sample</x:v>
      </x:c>
      <x:c r="L235" s="56" t="str">
        <x:v>U.S. OTC sunscreen validation</x:v>
      </x:c>
      <x:c r="M235" s="56" t="str">
        <x:v>Ulta showed 4.4/8 at $24; DailyMed lists exact U.S. OTC label NDC 74472-235.</x:v>
      </x:c>
      <x:c r="N235" s="56" t="str">
        <x:v>Accessible SPF, lightweight K-Beauty positioning and U.S. label record.</x:v>
      </x:c>
      <x:c r="O235" s="56" t="str">
        <x:v>Small sample, fragrance/filter preferences and foreign-version substitution risk.</x:v>
      </x:c>
      <x:c r="P235" s="56" t="str">
        <x:v>Mixed</x:v>
      </x:c>
      <x:c r="Q235" s="56" t="str">
        <x:v>Positive-Mixed</x:v>
      </x:c>
      <x:c r="R235" s="56" t="str">
        <x:v>Other U.S.-compliant K-Beauty SPF</x:v>
      </x:c>
      <x:c r="S235" s="56" t="str">
        <x:v>Yes / U.S. retailer</x:v>
      </x:c>
      <x:c r="T235" s="56" t="str">
        <x:v>High</x:v>
      </x:c>
      <x:c r="U235" s="56" t="str">
        <x:v>SRC-SBM-019,SRC-SBM-041</x:v>
      </x:c>
      <x:c r="V235" s="56" t="str">
        <x:v>Source only exact U.S. Drug Facts/NDC product.</x:v>
      </x:c>
    </x:row>
    <x:row r="236" ht="120" customHeight="1">
      <x:c r="A236" s="56" t="str">
        <x:v>REV-ISN-001</x:v>
      </x:c>
      <x:c r="B236" s="56" t="str">
        <x:v>KB016</x:v>
      </x:c>
      <x:c r="C236" s="56" t="str">
        <x:v>ISN-P001</x:v>
      </x:c>
      <x:c r="D236" s="56" t="str">
        <x:v>Amazon</x:v>
      </x:c>
      <x:c r="E236" s="56" t="str">
        <x:v>https://www.amazon.com/dp/B0C7B55GS3</x:v>
      </x:c>
      <x:c r="F236" s="56"/>
      <x:c r="G236" s="56" t="str">
        <x:v>2026-08-01</x:v>
      </x:c>
      <x:c r="H236" s="56" t="n">
        <x:v>1021</x:v>
      </x:c>
      <x:c r="I236" s="56" t="str">
        <x:v>Mixed / not individually audited</x:v>
      </x:c>
      <x:c r="J236" s="56" t="str">
        <x:v>Retailer reviews may include incentives</x:v>
      </x:c>
      <x:c r="K236" s="56" t="str">
        <x:v>Mostly Positive</x:v>
      </x:c>
      <x:c r="L236" s="56" t="str">
        <x:v>Lightweight hydration, no cast and makeup compatibility versus stickiness/eye sensitivity</x:v>
      </x:c>
      <x:c r="M236" s="56" t="str">
        <x:v>Aggregate and sampled recent reviews favor comfortable daily wear but are not universal.</x:v>
      </x:c>
      <x:c r="N236" s="56" t="str">
        <x:v>Moisturizer-like, lightweight, no white cast for many, layers under makeup.</x:v>
      </x:c>
      <x:c r="O236" s="56" t="str">
        <x:v>Can feel sticky in hot/humid weather; occasional eye or skin reaction reports.</x:v>
      </x:c>
      <x:c r="P236" s="56" t="str">
        <x:v>Mixed</x:v>
      </x:c>
      <x:c r="Q236" s="56" t="str">
        <x:v>Strong positive signal</x:v>
      </x:c>
      <x:c r="R236" s="56"/>
      <x:c r="S236" s="56" t="str">
        <x:v>Yes / U.S. marketplace</x:v>
      </x:c>
      <x:c r="T236" s="56" t="str">
        <x:v>High</x:v>
      </x:c>
      <x:c r="U236" s="56" t="str">
        <x:v>SRC-ISN-010,SRC-ISN-035</x:v>
      </x:c>
      <x:c r="V236" s="56" t="str">
        <x:v>Aggregate summary; no verbatim quote stored.</x:v>
      </x:c>
    </x:row>
    <x:row r="237" ht="120" customHeight="1">
      <x:c r="A237" s="56" t="str">
        <x:v>REV-ISN-002</x:v>
      </x:c>
      <x:c r="B237" s="56" t="str">
        <x:v>KB016</x:v>
      </x:c>
      <x:c r="C237" s="56" t="str">
        <x:v>ISN-P002</x:v>
      </x:c>
      <x:c r="D237" s="56" t="str">
        <x:v>Amazon</x:v>
      </x:c>
      <x:c r="E237" s="56" t="str">
        <x:v>https://www.amazon.com/dp/B073PQPDP3</x:v>
      </x:c>
      <x:c r="F237" s="56"/>
      <x:c r="G237" s="56" t="str">
        <x:v>2026-08-01</x:v>
      </x:c>
      <x:c r="H237" s="56" t="n">
        <x:v>4524</x:v>
      </x:c>
      <x:c r="I237" s="56" t="str">
        <x:v>Mixed / not individually audited</x:v>
      </x:c>
      <x:c r="J237" s="56" t="str">
        <x:v>Retailer reviews may include incentives</x:v>
      </x:c>
      <x:c r="K237" s="56" t="str">
        <x:v>Mostly Positive</x:v>
      </x:c>
      <x:c r="L237" s="56" t="str">
        <x:v>Fresh lightweight toner and oil balance</x:v>
      </x:c>
      <x:c r="M237" s="56" t="str">
        <x:v>Large review family is strongly positive overall.</x:v>
      </x:c>
      <x:c r="N237" s="56" t="str">
        <x:v>Refreshing, absorbs easily, light hydration, good value.</x:v>
      </x:c>
      <x:c r="O237" s="56" t="str">
        <x:v>Some see little change or not enough hydration; possible tackiness.</x:v>
      </x:c>
      <x:c r="P237" s="56" t="str">
        <x:v>Combination / oily skew</x:v>
      </x:c>
      <x:c r="Q237" s="56" t="str">
        <x:v>Positive</x:v>
      </x:c>
      <x:c r="R237" s="56"/>
      <x:c r="S237" s="56" t="str">
        <x:v>Yes / U.S. marketplace</x:v>
      </x:c>
      <x:c r="T237" s="56" t="str">
        <x:v>High</x:v>
      </x:c>
      <x:c r="U237" s="56" t="str">
        <x:v>SRC-ISN-011</x:v>
      </x:c>
      <x:c r="V237" s="56" t="str">
        <x:v>Dynamic aggregate.</x:v>
      </x:c>
    </x:row>
    <x:row r="238" ht="120" customHeight="1">
      <x:c r="A238" s="56" t="str">
        <x:v>REV-ISN-003</x:v>
      </x:c>
      <x:c r="B238" s="56" t="str">
        <x:v>KB016</x:v>
      </x:c>
      <x:c r="C238" s="56" t="str">
        <x:v>ISN-P003</x:v>
      </x:c>
      <x:c r="D238" s="56" t="str">
        <x:v>Amazon</x:v>
      </x:c>
      <x:c r="E238" s="56" t="str">
        <x:v>https://www.amazon.com/dp/B0BQBR6BPQ</x:v>
      </x:c>
      <x:c r="F238" s="56"/>
      <x:c r="G238" s="56" t="str">
        <x:v>2026-08-01</x:v>
      </x:c>
      <x:c r="H238" s="56" t="n">
        <x:v>610</x:v>
      </x:c>
      <x:c r="I238" s="56" t="str">
        <x:v>Mixed / not individually audited</x:v>
      </x:c>
      <x:c r="J238" s="56" t="str">
        <x:v>Retailer reviews may include incentives</x:v>
      </x:c>
      <x:c r="K238" s="56" t="str">
        <x:v>Mostly Positive</x:v>
      </x:c>
      <x:c r="L238" s="56" t="str">
        <x:v>Layerable hydration and light texture</x:v>
      </x:c>
      <x:c r="M238" s="56" t="str">
        <x:v>Aggregate supports a positive but smaller sample.</x:v>
      </x:c>
      <x:c r="N238" s="56" t="str">
        <x:v>Lightweight, hydrating, non-heavy.</x:v>
      </x:c>
      <x:c r="O238" s="56" t="str">
        <x:v>May require moisturizer; limited dramatic change for some.</x:v>
      </x:c>
      <x:c r="P238" s="56" t="str">
        <x:v>Dehydrated / mixed</x:v>
      </x:c>
      <x:c r="Q238" s="56" t="str">
        <x:v>Positive</x:v>
      </x:c>
      <x:c r="R238" s="56"/>
      <x:c r="S238" s="56" t="str">
        <x:v>Yes / U.S. marketplace</x:v>
      </x:c>
      <x:c r="T238" s="56" t="str">
        <x:v>Medium-High</x:v>
      </x:c>
      <x:c r="U238" s="56" t="str">
        <x:v>SRC-ISN-012</x:v>
      </x:c>
      <x:c r="V238" s="56" t="str">
        <x:v>Dynamic aggregate.</x:v>
      </x:c>
    </x:row>
    <x:row r="239" ht="120" customHeight="1">
      <x:c r="A239" s="56" t="str">
        <x:v>REV-ISN-004</x:v>
      </x:c>
      <x:c r="B239" s="56" t="str">
        <x:v>KB016</x:v>
      </x:c>
      <x:c r="C239" s="56" t="str">
        <x:v>ISN-P004</x:v>
      </x:c>
      <x:c r="D239" s="56" t="str">
        <x:v>Amazon</x:v>
      </x:c>
      <x:c r="E239" s="56" t="str">
        <x:v>https://www.amazon.com/dp/B073JBWN86</x:v>
      </x:c>
      <x:c r="F239" s="56"/>
      <x:c r="G239" s="56" t="str">
        <x:v>2026-08-01</x:v>
      </x:c>
      <x:c r="H239" s="56" t="n">
        <x:v>1393</x:v>
      </x:c>
      <x:c r="I239" s="56" t="str">
        <x:v>Mixed / not individually audited</x:v>
      </x:c>
      <x:c r="J239" s="56" t="str">
        <x:v>Retailer reviews may include incentives</x:v>
      </x:c>
      <x:c r="K239" s="56" t="str">
        <x:v>Mostly Positive</x:v>
      </x:c>
      <x:c r="L239" s="56" t="str">
        <x:v>Gel hydration and value</x:v>
      </x:c>
      <x:c r="M239" s="56" t="str">
        <x:v>Strong overall rating supports moisturizer demand.</x:v>
      </x:c>
      <x:c r="N239" s="56" t="str">
        <x:v>Fresh gel feel, hydration, large size and value.</x:v>
      </x:c>
      <x:c r="O239" s="56" t="str">
        <x:v>Can be tacky or insufficient for very dry skin; individualized congestion reports possible.</x:v>
      </x:c>
      <x:c r="P239" s="56" t="str">
        <x:v>Oily / combination / dehydrated</x:v>
      </x:c>
      <x:c r="Q239" s="56" t="str">
        <x:v>Positive</x:v>
      </x:c>
      <x:c r="R239" s="56"/>
      <x:c r="S239" s="56" t="str">
        <x:v>Yes / U.S. marketplace</x:v>
      </x:c>
      <x:c r="T239" s="56" t="str">
        <x:v>High</x:v>
      </x:c>
      <x:c r="U239" s="56" t="str">
        <x:v>SRC-ISN-013</x:v>
      </x:c>
      <x:c r="V239" s="56" t="str">
        <x:v>Dynamic aggregate.</x:v>
      </x:c>
    </x:row>
    <x:row r="240" ht="120" customHeight="1">
      <x:c r="A240" s="56" t="str">
        <x:v>REV-ISN-005</x:v>
      </x:c>
      <x:c r="B240" s="56" t="str">
        <x:v>KB016</x:v>
      </x:c>
      <x:c r="C240" s="56" t="str">
        <x:v>ISN-P005</x:v>
      </x:c>
      <x:c r="D240" s="56" t="str">
        <x:v>Amazon</x:v>
      </x:c>
      <x:c r="E240" s="56" t="str">
        <x:v>https://www.amazon.com/dp/B09Y5GSG45</x:v>
      </x:c>
      <x:c r="F240" s="56"/>
      <x:c r="G240" s="56" t="str">
        <x:v>2026-08-01</x:v>
      </x:c>
      <x:c r="H240" s="56" t="n">
        <x:v>447</x:v>
      </x:c>
      <x:c r="I240" s="56" t="str">
        <x:v>Mixed / not individually audited</x:v>
      </x:c>
      <x:c r="J240" s="56" t="str">
        <x:v>Retailer reviews may include incentives</x:v>
      </x:c>
      <x:c r="K240" s="56" t="str">
        <x:v>Positive / Mixed</x:v>
      </x:c>
      <x:c r="L240" s="56" t="str">
        <x:v>Gentle cleansing versus makeup-removal expectations</x:v>
      </x:c>
      <x:c r="M240" s="56" t="str">
        <x:v>Good but weaker aggregate than other sampled heroes.</x:v>
      </x:c>
      <x:c r="N240" s="56" t="str">
        <x:v>Gentle, non-stripping, creamy and large size.</x:v>
      </x:c>
      <x:c r="O240" s="56" t="str">
        <x:v>May not remove waterproof makeup alone; texture preference varies.</x:v>
      </x:c>
      <x:c r="P240" s="56" t="str">
        <x:v>Dry / sensitive skew</x:v>
      </x:c>
      <x:c r="Q240" s="56" t="str">
        <x:v>Moderate positive</x:v>
      </x:c>
      <x:c r="R240" s="56"/>
      <x:c r="S240" s="56" t="str">
        <x:v>Yes / U.S. marketplace</x:v>
      </x:c>
      <x:c r="T240" s="56" t="str">
        <x:v>Medium-High</x:v>
      </x:c>
      <x:c r="U240" s="56" t="str">
        <x:v>SRC-ISN-014</x:v>
      </x:c>
      <x:c r="V240" s="56" t="str">
        <x:v>Dynamic aggregate.</x:v>
      </x:c>
    </x:row>
    <x:row r="241" ht="120" customHeight="1">
      <x:c r="A241" s="56" t="str">
        <x:v>REV-ISN-006</x:v>
      </x:c>
      <x:c r="B241" s="56" t="str">
        <x:v>KB016</x:v>
      </x:c>
      <x:c r="C241" s="56" t="str">
        <x:v>ISN-P002</x:v>
      </x:c>
      <x:c r="D241" s="56" t="str">
        <x:v>iHerb</x:v>
      </x:c>
      <x:c r="E241" s="56" t="str">
        <x:v>https://www.iherb.com/r/isntree-green-tea-fresh-toner-6-76-fl-oz-200-ml/97087</x:v>
      </x:c>
      <x:c r="F241" s="56"/>
      <x:c r="G241" s="56" t="str">
        <x:v>2026-08-01</x:v>
      </x:c>
      <x:c r="H241" s="56" t="n">
        <x:v>3073</x:v>
      </x:c>
      <x:c r="I241" s="56" t="str">
        <x:v>Mixed / not individually audited</x:v>
      </x:c>
      <x:c r="J241" s="56" t="str">
        <x:v>Retailer reviews may include incentives</x:v>
      </x:c>
      <x:c r="K241" s="56" t="str">
        <x:v>Mostly Positive</x:v>
      </x:c>
      <x:c r="L241" s="56" t="str">
        <x:v>Freshness, absorption and sebum balance</x:v>
      </x:c>
      <x:c r="M241" s="56" t="str">
        <x:v>Large review sample supports broad satisfaction.</x:v>
      </x:c>
      <x:c r="N241" s="56" t="str">
        <x:v>Refreshing, lightweight, hydrating and helpful for shine for many.</x:v>
      </x:c>
      <x:c r="O241" s="56" t="str">
        <x:v>No significant change or slight stickiness for some.</x:v>
      </x:c>
      <x:c r="P241" s="56" t="str">
        <x:v>Combination / oily</x:v>
      </x:c>
      <x:c r="Q241" s="56" t="str">
        <x:v>Positive</x:v>
      </x:c>
      <x:c r="R241" s="56"/>
      <x:c r="S241" s="56" t="str">
        <x:v>U.S. availability / global reviews</x:v>
      </x:c>
      <x:c r="T241" s="56" t="str">
        <x:v>High</x:v>
      </x:c>
      <x:c r="U241" s="56" t="str">
        <x:v>SRC-ISN-018,SRC-ISN-036</x:v>
      </x:c>
      <x:c r="V241" s="56" t="str">
        <x:v>Self-selected retailer reviews.</x:v>
      </x:c>
    </x:row>
    <x:row r="242" ht="120" customHeight="1">
      <x:c r="A242" s="56" t="str">
        <x:v>REV-ISN-007</x:v>
      </x:c>
      <x:c r="B242" s="56" t="str">
        <x:v>KB016</x:v>
      </x:c>
      <x:c r="C242" s="56" t="str">
        <x:v>ISN-P004</x:v>
      </x:c>
      <x:c r="D242" s="56" t="str">
        <x:v>iHerb</x:v>
      </x:c>
      <x:c r="E242" s="56" t="str">
        <x:v>https://www.iherb.com/c/isntree</x:v>
      </x:c>
      <x:c r="F242" s="56"/>
      <x:c r="G242" s="56" t="str">
        <x:v>2026-08-01</x:v>
      </x:c>
      <x:c r="H242" s="56" t="n">
        <x:v>4127</x:v>
      </x:c>
      <x:c r="I242" s="56" t="str">
        <x:v>Mixed / not individually audited</x:v>
      </x:c>
      <x:c r="J242" s="56" t="str">
        <x:v>Retailer reviews may include incentives</x:v>
      </x:c>
      <x:c r="K242" s="56" t="str">
        <x:v>Mostly Positive</x:v>
      </x:c>
      <x:c r="L242" s="56" t="str">
        <x:v>Large-format gel-cream hydration</x:v>
      </x:c>
      <x:c r="M242" s="56" t="str">
        <x:v>1K+ sold in 30 days and large review family support demand.</x:v>
      </x:c>
      <x:c r="N242" s="56" t="str">
        <x:v>Light gel, good value, hydration for combination skin.</x:v>
      </x:c>
      <x:c r="O242" s="56" t="str">
        <x:v>May not be rich enough for dry climates or may feel tacky by skin type.</x:v>
      </x:c>
      <x:c r="P242" s="56" t="str">
        <x:v>Combination / oily</x:v>
      </x:c>
      <x:c r="Q242" s="56" t="str">
        <x:v>Positive</x:v>
      </x:c>
      <x:c r="R242" s="56"/>
      <x:c r="S242" s="56" t="str">
        <x:v>U.S. retailer / global reviews</x:v>
      </x:c>
      <x:c r="T242" s="56" t="str">
        <x:v>High</x:v>
      </x:c>
      <x:c r="U242" s="56" t="str">
        <x:v>SRC-ISN-019</x:v>
      </x:c>
      <x:c r="V242" s="56" t="str">
        <x:v>Brand-page display; product URL should be reconfirmed.</x:v>
      </x:c>
    </x:row>
    <x:row r="243" ht="120" customHeight="1">
      <x:c r="A243" s="56" t="str">
        <x:v>REV-ISN-008</x:v>
      </x:c>
      <x:c r="B243" s="56" t="str">
        <x:v>KB016</x:v>
      </x:c>
      <x:c r="C243" s="56" t="str">
        <x:v>ISN-P002</x:v>
      </x:c>
      <x:c r="D243" s="56" t="str">
        <x:v>Soko Glam</x:v>
      </x:c>
      <x:c r="E243" s="56" t="str">
        <x:v>https://sokoglam.com/collections/toner/products/isntree-green-tea-fresh-toner</x:v>
      </x:c>
      <x:c r="F243" s="56"/>
      <x:c r="G243" s="56" t="str">
        <x:v>2026-08-01</x:v>
      </x:c>
      <x:c r="H243" s="56" t="n">
        <x:v>179</x:v>
      </x:c>
      <x:c r="I243" s="56" t="str">
        <x:v>Mixed / not individually audited</x:v>
      </x:c>
      <x:c r="J243" s="56" t="str">
        <x:v>Retailer reviews may include incentives</x:v>
      </x:c>
      <x:c r="K243" s="56" t="str">
        <x:v>Mostly Positive</x:v>
      </x:c>
      <x:c r="L243" s="56" t="str">
        <x:v>Curated K-Beauty toner acceptance</x:v>
      </x:c>
      <x:c r="M243" s="56" t="str">
        <x:v>4.5 aggregate supports specialist-retail fit.</x:v>
      </x:c>
      <x:c r="N243" s="56" t="str">
        <x:v>Light, refreshing and suitable for routine layering.</x:v>
      </x:c>
      <x:c r="O243" s="56" t="str">
        <x:v>Results may be subtle; hydration expectations vary.</x:v>
      </x:c>
      <x:c r="P243" s="56" t="str">
        <x:v>Mixed</x:v>
      </x:c>
      <x:c r="Q243" s="56" t="str">
        <x:v>Positive</x:v>
      </x:c>
      <x:c r="R243" s="56"/>
      <x:c r="S243" s="56" t="str">
        <x:v>Yes / U.S. retailer</x:v>
      </x:c>
      <x:c r="T243" s="56" t="str">
        <x:v>Medium-High</x:v>
      </x:c>
      <x:c r="U243" s="56" t="str">
        <x:v>SRC-ISN-024</x:v>
      </x:c>
      <x:c r="V243" s="56" t="str">
        <x:v>Aggregate summary.</x:v>
      </x:c>
    </x:row>
    <x:row r="244" ht="120" customHeight="1">
      <x:c r="A244" s="56" t="str">
        <x:v>REV-ISN-009</x:v>
      </x:c>
      <x:c r="B244" s="56" t="str">
        <x:v>KB016</x:v>
      </x:c>
      <x:c r="C244" s="56"/>
      <x:c r="D244" s="56" t="str">
        <x:v>Reddit r/AsianBeauty</x:v>
      </x:c>
      <x:c r="E244" s="56" t="str">
        <x:v>https://www.reddit.com/r/AsianBeauty/comments/11zwn74/i_sat_down_and_reviewed_all_25_of_the_isntree/</x:v>
      </x:c>
      <x:c r="F244" s="56" t="str">
        <x:v>2023-03-23</x:v>
      </x:c>
      <x:c r="G244" s="56" t="str">
        <x:v>2026-08-01</x:v>
      </x:c>
      <x:c r="H244" s="56" t="str">
        <x:v>One detailed multi-product post plus comments</x:v>
      </x:c>
      <x:c r="I244" s="56" t="str">
        <x:v>No</x:v>
      </x:c>
      <x:c r="J244" s="56" t="str">
        <x:v>Low sponsorship evidence observed</x:v>
      </x:c>
      <x:c r="K244" s="56" t="str">
        <x:v>Mixed</x:v>
      </x:c>
      <x:c r="L244" s="56" t="str">
        <x:v>Broad 25-product experience</x:v>
      </x:c>
      <x:c r="M244" s="56" t="str">
        <x:v>Detailed user liked Watery Sun Gel spread/reapplication and no pilling; Green Tea Toner was ineffective for some.</x:v>
      </x:c>
      <x:c r="N244" s="56" t="str">
        <x:v>Sunscreen spreadability, reapplication and finish; several gentle formulas.</x:v>
      </x:c>
      <x:c r="O244" s="56" t="str">
        <x:v>Some products underwhelmed or did not justify repurchase.</x:v>
      </x:c>
      <x:c r="P244" s="56" t="str">
        <x:v>Mixed</x:v>
      </x:c>
      <x:c r="Q244" s="56" t="str">
        <x:v>Product-dependent</x:v>
      </x:c>
      <x:c r="R244" s="56"/>
      <x:c r="S244" s="56" t="str">
        <x:v>Not necessarily U.S.-specific</x:v>
      </x:c>
      <x:c r="T244" s="56" t="str">
        <x:v>Low-Medium</x:v>
      </x:c>
      <x:c r="U244" s="56" t="str">
        <x:v>SRC-ISN-037</x:v>
      </x:c>
      <x:c r="V244" s="56" t="str">
        <x:v>Anecdotal; no market generalization.</x:v>
      </x:c>
    </x:row>
    <x:row r="245" ht="120" customHeight="1">
      <x:c r="A245" s="56" t="str">
        <x:v>REV-ISN-010</x:v>
      </x:c>
      <x:c r="B245" s="56" t="str">
        <x:v>KB016</x:v>
      </x:c>
      <x:c r="C245" s="56" t="str">
        <x:v>ISN-P002</x:v>
      </x:c>
      <x:c r="D245" s="56" t="str">
        <x:v>Reddit r/AsianBeauty</x:v>
      </x:c>
      <x:c r="E245" s="56" t="str">
        <x:v>https://www.reddit.com/r/AsianBeauty/comments/lxd3cd</x:v>
      </x:c>
      <x:c r="F245" s="56"/>
      <x:c r="G245" s="56" t="str">
        <x:v>2026-08-01</x:v>
      </x:c>
      <x:c r="H245" s="56" t="str">
        <x:v>Thread/comments</x:v>
      </x:c>
      <x:c r="I245" s="56" t="str">
        <x:v>No</x:v>
      </x:c>
      <x:c r="J245" s="56" t="str">
        <x:v>Low sponsorship evidence observed</x:v>
      </x:c>
      <x:c r="K245" s="56" t="str">
        <x:v>Mixed</x:v>
      </x:c>
      <x:c r="L245" s="56" t="str">
        <x:v>Hyaluronic toner feel and hydration expectations</x:v>
      </x:c>
      <x:c r="M245" s="56" t="str">
        <x:v>Some users find Isntree HA toner thick or insufficient alone.</x:v>
      </x:c>
      <x:c r="N245" s="56" t="str">
        <x:v>Layerable hydration for some routines.</x:v>
      </x:c>
      <x:c r="O245" s="56" t="str">
        <x:v>Can feel thick without delivering enough hydration alone.</x:v>
      </x:c>
      <x:c r="P245" s="56" t="str">
        <x:v>Dehydrated / mixed</x:v>
      </x:c>
      <x:c r="Q245" s="56" t="str">
        <x:v>Mixed</x:v>
      </x:c>
      <x:c r="R245" s="56"/>
      <x:c r="S245" s="56" t="str">
        <x:v>Not necessarily U.S.-specific</x:v>
      </x:c>
      <x:c r="T245" s="56" t="str">
        <x:v>Low</x:v>
      </x:c>
      <x:c r="U245" s="56" t="str">
        <x:v>SRC-ISN-038</x:v>
      </x:c>
      <x:c r="V245" s="56" t="str">
        <x:v>Anecdotal.</x:v>
      </x:c>
    </x:row>
    <x:row r="246" ht="120" customHeight="1">
      <x:c r="A246" s="56" t="str">
        <x:v>REV-ISN-011</x:v>
      </x:c>
      <x:c r="B246" s="56" t="str">
        <x:v>KB016</x:v>
      </x:c>
      <x:c r="C246" s="56" t="str">
        <x:v>ISN-P001</x:v>
      </x:c>
      <x:c r="D246" s="56" t="str">
        <x:v>Reddit r/AsianBeauty</x:v>
      </x:c>
      <x:c r="E246" s="56" t="str">
        <x:v>https://www.reddit.com/r/AsianBeauty/comments/1705w9q</x:v>
      </x:c>
      <x:c r="F246" s="56"/>
      <x:c r="G246" s="56" t="str">
        <x:v>2026-08-01</x:v>
      </x:c>
      <x:c r="H246" s="56" t="str">
        <x:v>Thread/comments</x:v>
      </x:c>
      <x:c r="I246" s="56" t="str">
        <x:v>No</x:v>
      </x:c>
      <x:c r="J246" s="56" t="str">
        <x:v>Low sponsorship evidence observed</x:v>
      </x:c>
      <x:c r="K246" s="56" t="str">
        <x:v>Mixed Positive</x:v>
      </x:c>
      <x:c r="L246" s="56" t="str">
        <x:v>Sun Gel finish and Chestnut BHA gentleness</x:v>
      </x:c>
      <x:c r="M246" s="56" t="str">
        <x:v>Watery Sun Gel blends and absorbs; oily skin may find it too dewy. Chestnut BHA helped small bumps for some.</x:v>
      </x:c>
      <x:c r="N246" s="56" t="str">
        <x:v>Easy blend, hydrating finish, gentle exfoliation.</x:v>
      </x:c>
      <x:c r="O246" s="56" t="str">
        <x:v>Too dewy for oily skin; efficacy varies.</x:v>
      </x:c>
      <x:c r="P246" s="56" t="str">
        <x:v>Oily / combination</x:v>
      </x:c>
      <x:c r="Q246" s="56" t="str">
        <x:v>Mixed positive</x:v>
      </x:c>
      <x:c r="R246" s="56"/>
      <x:c r="S246" s="56" t="str">
        <x:v>Not necessarily U.S.-specific</x:v>
      </x:c>
      <x:c r="T246" s="56" t="str">
        <x:v>Low-Medium</x:v>
      </x:c>
      <x:c r="U246" s="56" t="str">
        <x:v>SRC-ISN-039</x:v>
      </x:c>
      <x:c r="V246" s="56" t="str">
        <x:v>Anecdotal.</x:v>
      </x:c>
    </x:row>
    <x:row r="247" ht="120" customHeight="1">
      <x:c r="A247" s="56" t="str">
        <x:v>REV-ISN-012</x:v>
      </x:c>
      <x:c r="B247" s="56" t="str">
        <x:v>KB016</x:v>
      </x:c>
      <x:c r="C247" s="56" t="str">
        <x:v>ISN-P002</x:v>
      </x:c>
      <x:c r="D247" s="56" t="str">
        <x:v>Reddit r/SkincareAddiction</x:v>
      </x:c>
      <x:c r="E247" s="56" t="str">
        <x:v>https://www.reddit.com/r/SkincareAddiction/comments/q4fa8q</x:v>
      </x:c>
      <x:c r="F247" s="56"/>
      <x:c r="G247" s="56" t="str">
        <x:v>2026-08-01</x:v>
      </x:c>
      <x:c r="H247" s="56" t="str">
        <x:v>Thread/comments</x:v>
      </x:c>
      <x:c r="I247" s="56" t="str">
        <x:v>No</x:v>
      </x:c>
      <x:c r="J247" s="56" t="str">
        <x:v>Low sponsorship evidence observed</x:v>
      </x:c>
      <x:c r="K247" s="56" t="str">
        <x:v>Positive / Mixed</x:v>
      </x:c>
      <x:c r="L247" s="56" t="str">
        <x:v>Green Tea and Mugwort line experience</x:v>
      </x:c>
      <x:c r="M247" s="56" t="str">
        <x:v>Users discuss calming, fresh textures and routine compatibility.</x:v>
      </x:c>
      <x:c r="N247" s="56" t="str">
        <x:v>Soothing feel and light layering.</x:v>
      </x:c>
      <x:c r="O247" s="56" t="str">
        <x:v>Results depend on skin and routine; limited evidence.</x:v>
      </x:c>
      <x:c r="P247" s="56" t="str">
        <x:v>Sensitive / mixed</x:v>
      </x:c>
      <x:c r="Q247" s="56" t="str">
        <x:v>Mixed positive</x:v>
      </x:c>
      <x:c r="R247" s="56"/>
      <x:c r="S247" s="56" t="str">
        <x:v>Potential U.S. users</x:v>
      </x:c>
      <x:c r="T247" s="56" t="str">
        <x:v>Low</x:v>
      </x:c>
      <x:c r="U247" s="56" t="str">
        <x:v>SRC-ISN-040</x:v>
      </x:c>
      <x:c r="V247" s="56" t="str">
        <x:v>Anecdotal.</x:v>
      </x:c>
    </x:row>
    <x:row r="248" ht="120" customHeight="1">
      <x:c r="A248" s="56" t="str">
        <x:v>REV-ISN-013</x:v>
      </x:c>
      <x:c r="B248" s="56" t="str">
        <x:v>KB016</x:v>
      </x:c>
      <x:c r="C248" s="56" t="str">
        <x:v>ISN-P001</x:v>
      </x:c>
      <x:c r="D248" s="56" t="str">
        <x:v>Reddit r/AsianBeauty</x:v>
      </x:c>
      <x:c r="E248" s="56" t="str">
        <x:v>https://www.reddit.com/r/AsianBeauty/comments/l8cmvw/has_anyone_tried_the_isntree_hyaluronic_acid/</x:v>
      </x:c>
      <x:c r="F248" s="56"/>
      <x:c r="G248" s="56" t="str">
        <x:v>2026-08-01</x:v>
      </x:c>
      <x:c r="H248" s="56" t="str">
        <x:v>Thread/comments</x:v>
      </x:c>
      <x:c r="I248" s="56" t="str">
        <x:v>No</x:v>
      </x:c>
      <x:c r="J248" s="56" t="str">
        <x:v>Low sponsorship evidence observed</x:v>
      </x:c>
      <x:c r="K248" s="56" t="str">
        <x:v>Mixed</x:v>
      </x:c>
      <x:c r="L248" s="56" t="str">
        <x:v>Watery Sun Gel shine, cast and eye feel</x:v>
      </x:c>
      <x:c r="M248" s="56" t="str">
        <x:v>Consumers report watery texture and disappearing cast, with disagreement over shine, tackiness and eye sting.</x:v>
      </x:c>
      <x:c r="N248" s="56" t="str">
        <x:v>Watery, blendable and minimal lasting cast for many.</x:v>
      </x:c>
      <x:c r="O248" s="56" t="str">
        <x:v>Shiny, tacky, greasy or eye-stinging for some; multiple product versions complicate comparisons.</x:v>
      </x:c>
      <x:c r="P248" s="56" t="str">
        <x:v>Mixed</x:v>
      </x:c>
      <x:c r="Q248" s="56" t="str">
        <x:v>Mixed</x:v>
      </x:c>
      <x:c r="R248" s="56"/>
      <x:c r="S248" s="56" t="str">
        <x:v>Not necessarily U.S.-specific</x:v>
      </x:c>
      <x:c r="T248" s="56" t="str">
        <x:v>Low-Medium</x:v>
      </x:c>
      <x:c r="U248" s="56" t="str">
        <x:v>SRC-ISN-041</x:v>
      </x:c>
      <x:c r="V248" s="56" t="str">
        <x:v>Anecdotal; formula/version must be identified.</x:v>
      </x:c>
    </x:row>
    <x:row r="249" ht="120" customHeight="1">
      <x:c r="A249" s="56" t="str">
        <x:v>REV-ISN-014</x:v>
      </x:c>
      <x:c r="B249" s="56" t="str">
        <x:v>KB016</x:v>
      </x:c>
      <x:c r="C249" s="56" t="str">
        <x:v>ISN-P001</x:v>
      </x:c>
      <x:c r="D249" s="56" t="str">
        <x:v>Reddit r/koreanskincare</x:v>
      </x:c>
      <x:c r="E249" s="56" t="str">
        <x:v>https://www.reddit.com/r/koreanskincare/comments/1v6z5pu/has_anyone_here_used_isntree_hyaluronic_acid/</x:v>
      </x:c>
      <x:c r="F249" s="56" t="str">
        <x:v>2026</x:v>
      </x:c>
      <x:c r="G249" s="56" t="str">
        <x:v>2026-08-01</x:v>
      </x:c>
      <x:c r="H249" s="56" t="str">
        <x:v>Recent thread/comments</x:v>
      </x:c>
      <x:c r="I249" s="56" t="str">
        <x:v>No</x:v>
      </x:c>
      <x:c r="J249" s="56" t="str">
        <x:v>Low sponsorship evidence observed</x:v>
      </x:c>
      <x:c r="K249" s="56" t="str">
        <x:v>Mixed</x:v>
      </x:c>
      <x:c r="L249" s="56" t="str">
        <x:v>Repurchase versus newer sunscreen launches</x:v>
      </x:c>
      <x:c r="M249" s="56" t="str">
        <x:v>A recent user would not repurchase because newer sunscreen choices seemed more promising.</x:v>
      </x:c>
      <x:c r="N249" s="56" t="str">
        <x:v>Established benchmark and usable texture.</x:v>
      </x:c>
      <x:c r="O249" s="56" t="str">
        <x:v>Category innovation can reduce repurchase intent.</x:v>
      </x:c>
      <x:c r="P249" s="56" t="str">
        <x:v>Mixed</x:v>
      </x:c>
      <x:c r="Q249" s="56" t="str">
        <x:v>Negative for one user</x:v>
      </x:c>
      <x:c r="R249" s="56" t="str">
        <x:v>Newer K-Beauty sunscreens</x:v>
      </x:c>
      <x:c r="S249" s="56" t="str">
        <x:v>Not necessarily U.S.-specific</x:v>
      </x:c>
      <x:c r="T249" s="56" t="str">
        <x:v>Low</x:v>
      </x:c>
      <x:c r="U249" s="56" t="str">
        <x:v>SRC-ISN-042</x:v>
      </x:c>
      <x:c r="V249" s="56" t="str">
        <x:v>Anecdotal single-user signal.</x:v>
      </x:c>
    </x:row>
    <x:row r="250" ht="120" customHeight="1">
      <x:c r="A250" s="56" t="str">
        <x:v>REV-ISN-015</x:v>
      </x:c>
      <x:c r="B250" s="56" t="str">
        <x:v>KB016</x:v>
      </x:c>
      <x:c r="C250" s="56"/>
      <x:c r="D250" s="56" t="str">
        <x:v>Reddit r/SkincareAddiction</x:v>
      </x:c>
      <x:c r="E250" s="56" t="str">
        <x:v>https://www.reddit.com/r/SkincareAddiction/comments/1fzzseq</x:v>
      </x:c>
      <x:c r="F250" s="56"/>
      <x:c r="G250" s="56" t="str">
        <x:v>2026-08-01</x:v>
      </x:c>
      <x:c r="H250" s="56" t="str">
        <x:v>One marketplace-authenticity report</x:v>
      </x:c>
      <x:c r="I250" s="56" t="str">
        <x:v>No</x:v>
      </x:c>
      <x:c r="J250" s="56" t="str">
        <x:v>Low sponsorship evidence observed</x:v>
      </x:c>
      <x:c r="K250" s="56" t="str">
        <x:v>Negative / Risk</x:v>
      </x:c>
      <x:c r="L250" s="56" t="str">
        <x:v>Possible fake product from Walmart seller</x:v>
      </x:c>
      <x:c r="M250" s="56" t="str">
        <x:v>User perceived texture, smell and finish differences and suspected counterfeit product.</x:v>
      </x:c>
      <x:c r="N250" s="56"/>
      <x:c r="O250" s="56" t="str">
        <x:v>Authenticity anxiety and inconsistent seller provenance.</x:v>
      </x:c>
      <x:c r="P250" s="56" t="str">
        <x:v>Not applicable</x:v>
      </x:c>
      <x:c r="Q250" s="56" t="str">
        <x:v>Negative</x:v>
      </x:c>
      <x:c r="R250" s="56" t="str">
        <x:v>Marketplace sellers</x:v>
      </x:c>
      <x:c r="S250" s="56" t="str">
        <x:v>Potential U.S. marketplace</x:v>
      </x:c>
      <x:c r="T250" s="56" t="str">
        <x:v>Low</x:v>
      </x:c>
      <x:c r="U250" s="56" t="str">
        <x:v>SRC-ISN-043</x:v>
      </x:c>
      <x:c r="V250" s="56" t="str">
        <x:v>Not verified as counterfeit; treat as diligence signal only.</x:v>
      </x:c>
    </x:row>
    <x:row r="251" ht="120" customHeight="1">
      <x:c r="A251" s="56" t="str">
        <x:v>REV-ISN-016</x:v>
      </x:c>
      <x:c r="B251" s="56" t="str">
        <x:v>KB016</x:v>
      </x:c>
      <x:c r="C251" s="56"/>
      <x:c r="D251" s="56" t="str">
        <x:v>Reddit r/koreanskincare / r/Skincare_Addiction</x:v>
      </x:c>
      <x:c r="E251" s="56" t="str">
        <x:v>https://www.reddit.com/r/koreanskincare/comments/1cwhs8n</x:v>
      </x:c>
      <x:c r="F251" s="56"/>
      <x:c r="G251" s="56" t="str">
        <x:v>2026-08-01</x:v>
      </x:c>
      <x:c r="H251" s="56" t="str">
        <x:v>Multiple discussion threads</x:v>
      </x:c>
      <x:c r="I251" s="56" t="str">
        <x:v>No</x:v>
      </x:c>
      <x:c r="J251" s="56" t="str">
        <x:v>Low sponsorship evidence observed</x:v>
      </x:c>
      <x:c r="K251" s="56" t="str">
        <x:v>Mixed / Risk</x:v>
      </x:c>
      <x:c r="L251" s="56" t="str">
        <x:v>Amazon authenticity and formula-change concern</x:v>
      </x:c>
      <x:c r="M251" s="56" t="str">
        <x:v>Consumers ask whether Amazon products are legitimate and whether changed texture reflects reformulation or seller risk.</x:v>
      </x:c>
      <x:c r="N251" s="56" t="str">
        <x:v>Official seller route can reduce uncertainty.</x:v>
      </x:c>
      <x:c r="O251" s="56" t="str">
        <x:v>Confusion over sellers, packaging and regional formulas damages trust.</x:v>
      </x:c>
      <x:c r="P251" s="56" t="str">
        <x:v>Not applicable</x:v>
      </x:c>
      <x:c r="Q251" s="56" t="str">
        <x:v>Mixed</x:v>
      </x:c>
      <x:c r="R251" s="56" t="str">
        <x:v>Amazon and other marketplaces</x:v>
      </x:c>
      <x:c r="S251" s="56" t="str">
        <x:v>Potential U.S. marketplace</x:v>
      </x:c>
      <x:c r="T251" s="56" t="str">
        <x:v>Low-Medium</x:v>
      </x:c>
      <x:c r="U251" s="56" t="str">
        <x:v>SRC-ISN-051,SRC-ISN-052</x:v>
      </x:c>
      <x:c r="V251" s="56" t="str">
        <x:v>No counterfeit or defect determination.</x:v>
      </x:c>
    </x:row>
    <x:row r="252" ht="126" customHeight="1">
      <x:c r="A252" s="56" t="str">
        <x:v>REV-GDL-001</x:v>
      </x:c>
      <x:c r="B252" s="56" t="str">
        <x:v>KB017</x:v>
      </x:c>
      <x:c r="C252" s="56" t="str">
        <x:v>GDL-P001</x:v>
      </x:c>
      <x:c r="D252" s="56" t="str">
        <x:v>Amazon</x:v>
      </x:c>
      <x:c r="E252" s="56" t="str">
        <x:v>https://www.amazon.com/dp/B0GGGCV238</x:v>
      </x:c>
      <x:c r="F252" s="56"/>
      <x:c r="G252" s="56" t="str">
        <x:v>2026-08-01</x:v>
      </x:c>
      <x:c r="H252" s="56" t="n">
        <x:v>107</x:v>
      </x:c>
      <x:c r="I252" s="56" t="str">
        <x:v>Mixed / not individually audited</x:v>
      </x:c>
      <x:c r="J252" s="56" t="str">
        <x:v>Retailer reviews may include incentives</x:v>
      </x:c>
      <x:c r="K252" s="56" t="str">
        <x:v>Mostly Positive</x:v>
      </x:c>
      <x:c r="L252" s="56" t="str">
        <x:v>New Alpha serum adoption</x:v>
      </x:c>
      <x:c r="M252" s="56" t="str">
        <x:v>4.5/107 with 4K+ bought suggests rapid trial, but the review base is new and small relative to legacy Goodal products.</x:v>
      </x:c>
      <x:c r="N252" s="56" t="str">
        <x:v>Gentle texture, hydration, glow and accessible routine fit.</x:v>
      </x:c>
      <x:c r="O252" s="56" t="str">
        <x:v>Seven-day and dark-spot expectations may exceed early evidence; sensitivity and fragrance concerns remain.</x:v>
      </x:c>
      <x:c r="P252" s="56" t="str">
        <x:v>Mixed skin types</x:v>
      </x:c>
      <x:c r="Q252" s="56" t="str">
        <x:v>Strong purchase signal / developing review proof</x:v>
      </x:c>
      <x:c r="R252" s="56"/>
      <x:c r="S252" s="56" t="str">
        <x:v>Yes / U.S. marketplace</x:v>
      </x:c>
      <x:c r="T252" s="56" t="str">
        <x:v>High</x:v>
      </x:c>
      <x:c r="U252" s="56" t="str">
        <x:v>SRC-GDL-010,SRC-GDL-035</x:v>
      </x:c>
      <x:c r="V252" s="56" t="str">
        <x:v>Dynamic aggregate; Alpha-specific only where exact ASIN verified.</x:v>
      </x:c>
    </x:row>
    <x:row r="253" ht="126" customHeight="1">
      <x:c r="A253" s="56" t="str">
        <x:v>REV-GDL-002</x:v>
      </x:c>
      <x:c r="B253" s="56" t="str">
        <x:v>KB017</x:v>
      </x:c>
      <x:c r="C253" s="56" t="str">
        <x:v>GDL-P002</x:v>
      </x:c>
      <x:c r="D253" s="56" t="str">
        <x:v>Amazon</x:v>
      </x:c>
      <x:c r="E253" s="56" t="str">
        <x:v>https://www.amazon.com/dp/B0G92CK3J8</x:v>
      </x:c>
      <x:c r="F253" s="56"/>
      <x:c r="G253" s="56" t="str">
        <x:v>2026-08-01</x:v>
      </x:c>
      <x:c r="H253" s="56" t="n">
        <x:v>94</x:v>
      </x:c>
      <x:c r="I253" s="56" t="str">
        <x:v>Mixed / not individually audited</x:v>
      </x:c>
      <x:c r="J253" s="56" t="str">
        <x:v>Retailer reviews may include incentives</x:v>
      </x:c>
      <x:c r="K253" s="56" t="str">
        <x:v>Mostly Positive</x:v>
      </x:c>
      <x:c r="L253" s="56" t="str">
        <x:v>Eye-patch convenience and hydration</x:v>
      </x:c>
      <x:c r="M253" s="56" t="str">
        <x:v>4.6/94 supports positive early adoption.</x:v>
      </x:c>
      <x:c r="N253" s="56" t="str">
        <x:v>Cooling/hydrating feel, convenient patch format and brightening-routine extension.</x:v>
      </x:c>
      <x:c r="O253" s="56" t="str">
        <x:v>Dark-circle and firmness results vary; patch adhesion and sensitivity may differ.</x:v>
      </x:c>
      <x:c r="P253" s="56" t="str">
        <x:v>Mixed</x:v>
      </x:c>
      <x:c r="Q253" s="56" t="str">
        <x:v>Positive / early</x:v>
      </x:c>
      <x:c r="R253" s="56"/>
      <x:c r="S253" s="56" t="str">
        <x:v>Yes / U.S. marketplace</x:v>
      </x:c>
      <x:c r="T253" s="56" t="str">
        <x:v>High</x:v>
      </x:c>
      <x:c r="U253" s="56" t="str">
        <x:v>SRC-GDL-011</x:v>
      </x:c>
      <x:c r="V253" s="56" t="str">
        <x:v>Dynamic aggregate.</x:v>
      </x:c>
    </x:row>
    <x:row r="254" ht="126" customHeight="1">
      <x:c r="A254" s="56" t="str">
        <x:v>REV-GDL-003</x:v>
      </x:c>
      <x:c r="B254" s="56" t="str">
        <x:v>KB017</x:v>
      </x:c>
      <x:c r="C254" s="56" t="str">
        <x:v>GDL-P003</x:v>
      </x:c>
      <x:c r="D254" s="56" t="str">
        <x:v>Amazon</x:v>
      </x:c>
      <x:c r="E254" s="56" t="str">
        <x:v>https://www.amazon.com/dp/B0GGM7V79C</x:v>
      </x:c>
      <x:c r="F254" s="56"/>
      <x:c r="G254" s="56" t="str">
        <x:v>2026-08-01</x:v>
      </x:c>
      <x:c r="H254" s="56" t="n">
        <x:v>1327</x:v>
      </x:c>
      <x:c r="I254" s="56" t="str">
        <x:v>Mixed / variant family</x:v>
      </x:c>
      <x:c r="J254" s="56" t="str">
        <x:v>Retailer reviews may include incentives</x:v>
      </x:c>
      <x:c r="K254" s="56" t="str">
        <x:v>Mostly Positive</x:v>
      </x:c>
      <x:c r="L254" s="56" t="str">
        <x:v>Cream hydration and brightness</x:v>
      </x:c>
      <x:c r="M254" s="56" t="str">
        <x:v>Strong aggregate, but related/legacy variants may be included.</x:v>
      </x:c>
      <x:c r="N254" s="56" t="str">
        <x:v>Hydration, glow, regimen compatibility and pleasant finish for many.</x:v>
      </x:c>
      <x:c r="O254" s="56" t="str">
        <x:v>Variant ambiguity, fragrance/sensitivity and slower visible results for some.</x:v>
      </x:c>
      <x:c r="P254" s="56" t="str">
        <x:v>Mixed</x:v>
      </x:c>
      <x:c r="Q254" s="56" t="str">
        <x:v>Positive with attribution caution</x:v>
      </x:c>
      <x:c r="R254" s="56"/>
      <x:c r="S254" s="56" t="str">
        <x:v>Yes / U.S. marketplace</x:v>
      </x:c>
      <x:c r="T254" s="56" t="str">
        <x:v>Medium-High</x:v>
      </x:c>
      <x:c r="U254" s="56" t="str">
        <x:v>SRC-GDL-012</x:v>
      </x:c>
      <x:c r="V254" s="56" t="str">
        <x:v>Do not treat all 1,327 reviews as exact Advanced formula.</x:v>
      </x:c>
    </x:row>
    <x:row r="255" ht="126" customHeight="1">
      <x:c r="A255" s="56" t="str">
        <x:v>REV-GDL-004</x:v>
      </x:c>
      <x:c r="B255" s="56" t="str">
        <x:v>KB017</x:v>
      </x:c>
      <x:c r="C255" s="56" t="str">
        <x:v>GDL-P004</x:v>
      </x:c>
      <x:c r="D255" s="56" t="str">
        <x:v>Amazon</x:v>
      </x:c>
      <x:c r="E255" s="56" t="str">
        <x:v>https://www.amazon.com/dp/B0F6N25L2P</x:v>
      </x:c>
      <x:c r="F255" s="56"/>
      <x:c r="G255" s="56" t="str">
        <x:v>2026-08-01</x:v>
      </x:c>
      <x:c r="H255" s="56" t="n">
        <x:v>238</x:v>
      </x:c>
      <x:c r="I255" s="56" t="str">
        <x:v>Mixed / not individually audited</x:v>
      </x:c>
      <x:c r="J255" s="56" t="str">
        <x:v>Retailer reviews may include incentives</x:v>
      </x:c>
      <x:c r="K255" s="56" t="str">
        <x:v>Mostly Positive</x:v>
      </x:c>
      <x:c r="L255" s="56" t="str">
        <x:v>Daily sunscreen wear and finish</x:v>
      </x:c>
      <x:c r="M255" s="56" t="str">
        <x:v>4.5/238 with 600+ bought supports current demand.</x:v>
      </x:c>
      <x:c r="N255" s="56" t="str">
        <x:v>Light daily wear, glow and no-white-cast appeal for many users.</x:v>
      </x:c>
      <x:c r="O255" s="56" t="str">
        <x:v>Eye/skin sensitivity, finish preferences and market-version confusion.</x:v>
      </x:c>
      <x:c r="P255" s="56" t="str">
        <x:v>Mixed</x:v>
      </x:c>
      <x:c r="Q255" s="56" t="str">
        <x:v>Positive</x:v>
      </x:c>
      <x:c r="R255" s="56"/>
      <x:c r="S255" s="56" t="str">
        <x:v>Yes / U.S. marketplace</x:v>
      </x:c>
      <x:c r="T255" s="56" t="str">
        <x:v>High</x:v>
      </x:c>
      <x:c r="U255" s="56" t="str">
        <x:v>SRC-GDL-013,SRC-GDL-030</x:v>
      </x:c>
      <x:c r="V255" s="56" t="str">
        <x:v>Exact U.S. Drug Facts version only.</x:v>
      </x:c>
    </x:row>
    <x:row r="256" ht="126" customHeight="1">
      <x:c r="A256" s="56" t="str">
        <x:v>REV-GDL-005</x:v>
      </x:c>
      <x:c r="B256" s="56" t="str">
        <x:v>KB017</x:v>
      </x:c>
      <x:c r="C256" s="56" t="str">
        <x:v>GDL-P005</x:v>
      </x:c>
      <x:c r="D256" s="56" t="str">
        <x:v>Amazon</x:v>
      </x:c>
      <x:c r="E256" s="56" t="str">
        <x:v>https://www.amazon.com/dp/B0GGMRBF96</x:v>
      </x:c>
      <x:c r="F256" s="56"/>
      <x:c r="G256" s="56" t="str">
        <x:v>2026-08-01</x:v>
      </x:c>
      <x:c r="H256" s="56" t="n">
        <x:v>2202</x:v>
      </x:c>
      <x:c r="I256" s="56" t="str">
        <x:v>Mixed / variant family</x:v>
      </x:c>
      <x:c r="J256" s="56" t="str">
        <x:v>Retailer reviews may include incentives</x:v>
      </x:c>
      <x:c r="K256" s="56" t="str">
        <x:v>Mostly Positive</x:v>
      </x:c>
      <x:c r="L256" s="56" t="str">
        <x:v>Convenience and glow</x:v>
      </x:c>
      <x:c r="M256" s="56" t="str">
        <x:v>Large review family is positive, but Advanced/legacy inheritance is possible.</x:v>
      </x:c>
      <x:c r="N256" s="56" t="str">
        <x:v>Convenient routine step, hydrated glow and easy use.</x:v>
      </x:c>
      <x:c r="O256" s="56" t="str">
        <x:v>Pad waste, tingling/sensitivity, tackiness and formula-version ambiguity.</x:v>
      </x:c>
      <x:c r="P256" s="56" t="str">
        <x:v>Mixed</x:v>
      </x:c>
      <x:c r="Q256" s="56" t="str">
        <x:v>Positive with attribution caution</x:v>
      </x:c>
      <x:c r="R256" s="56"/>
      <x:c r="S256" s="56" t="str">
        <x:v>Yes / U.S. marketplace</x:v>
      </x:c>
      <x:c r="T256" s="56" t="str">
        <x:v>Medium-High</x:v>
      </x:c>
      <x:c r="U256" s="56" t="str">
        <x:v>SRC-GDL-014</x:v>
      </x:c>
      <x:c r="V256" s="56" t="str">
        <x:v>Do not treat all 2,202 reviews as exact Advanced formula.</x:v>
      </x:c>
    </x:row>
    <x:row r="257" ht="126" customHeight="1">
      <x:c r="A257" s="56" t="str">
        <x:v>REV-GDL-006</x:v>
      </x:c>
      <x:c r="B257" s="56" t="str">
        <x:v>KB017</x:v>
      </x:c>
      <x:c r="C257" s="56" t="str">
        <x:v>GDL-P001</x:v>
      </x:c>
      <x:c r="D257" s="56" t="str">
        <x:v>iHerb</x:v>
      </x:c>
      <x:c r="E257" s="56" t="str">
        <x:v>https://www.iherb.com/pr/goodal-green-tangerine-vita-c-dark-spot-care-serum-1-35-fl-oz-40-ml/116198</x:v>
      </x:c>
      <x:c r="F257" s="56"/>
      <x:c r="G257" s="56" t="str">
        <x:v>2026-08-01</x:v>
      </x:c>
      <x:c r="H257" s="56" t="n">
        <x:v>1885</x:v>
      </x:c>
      <x:c r="I257" s="56" t="str">
        <x:v>Mixed / not individually audited</x:v>
      </x:c>
      <x:c r="J257" s="56" t="str">
        <x:v>Retailer reviews may include incentives</x:v>
      </x:c>
      <x:c r="K257" s="56" t="str">
        <x:v>Mostly Positive</x:v>
      </x:c>
      <x:c r="L257" s="56" t="str">
        <x:v>Legacy serum review proof</x:v>
      </x:c>
      <x:c r="M257" s="56" t="str">
        <x:v>4.6/1,885, 100+ sold in 30 days and category ranks support long-tail acceptance.</x:v>
      </x:c>
      <x:c r="N257" s="56" t="str">
        <x:v>Gentle daily brightening, hydration, glow and non-oxidizing convenience.</x:v>
      </x:c>
      <x:c r="O257" s="56" t="str">
        <x:v>Slow or no spot change for some; fragrance/stickiness/sensitivity complaints.</x:v>
      </x:c>
      <x:c r="P257" s="56" t="str">
        <x:v>Mixed</x:v>
      </x:c>
      <x:c r="Q257" s="56" t="str">
        <x:v>Positive legacy proof</x:v>
      </x:c>
      <x:c r="R257" s="56"/>
      <x:c r="S257" s="56" t="str">
        <x:v>U.S. retailer / global reviews</x:v>
      </x:c>
      <x:c r="T257" s="56" t="str">
        <x:v>High</x:v>
      </x:c>
      <x:c r="U257" s="56" t="str">
        <x:v>SRC-GDL-019</x:v>
      </x:c>
      <x:c r="V257" s="56" t="str">
        <x:v>Legacy 40 mL formula; not Alpha validation.</x:v>
      </x:c>
    </x:row>
    <x:row r="258" ht="126" customHeight="1">
      <x:c r="A258" s="56" t="str">
        <x:v>REV-GDL-007</x:v>
      </x:c>
      <x:c r="B258" s="56" t="str">
        <x:v>KB017</x:v>
      </x:c>
      <x:c r="C258" s="56" t="str">
        <x:v>GDL-P001</x:v>
      </x:c>
      <x:c r="D258" s="56" t="str">
        <x:v>Target</x:v>
      </x:c>
      <x:c r="E258" s="56" t="str">
        <x:v>https://www.target.com/p/-/A-88339984</x:v>
      </x:c>
      <x:c r="F258" s="56"/>
      <x:c r="G258" s="56" t="str">
        <x:v>2026-08-01</x:v>
      </x:c>
      <x:c r="H258" s="56" t="n">
        <x:v>24</x:v>
      </x:c>
      <x:c r="I258" s="56" t="str">
        <x:v>Mixed / not individually audited</x:v>
      </x:c>
      <x:c r="J258" s="56" t="str">
        <x:v>Retailer reviews may include incentives</x:v>
      </x:c>
      <x:c r="K258" s="56" t="str">
        <x:v>Mixed Positive</x:v>
      </x:c>
      <x:c r="L258" s="56" t="str">
        <x:v>Legacy serum at mass retail</x:v>
      </x:c>
      <x:c r="M258" s="56" t="str">
        <x:v>Older page showed 4.05/24 and $24.99 sale with out-of-stock status.</x:v>
      </x:c>
      <x:c r="N258" s="56" t="str">
        <x:v>Accessible mass-retail discovery and visible glow for some.</x:v>
      </x:c>
      <x:c r="O258" s="56" t="str">
        <x:v>Small sample, inventory uncertainty and uneven efficacy feedback.</x:v>
      </x:c>
      <x:c r="P258" s="56" t="str">
        <x:v>Mixed</x:v>
      </x:c>
      <x:c r="Q258" s="56" t="str">
        <x:v>Moderate</x:v>
      </x:c>
      <x:c r="R258" s="56"/>
      <x:c r="S258" s="56" t="str">
        <x:v>Yes / U.S. retailer</x:v>
      </x:c>
      <x:c r="T258" s="56" t="str">
        <x:v>Medium-High</x:v>
      </x:c>
      <x:c r="U258" s="56" t="str">
        <x:v>SRC-GDL-017</x:v>
      </x:c>
      <x:c r="V258" s="56" t="str">
        <x:v>Legacy product/version and status are dynamic.</x:v>
      </x:c>
    </x:row>
    <x:row r="259" ht="126" customHeight="1">
      <x:c r="A259" s="56" t="str">
        <x:v>REV-GDL-008</x:v>
      </x:c>
      <x:c r="B259" s="56" t="str">
        <x:v>KB017</x:v>
      </x:c>
      <x:c r="C259" s="56" t="str">
        <x:v>GDL-P005</x:v>
      </x:c>
      <x:c r="D259" s="56" t="str">
        <x:v>Target</x:v>
      </x:c>
      <x:c r="E259" s="56" t="str">
        <x:v>https://www.target.com/p/-/A-91267391</x:v>
      </x:c>
      <x:c r="F259" s="56"/>
      <x:c r="G259" s="56" t="str">
        <x:v>2026-08-01</x:v>
      </x:c>
      <x:c r="H259" s="56" t="n">
        <x:v>3</x:v>
      </x:c>
      <x:c r="I259" s="56" t="str">
        <x:v>Mixed / not individually audited</x:v>
      </x:c>
      <x:c r="J259" s="56" t="str">
        <x:v>Retailer reviews may include incentives</x:v>
      </x:c>
      <x:c r="K259" s="56" t="str">
        <x:v>Positive / Very Small Sample</x:v>
      </x:c>
      <x:c r="L259" s="56" t="str">
        <x:v>Pads at mass retail</x:v>
      </x:c>
      <x:c r="M259" s="56" t="str">
        <x:v>Page showed 5.0/3 and $22.</x:v>
      </x:c>
      <x:c r="N259" s="56" t="str">
        <x:v>Convenient format and positive early reviews.</x:v>
      </x:c>
      <x:c r="O259" s="56" t="str">
        <x:v>Sample too small for inference.</x:v>
      </x:c>
      <x:c r="P259" s="56" t="str">
        <x:v>Mixed</x:v>
      </x:c>
      <x:c r="Q259" s="56" t="str">
        <x:v>Positive / low confidence</x:v>
      </x:c>
      <x:c r="R259" s="56"/>
      <x:c r="S259" s="56" t="str">
        <x:v>Yes / U.S. retailer</x:v>
      </x:c>
      <x:c r="T259" s="56" t="str">
        <x:v>Medium</x:v>
      </x:c>
      <x:c r="U259" s="56" t="str">
        <x:v>SRC-GDL-018</x:v>
      </x:c>
      <x:c r="V259" s="56" t="str">
        <x:v>Dynamic and very small sample.</x:v>
      </x:c>
    </x:row>
    <x:row r="260" ht="126" customHeight="1">
      <x:c r="A260" s="56" t="str">
        <x:v>REV-GDL-009</x:v>
      </x:c>
      <x:c r="B260" s="56" t="str">
        <x:v>KB017</x:v>
      </x:c>
      <x:c r="C260" s="56" t="str">
        <x:v>GDL-P001</x:v>
      </x:c>
      <x:c r="D260" s="56" t="str">
        <x:v>Reddit r/AsianBeauty</x:v>
      </x:c>
      <x:c r="E260" s="56" t="str">
        <x:v>https://www.reddit.com/r/AsianBeauty/comments/11a1fp4/what_are_your_thoughts_on_the_goodal_green/</x:v>
      </x:c>
      <x:c r="F260" s="56"/>
      <x:c r="G260" s="56" t="str">
        <x:v>2026-08-01</x:v>
      </x:c>
      <x:c r="H260" s="56" t="str">
        <x:v>Thread/comments</x:v>
      </x:c>
      <x:c r="I260" s="56" t="str">
        <x:v>No</x:v>
      </x:c>
      <x:c r="J260" s="56" t="str">
        <x:v>Low sponsorship evidence observed</x:v>
      </x:c>
      <x:c r="K260" s="56" t="str">
        <x:v>Mixed</x:v>
      </x:c>
      <x:c r="L260" s="56" t="str">
        <x:v>Goodal serum efficacy and tolerance</x:v>
      </x:c>
      <x:c r="M260" s="56" t="str">
        <x:v>Users split between gentle brightening/glow and no improvement or irritation.</x:v>
      </x:c>
      <x:c r="N260" s="56" t="str">
        <x:v>Gentle, brightening for some and glass-skin glow.</x:v>
      </x:c>
      <x:c r="O260" s="56" t="str">
        <x:v>No visible change, sting, redness or irritation for others.</x:v>
      </x:c>
      <x:c r="P260" s="56" t="str">
        <x:v>Mixed</x:v>
      </x:c>
      <x:c r="Q260" s="56" t="str">
        <x:v>Mixed</x:v>
      </x:c>
      <x:c r="R260" s="56"/>
      <x:c r="S260" s="56" t="str">
        <x:v>Not necessarily U.S.-specific</x:v>
      </x:c>
      <x:c r="T260" s="56" t="str">
        <x:v>Low-Medium</x:v>
      </x:c>
      <x:c r="U260" s="56" t="str">
        <x:v>SRC-GDL-035</x:v>
      </x:c>
      <x:c r="V260" s="56" t="str">
        <x:v>Anecdotal; no causality or prevalence inference.</x:v>
      </x:c>
    </x:row>
    <x:row r="261" ht="126" customHeight="1">
      <x:c r="A261" s="56" t="str">
        <x:v>REV-GDL-010</x:v>
      </x:c>
      <x:c r="B261" s="56" t="str">
        <x:v>KB017</x:v>
      </x:c>
      <x:c r="C261" s="56" t="str">
        <x:v>GDL-P001</x:v>
      </x:c>
      <x:c r="D261" s="56" t="str">
        <x:v>Reddit r/AsianBeauty</x:v>
      </x:c>
      <x:c r="E261" s="56" t="str">
        <x:v>https://www.reddit.com/r/AsianBeauty/comments/w4fgg1</x:v>
      </x:c>
      <x:c r="F261" s="56"/>
      <x:c r="G261" s="56" t="str">
        <x:v>2026-08-01</x:v>
      </x:c>
      <x:c r="H261" s="56" t="str">
        <x:v>Thread/comments</x:v>
      </x:c>
      <x:c r="I261" s="56" t="str">
        <x:v>No</x:v>
      </x:c>
      <x:c r="J261" s="56" t="str">
        <x:v>Low sponsorship evidence observed</x:v>
      </x:c>
      <x:c r="K261" s="56" t="str">
        <x:v>Mixed</x:v>
      </x:c>
      <x:c r="L261" s="56" t="str">
        <x:v>Texture, layering and dark-spot expectations</x:v>
      </x:c>
      <x:c r="M261" s="56" t="str">
        <x:v>Users praise lightweight hydration and layering; others prefer stronger L-ascorbic-acid products.</x:v>
      </x:c>
      <x:c r="N261" s="56" t="str">
        <x:v>Moisturizing, glow, layers well, gradual fading for some.</x:v>
      </x:c>
      <x:c r="O261" s="56" t="str">
        <x:v>Sticky, scented, bumps/burning or no effect; lower-strength perception.</x:v>
      </x:c>
      <x:c r="P261" s="56" t="str">
        <x:v>Mixed</x:v>
      </x:c>
      <x:c r="Q261" s="56" t="str">
        <x:v>Mixed</x:v>
      </x:c>
      <x:c r="R261" s="56"/>
      <x:c r="S261" s="56" t="str">
        <x:v>Not necessarily U.S.-specific</x:v>
      </x:c>
      <x:c r="T261" s="56" t="str">
        <x:v>Low-Medium</x:v>
      </x:c>
      <x:c r="U261" s="56" t="str">
        <x:v>SRC-GDL-036</x:v>
      </x:c>
      <x:c r="V261" s="56" t="str">
        <x:v>Anecdotal.</x:v>
      </x:c>
    </x:row>
    <x:row r="262" ht="126" customHeight="1">
      <x:c r="A262" s="56" t="str">
        <x:v>REV-GDL-011</x:v>
      </x:c>
      <x:c r="B262" s="56" t="str">
        <x:v>KB017</x:v>
      </x:c>
      <x:c r="C262" s="56" t="str">
        <x:v>GDL-P001</x:v>
      </x:c>
      <x:c r="D262" s="56" t="str">
        <x:v>Reddit r/AsianBeauty</x:v>
      </x:c>
      <x:c r="E262" s="56" t="str">
        <x:v>https://www.reddit.com/r/AsianBeauty/comments/lb0123</x:v>
      </x:c>
      <x:c r="F262" s="56"/>
      <x:c r="G262" s="56" t="str">
        <x:v>2026-08-01</x:v>
      </x:c>
      <x:c r="H262" s="56" t="str">
        <x:v>Thread/comments</x:v>
      </x:c>
      <x:c r="I262" s="56" t="str">
        <x:v>No</x:v>
      </x:c>
      <x:c r="J262" s="56" t="str">
        <x:v>Low sponsorship evidence observed</x:v>
      </x:c>
      <x:c r="K262" s="56" t="str">
        <x:v>Mixed</x:v>
      </x:c>
      <x:c r="L262" s="56" t="str">
        <x:v>Hydration versus spot correction</x:v>
      </x:c>
      <x:c r="M262" s="56" t="str">
        <x:v>Users describe a hydrating gentle serum, with mixed spot-care results.</x:v>
      </x:c>
      <x:c r="N262" s="56" t="str">
        <x:v>Hydrating and comfortable for some.</x:v>
      </x:c>
      <x:c r="O262" s="56" t="str">
        <x:v>Sticky or no visible spot change for some.</x:v>
      </x:c>
      <x:c r="P262" s="56" t="str">
        <x:v>Mixed</x:v>
      </x:c>
      <x:c r="Q262" s="56" t="str">
        <x:v>Mixed</x:v>
      </x:c>
      <x:c r="R262" s="56"/>
      <x:c r="S262" s="56" t="str">
        <x:v>Not necessarily U.S.-specific</x:v>
      </x:c>
      <x:c r="T262" s="56" t="str">
        <x:v>Low</x:v>
      </x:c>
      <x:c r="U262" s="56" t="str">
        <x:v>SRC-GDL-037</x:v>
      </x:c>
      <x:c r="V262" s="56" t="str">
        <x:v>Anecdotal.</x:v>
      </x:c>
    </x:row>
    <x:row r="263" ht="126" customHeight="1">
      <x:c r="A263" s="56" t="str">
        <x:v>REV-GDL-012</x:v>
      </x:c>
      <x:c r="B263" s="56" t="str">
        <x:v>KB017</x:v>
      </x:c>
      <x:c r="C263" s="56" t="str">
        <x:v>GDL-P001</x:v>
      </x:c>
      <x:c r="D263" s="56" t="str">
        <x:v>Reddit r/AsianBeauty</x:v>
      </x:c>
      <x:c r="E263" s="56" t="str">
        <x:v>https://www.reddit.com/r/AsianBeauty/comments/ic68xp</x:v>
      </x:c>
      <x:c r="F263" s="56"/>
      <x:c r="G263" s="56" t="str">
        <x:v>2026-08-01</x:v>
      </x:c>
      <x:c r="H263" s="56" t="str">
        <x:v>Thread/comments</x:v>
      </x:c>
      <x:c r="I263" s="56" t="str">
        <x:v>No</x:v>
      </x:c>
      <x:c r="J263" s="56" t="str">
        <x:v>Low sponsorship evidence observed</x:v>
      </x:c>
      <x:c r="K263" s="56" t="str">
        <x:v>Mixed / Expectation Setting</x:v>
      </x:c>
      <x:c r="L263" s="56" t="str">
        <x:v>Gentle derivative-style vitamin C</x:v>
      </x:c>
      <x:c r="M263" s="56" t="str">
        <x:v>Discussion frames the serum as gentler/lower-intensity than strong L-ascorbic acid.</x:v>
      </x:c>
      <x:c r="N263" s="56" t="str">
        <x:v>Beginner-friendly, gentler daily use.</x:v>
      </x:c>
      <x:c r="O263" s="56" t="str">
        <x:v>May be too slow for consumers expecting strong corrective results.</x:v>
      </x:c>
      <x:c r="P263" s="56" t="str">
        <x:v>Sensitive / beginner</x:v>
      </x:c>
      <x:c r="Q263" s="56" t="str">
        <x:v>Mixed</x:v>
      </x:c>
      <x:c r="R263" s="56"/>
      <x:c r="S263" s="56" t="str">
        <x:v>Not necessarily U.S.-specific</x:v>
      </x:c>
      <x:c r="T263" s="56" t="str">
        <x:v>Low</x:v>
      </x:c>
      <x:c r="U263" s="56" t="str">
        <x:v>SRC-GDL-038</x:v>
      </x:c>
      <x:c r="V263" s="56" t="str">
        <x:v>Anecdotal.</x:v>
      </x:c>
    </x:row>
    <x:row r="264" ht="126" customHeight="1">
      <x:c r="A264" s="56" t="str">
        <x:v>REV-GDL-013</x:v>
      </x:c>
      <x:c r="B264" s="56" t="str">
        <x:v>KB017</x:v>
      </x:c>
      <x:c r="C264" s="56"/>
      <x:c r="D264" s="56" t="str">
        <x:v>Reddit r/AsianBeauty</x:v>
      </x:c>
      <x:c r="E264" s="56" t="str">
        <x:v>https://www.reddit.com/r/AsianBeauty/comments/lopiq6</x:v>
      </x:c>
      <x:c r="F264" s="56"/>
      <x:c r="G264" s="56" t="str">
        <x:v>2026-08-01</x:v>
      </x:c>
      <x:c r="H264" s="56" t="str">
        <x:v>Thread/comments</x:v>
      </x:c>
      <x:c r="I264" s="56" t="str">
        <x:v>No</x:v>
      </x:c>
      <x:c r="J264" s="56" t="str">
        <x:v>Low sponsorship evidence observed</x:v>
      </x:c>
      <x:c r="K264" s="56" t="str">
        <x:v>Mixed</x:v>
      </x:c>
      <x:c r="L264" s="56" t="str">
        <x:v>Green Tangerine sheet-mask sensory feedback</x:v>
      </x:c>
      <x:c r="M264" s="56" t="str">
        <x:v>User described a thick/sticky essence with no immediate brightness.</x:v>
      </x:c>
      <x:c r="N264" s="56"/>
      <x:c r="O264" s="56" t="str">
        <x:v>Thick, sticky and no immediate result for one user.</x:v>
      </x:c>
      <x:c r="P264" s="56" t="str">
        <x:v>Mixed</x:v>
      </x:c>
      <x:c r="Q264" s="56" t="str">
        <x:v>Negative single-user</x:v>
      </x:c>
      <x:c r="R264" s="56"/>
      <x:c r="S264" s="56" t="str">
        <x:v>Not necessarily U.S.-specific</x:v>
      </x:c>
      <x:c r="T264" s="56" t="str">
        <x:v>Low</x:v>
      </x:c>
      <x:c r="U264" s="56" t="str">
        <x:v>SRC-GDL-039</x:v>
      </x:c>
      <x:c r="V264" s="56" t="str">
        <x:v>Anecdotal single-use evidence.</x:v>
      </x:c>
    </x:row>
    <x:row r="265" ht="126" customHeight="1">
      <x:c r="A265" s="56" t="str">
        <x:v>REV-GDL-014</x:v>
      </x:c>
      <x:c r="B265" s="56" t="str">
        <x:v>KB017</x:v>
      </x:c>
      <x:c r="C265" s="56" t="str">
        <x:v>GDL-P004</x:v>
      </x:c>
      <x:c r="D265" s="56" t="str">
        <x:v>Reddit r/koreanskincare</x:v>
      </x:c>
      <x:c r="E265" s="56" t="str">
        <x:v>https://www.reddit.com/r/koreanskincare/comments/1t31vvw/which_goodal_heartleaf_sunscreen_should_i_get/</x:v>
      </x:c>
      <x:c r="F265" s="56"/>
      <x:c r="G265" s="56" t="str">
        <x:v>2026-08-01</x:v>
      </x:c>
      <x:c r="H265" s="56" t="str">
        <x:v>Thread/comments</x:v>
      </x:c>
      <x:c r="I265" s="56" t="str">
        <x:v>No</x:v>
      </x:c>
      <x:c r="J265" s="56" t="str">
        <x:v>Low sponsorship evidence observed</x:v>
      </x:c>
      <x:c r="K265" s="56" t="str">
        <x:v>Mixed / Risk</x:v>
      </x:c>
      <x:c r="L265" s="56" t="str">
        <x:v>Sunscreen version confusion</x:v>
      </x:c>
      <x:c r="M265" s="56" t="str">
        <x:v>Consumers compare similarly named Goodal sunscreens and ask which market/version to buy.</x:v>
      </x:c>
      <x:c r="N265" s="56" t="str">
        <x:v>Interest in Goodal sun care.</x:v>
      </x:c>
      <x:c r="O265" s="56" t="str">
        <x:v>Formula, packaging and regional-version ambiguity complicate trust.</x:v>
      </x:c>
      <x:c r="P265" s="56" t="str">
        <x:v>Mixed</x:v>
      </x:c>
      <x:c r="Q265" s="56" t="str">
        <x:v>Risk signal</x:v>
      </x:c>
      <x:c r="R265" s="56"/>
      <x:c r="S265" s="56" t="str">
        <x:v>Potential U.S. buyers</x:v>
      </x:c>
      <x:c r="T265" s="56" t="str">
        <x:v>Low-Medium</x:v>
      </x:c>
      <x:c r="U265" s="56" t="str">
        <x:v>SRC-GDL-040</x:v>
      </x:c>
      <x:c r="V265" s="56" t="str">
        <x:v>Confirm exact NDC/Drug Facts/formula.</x:v>
      </x:c>
    </x:row>
    <x:row r="266" ht="126" customHeight="1">
      <x:c r="A266" s="56" t="str">
        <x:v>REV-GDL-015</x:v>
      </x:c>
      <x:c r="B266" s="56" t="str">
        <x:v>KB017</x:v>
      </x:c>
      <x:c r="C266" s="56"/>
      <x:c r="D266" s="56" t="str">
        <x:v>Reddit r/CanSkincare</x:v>
      </x:c>
      <x:c r="E266" s="56" t="str">
        <x:v>https://www.reddit.com/r/CanSkincare/comments/159m5tv</x:v>
      </x:c>
      <x:c r="F266" s="56"/>
      <x:c r="G266" s="56" t="str">
        <x:v>2026-08-01</x:v>
      </x:c>
      <x:c r="H266" s="56" t="str">
        <x:v>Marketplace-authenticity discussion</x:v>
      </x:c>
      <x:c r="I266" s="56" t="str">
        <x:v>No</x:v>
      </x:c>
      <x:c r="J266" s="56" t="str">
        <x:v>Low sponsorship evidence observed</x:v>
      </x:c>
      <x:c r="K266" s="56" t="str">
        <x:v>Mixed / Risk</x:v>
      </x:c>
      <x:c r="L266" s="56" t="str">
        <x:v>Amazon packaging/authenticity concern</x:v>
      </x:c>
      <x:c r="M266" s="56" t="str">
        <x:v>Consumers discuss packaging differences and seller legitimacy.</x:v>
      </x:c>
      <x:c r="N266" s="56"/>
      <x:c r="O266" s="56" t="str">
        <x:v>Authenticity anxiety and version confusion.</x:v>
      </x:c>
      <x:c r="P266" s="56" t="str">
        <x:v>Not applicable</x:v>
      </x:c>
      <x:c r="Q266" s="56" t="str">
        <x:v>Risk signal</x:v>
      </x:c>
      <x:c r="R266" s="56" t="str">
        <x:v>Amazon sellers</x:v>
      </x:c>
      <x:c r="S266" s="56" t="str">
        <x:v>North American marketplace</x:v>
      </x:c>
      <x:c r="T266" s="56" t="str">
        <x:v>Low</x:v>
      </x:c>
      <x:c r="U266" s="56" t="str">
        <x:v>SRC-GDL-041</x:v>
      </x:c>
      <x:c r="V266" s="56" t="str">
        <x:v>No counterfeit determination; diligence signal only.</x:v>
      </x:c>
    </x:row>
    <x:row r="267" ht="126" customHeight="1">
      <x:c r="A267" s="56" t="str">
        <x:v>REV-GDL-016</x:v>
      </x:c>
      <x:c r="B267" s="56" t="str">
        <x:v>KB017</x:v>
      </x:c>
      <x:c r="C267" s="56" t="str">
        <x:v>GDL-P001</x:v>
      </x:c>
      <x:c r="D267" s="56" t="str">
        <x:v>TikTok Shop third-party listing</x:v>
      </x:c>
      <x:c r="E267" s="56" t="str">
        <x:v>https://shop.tiktok.com/us/k/goodal-skincare</x:v>
      </x:c>
      <x:c r="F267" s="56"/>
      <x:c r="G267" s="56" t="str">
        <x:v>2026-08-01</x:v>
      </x:c>
      <x:c r="H267" s="56" t="n">
        <x:v>348</x:v>
      </x:c>
      <x:c r="I267" s="56" t="str">
        <x:v>Mixed / third-party listing</x:v>
      </x:c>
      <x:c r="J267" s="56" t="str">
        <x:v>Platform reviews may include incentives</x:v>
      </x:c>
      <x:c r="K267" s="56" t="str">
        <x:v>Mostly Positive / Risk</x:v>
      </x:c>
      <x:c r="L267" s="56" t="str">
        <x:v>Third-party sales proof and sensory comments</x:v>
      </x:c>
      <x:c r="M267" s="56" t="str">
        <x:v>Listing showed 5K sold and 4.8/348 but was sold by Lee &amp; Gen Global, not Goodal official.</x:v>
      </x:c>
      <x:c r="N267" s="56" t="str">
        <x:v>Repeat purchase, brightening and overall satisfaction comments.</x:v>
      </x:c>
      <x:c r="O267" s="56" t="str">
        <x:v>Fragrance, thick texture, packaging/light-stability concern and seller provenance.</x:v>
      </x:c>
      <x:c r="P267" s="56" t="str">
        <x:v>Mixed</x:v>
      </x:c>
      <x:c r="Q267" s="56" t="str">
        <x:v>Demand signal / channel risk</x:v>
      </x:c>
      <x:c r="R267" s="56" t="str">
        <x:v>Other vitamin-C serums</x:v>
      </x:c>
      <x:c r="S267" s="56" t="str">
        <x:v>U.S. social commerce</x:v>
      </x:c>
      <x:c r="T267" s="56" t="str">
        <x:v>Medium</x:v>
      </x:c>
      <x:c r="U267" s="56" t="str">
        <x:v>SRC-GDL-021</x:v>
      </x:c>
      <x:c r="V267" s="56" t="str">
        <x:v>Do not attribute third-party metrics to official shop.</x:v>
      </x:c>
    </x:row>
    <x:row r="268" ht="150" customHeight="1">
      <x:c r="A268" s="56" t="str">
        <x:v>REV-IMF-001</x:v>
      </x:c>
      <x:c r="B268" s="56" t="str">
        <x:v>KB018</x:v>
      </x:c>
      <x:c r="C268" s="56" t="str">
        <x:v>IMF-P001</x:v>
      </x:c>
      <x:c r="D268" s="56" t="str">
        <x:v>Ulta</x:v>
      </x:c>
      <x:c r="E268" s="56" t="str">
        <x:v>https://www.ulta.com/p/rice-toner-pimprod2051769?sku=2642147</x:v>
      </x:c>
      <x:c r="F268" s="56"/>
      <x:c r="G268" s="56" t="str">
        <x:v>2026-08-01</x:v>
      </x:c>
      <x:c r="H268" s="56" t="n">
        <x:v>522</x:v>
      </x:c>
      <x:c r="I268" s="56" t="str">
        <x:v>Mixed / not individually audited</x:v>
      </x:c>
      <x:c r="J268" s="56" t="str">
        <x:v>Retailer reviews may include incentives; individual disclosures vary</x:v>
      </x:c>
      <x:c r="K268" s="56" t="str">
        <x:v>Mostly Positive</x:v>
      </x:c>
      <x:c r="L268" s="56" t="str">
        <x:v>Hydration, glow, light milky texture versus irritation/insufficient hydration</x:v>
      </x:c>
      <x:c r="M268" s="56" t="str">
        <x:v>Strong aggregate satisfaction and many favorable hydration/texture themes.</x:v>
      </x:c>
      <x:c r="N268" s="56" t="str">
        <x:v>Gentle feel, quick absorption, glow, light milk texture and routine versatility.</x:v>
      </x:c>
      <x:c r="O268" s="56" t="str">
        <x:v>Some consumers described itch/irritation or insufficient hydration; alternatives may be cheaper.</x:v>
      </x:c>
      <x:c r="P268" s="56" t="str">
        <x:v>Mixed</x:v>
      </x:c>
      <x:c r="Q268" s="56" t="str">
        <x:v>Strong positive signal</x:v>
      </x:c>
      <x:c r="R268" s="56" t="str">
        <x:v>ANUA and other milky toners</x:v>
      </x:c>
      <x:c r="S268" s="56" t="str">
        <x:v>Yes / U.S. retailer</x:v>
      </x:c>
      <x:c r="T268" s="56" t="str">
        <x:v>High</x:v>
      </x:c>
      <x:c r="U268" s="56" t="str">
        <x:v>SRC-IMF-027</x:v>
      </x:c>
      <x:c r="V268" s="56" t="str">
        <x:v>Aggregate summary; no verbatim quote stored.</x:v>
      </x:c>
    </x:row>
    <x:row r="269" ht="150" customHeight="1">
      <x:c r="A269" s="56" t="str">
        <x:v>REV-IMF-002</x:v>
      </x:c>
      <x:c r="B269" s="56" t="str">
        <x:v>KB018</x:v>
      </x:c>
      <x:c r="C269" s="56" t="str">
        <x:v>IMF-P004</x:v>
      </x:c>
      <x:c r="D269" s="56" t="str">
        <x:v>Ulta</x:v>
      </x:c>
      <x:c r="E269" s="56" t="str">
        <x:v>https://www.ulta.com/p/rice-cream-pimprod2051770?sku=2642148</x:v>
      </x:c>
      <x:c r="F269" s="56"/>
      <x:c r="G269" s="56" t="str">
        <x:v>2026-08-01</x:v>
      </x:c>
      <x:c r="H269" s="56" t="n">
        <x:v>130</x:v>
      </x:c>
      <x:c r="I269" s="56" t="str">
        <x:v>Mixed / not individually audited</x:v>
      </x:c>
      <x:c r="J269" s="56" t="str">
        <x:v>Retailer reviews may include incentives</x:v>
      </x:c>
      <x:c r="K269" s="56" t="str">
        <x:v>Mostly Positive</x:v>
      </x:c>
      <x:c r="L269" s="56" t="str">
        <x:v>Barrier comfort and nourishment versus heaviness/allergy</x:v>
      </x:c>
      <x:c r="M269" s="56" t="str">
        <x:v>High overall rating with dry/dehydrated-skin enthusiasm.</x:v>
      </x:c>
      <x:c r="N269" s="56" t="str">
        <x:v>Velvety nourishment, moisture retention, softness and night-use comfort.</x:v>
      </x:c>
      <x:c r="O269" s="56" t="str">
        <x:v>Can be too occlusive for oily skin; isolated redness, itch or bumps were reported.</x:v>
      </x:c>
      <x:c r="P269" s="56" t="str">
        <x:v>Dry / dehydrated skew</x:v>
      </x:c>
      <x:c r="Q269" s="56" t="str">
        <x:v>Strong positive signal</x:v>
      </x:c>
      <x:c r="R269" s="56"/>
      <x:c r="S269" s="56" t="str">
        <x:v>Yes / U.S. retailer</x:v>
      </x:c>
      <x:c r="T269" s="56" t="str">
        <x:v>High</x:v>
      </x:c>
      <x:c r="U269" s="56" t="str">
        <x:v>SRC-IMF-028</x:v>
      </x:c>
      <x:c r="V269" s="56" t="str">
        <x:v>Outcomes are individual; aggregate not clinical proof.</x:v>
      </x:c>
    </x:row>
    <x:row r="270" ht="150" customHeight="1">
      <x:c r="A270" s="56" t="str">
        <x:v>REV-IMF-003</x:v>
      </x:c>
      <x:c r="B270" s="56" t="str">
        <x:v>KB018</x:v>
      </x:c>
      <x:c r="C270" s="56"/>
      <x:c r="D270" s="56" t="str">
        <x:v>Ulta</x:v>
      </x:c>
      <x:c r="E270" s="56" t="str">
        <x:v>https://www.ulta.com/shop/skin-care/moisturizers?brand=I%27m+From</x:v>
      </x:c>
      <x:c r="F270" s="56"/>
      <x:c r="G270" s="56" t="str">
        <x:v>2026-08-01</x:v>
      </x:c>
      <x:c r="H270" s="56" t="n">
        <x:v>33</x:v>
      </x:c>
      <x:c r="I270" s="56" t="str">
        <x:v>Mixed / not individually audited</x:v>
      </x:c>
      <x:c r="J270" s="56" t="str">
        <x:v>Retailer reviews may include incentives</x:v>
      </x:c>
      <x:c r="K270" s="56" t="str">
        <x:v>Positive</x:v>
      </x:c>
      <x:c r="L270" s="56" t="str">
        <x:v>Mugwort Cream soothing and comfort</x:v>
      </x:c>
      <x:c r="M270" s="56" t="str">
        <x:v>Ulta displayed Mugwort Cream at 4.9/33.</x:v>
      </x:c>
      <x:c r="N270" s="56" t="str">
        <x:v>Calming/comfort positioning and high aggregate rating.</x:v>
      </x:c>
      <x:c r="O270" s="56" t="str">
        <x:v>Small sample; product-specific negatives were not deeply coded in this pass.</x:v>
      </x:c>
      <x:c r="P270" s="56" t="str">
        <x:v>Mixed</x:v>
      </x:c>
      <x:c r="Q270" s="56"/>
      <x:c r="R270" s="56"/>
      <x:c r="S270" s="56" t="str">
        <x:v>Yes / U.S. retailer</x:v>
      </x:c>
      <x:c r="T270" s="56" t="str">
        <x:v>Medium-High</x:v>
      </x:c>
      <x:c r="U270" s="56" t="str">
        <x:v>SRC-IMF-026</x:v>
      </x:c>
      <x:c r="V270" s="56" t="str">
        <x:v>Small sample and dynamic page.</x:v>
      </x:c>
    </x:row>
    <x:row r="271" ht="150" customHeight="1">
      <x:c r="A271" s="56" t="str">
        <x:v>REV-IMF-004</x:v>
      </x:c>
      <x:c r="B271" s="56" t="str">
        <x:v>KB018</x:v>
      </x:c>
      <x:c r="C271" s="56" t="str">
        <x:v>IMF-P001</x:v>
      </x:c>
      <x:c r="D271" s="56" t="str">
        <x:v>iHerb</x:v>
      </x:c>
      <x:c r="E271" s="56" t="str">
        <x:v>https://www.iherb.com/pr/i-m-from-rice-toner-5-07-fl-oz-150-ml/90196</x:v>
      </x:c>
      <x:c r="F271" s="56"/>
      <x:c r="G271" s="56" t="str">
        <x:v>2026-08-01</x:v>
      </x:c>
      <x:c r="H271" s="56" t="n">
        <x:v>6986</x:v>
      </x:c>
      <x:c r="I271" s="56" t="str">
        <x:v>Retailer-verified model; individual audit not performed</x:v>
      </x:c>
      <x:c r="J271" s="56" t="str">
        <x:v>Incentive/disclosure mix may vary</x:v>
      </x:c>
      <x:c r="K271" s="56" t="str">
        <x:v>Mostly Positive</x:v>
      </x:c>
      <x:c r="L271" s="56" t="str">
        <x:v>Large-scale hydration/value proof</x:v>
      </x:c>
      <x:c r="M271" s="56" t="str">
        <x:v>iHerb showed 4.7/6,986 and 2,000+ sold in 30 days.</x:v>
      </x:c>
      <x:c r="N271" s="56" t="str">
        <x:v>Hydration, glow, gentle layering and repeat-use value.</x:v>
      </x:c>
      <x:c r="O271" s="56" t="str">
        <x:v>Individual negative reviews can include breakouts, tackiness or limited brightening; not prevalence-coded here.</x:v>
      </x:c>
      <x:c r="P271" s="56" t="str">
        <x:v>Mixed</x:v>
      </x:c>
      <x:c r="Q271" s="56" t="str">
        <x:v>Strong aggregate demand</x:v>
      </x:c>
      <x:c r="R271" s="56"/>
      <x:c r="S271" s="56" t="str">
        <x:v>Global/U.S. mix</x:v>
      </x:c>
      <x:c r="T271" s="56" t="str">
        <x:v>High</x:v>
      </x:c>
      <x:c r="U271" s="56" t="str">
        <x:v>SRC-IMF-030</x:v>
      </x:c>
      <x:c r="V271" s="56" t="str">
        <x:v>Large sample, but geography and formula-version mix are not fully isolated.</x:v>
      </x:c>
    </x:row>
    <x:row r="272" ht="150" customHeight="1">
      <x:c r="A272" s="56" t="str">
        <x:v>REV-IMF-005</x:v>
      </x:c>
      <x:c r="B272" s="56" t="str">
        <x:v>KB018</x:v>
      </x:c>
      <x:c r="C272" s="56" t="str">
        <x:v>IMF-P001</x:v>
      </x:c>
      <x:c r="D272" s="56" t="str">
        <x:v>Amazon U.S.</x:v>
      </x:c>
      <x:c r="E272" s="56" t="str">
        <x:v>https://www.amazon.com/dp/B0GL23FXCZ</x:v>
      </x:c>
      <x:c r="F272" s="56"/>
      <x:c r="G272" s="56" t="str">
        <x:v>2026-08-01</x:v>
      </x:c>
      <x:c r="H272" s="56" t="n">
        <x:v>135</x:v>
      </x:c>
      <x:c r="I272" s="56" t="str">
        <x:v>Mixed / purchase verification varies</x:v>
      </x:c>
      <x:c r="J272" s="56" t="str">
        <x:v>Amazon Vine/incentive disclosures may exist</x:v>
      </x:c>
      <x:c r="K272" s="56" t="str">
        <x:v>Mostly Positive</x:v>
      </x:c>
      <x:c r="L272" s="56" t="str">
        <x:v>New-listing adoption</x:v>
      </x:c>
      <x:c r="M272" s="56" t="str">
        <x:v>New Rice Toner listing showed 4.7/135 with 5K+ bought/month.</x:v>
      </x:c>
      <x:c r="N272" s="56" t="str">
        <x:v>High early rating and rapid purchase-badge adoption.</x:v>
      </x:c>
      <x:c r="O272" s="56" t="str">
        <x:v>New listing has limited review depth relative to iHerb/Ulta; price and ASIN transition complicate continuity.</x:v>
      </x:c>
      <x:c r="P272" s="56" t="str">
        <x:v>Mixed</x:v>
      </x:c>
      <x:c r="Q272" s="56" t="str">
        <x:v>High purchase signal</x:v>
      </x:c>
      <x:c r="R272" s="56"/>
      <x:c r="S272" s="56" t="str">
        <x:v>Likely U.S.-heavy marketplace</x:v>
      </x:c>
      <x:c r="T272" s="56" t="str">
        <x:v>High</x:v>
      </x:c>
      <x:c r="U272" s="56" t="str">
        <x:v>SRC-IMF-010</x:v>
      </x:c>
      <x:c r="V272" s="56" t="str">
        <x:v>Do not merge old-ASIN reviews without variant audit.</x:v>
      </x:c>
    </x:row>
    <x:row r="273" ht="150" customHeight="1">
      <x:c r="A273" s="56" t="str">
        <x:v>REV-IMF-006</x:v>
      </x:c>
      <x:c r="B273" s="56" t="str">
        <x:v>KB018</x:v>
      </x:c>
      <x:c r="C273" s="56" t="str">
        <x:v>IMF-P002</x:v>
      </x:c>
      <x:c r="D273" s="56" t="str">
        <x:v>Amazon U.S.</x:v>
      </x:c>
      <x:c r="E273" s="56" t="str">
        <x:v>https://www.amazon.com/dp/B0DY7HR89T</x:v>
      </x:c>
      <x:c r="F273" s="56"/>
      <x:c r="G273" s="56" t="str">
        <x:v>2026-08-01</x:v>
      </x:c>
      <x:c r="H273" s="56" t="n">
        <x:v>191</x:v>
      </x:c>
      <x:c r="I273" s="56" t="str">
        <x:v>Mixed / purchase verification varies</x:v>
      </x:c>
      <x:c r="J273" s="56" t="str">
        <x:v>Amazon incentives/disclosures may exist</x:v>
      </x:c>
      <x:c r="K273" s="56" t="str">
        <x:v>Mostly Positive</x:v>
      </x:c>
      <x:c r="L273" s="56" t="str">
        <x:v>Black-rice toner adoption</x:v>
      </x:c>
      <x:c r="M273" s="56" t="str">
        <x:v>Listing showed 4.5/191 and 300+ bought/month.</x:v>
      </x:c>
      <x:c r="N273" s="56" t="str">
        <x:v>Good rating and differentiated rice-line extension.</x:v>
      </x:c>
      <x:c r="O273" s="56" t="str">
        <x:v>Lower velocity than Rice Toner; seller-role ambiguity and individual sensitivity/value feedback require deeper coding.</x:v>
      </x:c>
      <x:c r="P273" s="56" t="str">
        <x:v>Mixed</x:v>
      </x:c>
      <x:c r="Q273" s="56"/>
      <x:c r="R273" s="56"/>
      <x:c r="S273" s="56" t="str">
        <x:v>Likely U.S.-heavy marketplace</x:v>
      </x:c>
      <x:c r="T273" s="56" t="str">
        <x:v>High</x:v>
      </x:c>
      <x:c r="U273" s="56" t="str">
        <x:v>SRC-IMF-011</x:v>
      </x:c>
      <x:c r="V273" s="56" t="str">
        <x:v>Dynamic aggregate.</x:v>
      </x:c>
    </x:row>
    <x:row r="274" ht="150" customHeight="1">
      <x:c r="A274" s="56" t="str">
        <x:v>REV-IMF-007</x:v>
      </x:c>
      <x:c r="B274" s="56" t="str">
        <x:v>KB018</x:v>
      </x:c>
      <x:c r="C274" s="56" t="str">
        <x:v>IMF-P001</x:v>
      </x:c>
      <x:c r="D274" s="56" t="str">
        <x:v>TikTok Shop U.S.</x:v>
      </x:c>
      <x:c r="E274" s="56" t="str">
        <x:v>https://shop.tiktok.com/us/k/im-from-rice-toner-pores</x:v>
      </x:c>
      <x:c r="F274" s="56"/>
      <x:c r="G274" s="56" t="str">
        <x:v>2026-08-01</x:v>
      </x:c>
      <x:c r="H274" s="56" t="str">
        <x:v>55.3K sold display</x:v>
      </x:c>
      <x:c r="I274" s="56" t="str">
        <x:v>Not applicable</x:v>
      </x:c>
      <x:c r="J274" s="56" t="str">
        <x:v>High creator/affiliate and sponsored-content risk</x:v>
      </x:c>
      <x:c r="K274" s="56" t="str">
        <x:v>Positive Demand Signal</x:v>
      </x:c>
      <x:c r="L274" s="56" t="str">
        <x:v>Viral rice-toner / glass-skin demand</x:v>
      </x:c>
      <x:c r="M274" s="56" t="str">
        <x:v>Official listing showed large cumulative sold volume and 4.6 rating.</x:v>
      </x:c>
      <x:c r="N274" s="56" t="str">
        <x:v>Strong social proof, routine demos and visually intuitive milky texture.</x:v>
      </x:c>
      <x:c r="O274" s="56" t="str">
        <x:v>Cumulative count lacks period; creator compensation and bundle overlap limit interpretation.</x:v>
      </x:c>
      <x:c r="P274" s="56" t="str">
        <x:v>Mixed</x:v>
      </x:c>
      <x:c r="Q274" s="56"/>
      <x:c r="R274" s="56" t="str">
        <x:v>ANUA/TIRTIR milky toner set</x:v>
      </x:c>
      <x:c r="S274" s="56" t="str">
        <x:v>Yes / U.S. platform</x:v>
      </x:c>
      <x:c r="T274" s="56" t="str">
        <x:v>Medium-High</x:v>
      </x:c>
      <x:c r="U274" s="56" t="str">
        <x:v>SRC-IMF-020</x:v>
      </x:c>
      <x:c r="V274" s="56" t="str">
        <x:v>Demand proxy, not review-prevalence study.</x:v>
      </x:c>
    </x:row>
    <x:row r="275" ht="150" customHeight="1">
      <x:c r="A275" s="56" t="str">
        <x:v>REV-IMF-008</x:v>
      </x:c>
      <x:c r="B275" s="56" t="str">
        <x:v>KB018</x:v>
      </x:c>
      <x:c r="C275" s="56" t="str">
        <x:v>IMF-P003</x:v>
      </x:c>
      <x:c r="D275" s="56" t="str">
        <x:v>TikTok Shop U.S.</x:v>
      </x:c>
      <x:c r="E275" s="56" t="str">
        <x:v>https://shop.tiktok.com/us/pdp/mugwort-essence-by-im-from-korean-vegan-toner-for-sensitive-skin/1729438201938546925</x:v>
      </x:c>
      <x:c r="F275" s="56"/>
      <x:c r="G275" s="56" t="str">
        <x:v>2026-08-01</x:v>
      </x:c>
      <x:c r="H275" s="56" t="str">
        <x:v>19.5K sold display</x:v>
      </x:c>
      <x:c r="I275" s="56" t="str">
        <x:v>Not applicable</x:v>
      </x:c>
      <x:c r="J275" s="56" t="str">
        <x:v>High creator/affiliate and sponsored-content risk</x:v>
      </x:c>
      <x:c r="K275" s="56" t="str">
        <x:v>Positive Demand Signal</x:v>
      </x:c>
      <x:c r="L275" s="56" t="str">
        <x:v>Legacy mugwort soothing hero</x:v>
      </x:c>
      <x:c r="M275" s="56" t="str">
        <x:v>Official search display showed strong cumulative sold and 4.8.</x:v>
      </x:c>
      <x:c r="N275" s="56" t="str">
        <x:v>Simple ingredient story and calming-routine content.</x:v>
      </x:c>
      <x:c r="O275" s="56" t="str">
        <x:v>Exact listing/set price and period are unclear; claims and reformulation context require care.</x:v>
      </x:c>
      <x:c r="P275" s="56" t="str">
        <x:v>Sensitive / mixed</x:v>
      </x:c>
      <x:c r="Q275" s="56"/>
      <x:c r="R275" s="56"/>
      <x:c r="S275" s="56" t="str">
        <x:v>Yes / U.S. platform</x:v>
      </x:c>
      <x:c r="T275" s="56" t="str">
        <x:v>Medium-High</x:v>
      </x:c>
      <x:c r="U275" s="56" t="str">
        <x:v>SRC-IMF-021</x:v>
      </x:c>
      <x:c r="V275" s="56" t="str">
        <x:v>Platform signal only.</x:v>
      </x:c>
    </x:row>
    <x:row r="276" ht="150" customHeight="1">
      <x:c r="A276" s="56" t="str">
        <x:v>REV-IMF-009</x:v>
      </x:c>
      <x:c r="B276" s="56" t="str">
        <x:v>KB018</x:v>
      </x:c>
      <x:c r="C276" s="56"/>
      <x:c r="D276" s="56" t="str">
        <x:v>TikTok Shop U.S.</x:v>
      </x:c>
      <x:c r="E276" s="56" t="str">
        <x:v>https://shop.tiktok.com/us/k/im-from</x:v>
      </x:c>
      <x:c r="F276" s="56"/>
      <x:c r="G276" s="56" t="str">
        <x:v>2026-08-01</x:v>
      </x:c>
      <x:c r="H276" s="56" t="str">
        <x:v>22.4K sold display</x:v>
      </x:c>
      <x:c r="I276" s="56" t="str">
        <x:v>Not applicable</x:v>
      </x:c>
      <x:c r="J276" s="56" t="str">
        <x:v>High creator/affiliate and sponsored-content risk</x:v>
      </x:c>
      <x:c r="K276" s="56" t="str">
        <x:v>Positive Demand Signal</x:v>
      </x:c>
      <x:c r="L276" s="56" t="str">
        <x:v>Mugwort mask-format demand</x:v>
      </x:c>
      <x:c r="M276" s="56" t="str">
        <x:v>Mugwort sheet-mask five-pack showed 4.8 and 22.4K cumulative sold.</x:v>
      </x:c>
      <x:c r="N276" s="56" t="str">
        <x:v>Convenient soothing format and strong social proof.</x:v>
      </x:c>
      <x:c r="O276" s="56" t="str">
        <x:v>Not comparable with essence/wash-off-mask sales; cumulative and dynamic.</x:v>
      </x:c>
      <x:c r="P276" s="56" t="str">
        <x:v>Sensitive / mixed</x:v>
      </x:c>
      <x:c r="Q276" s="56"/>
      <x:c r="R276" s="56"/>
      <x:c r="S276" s="56" t="str">
        <x:v>Yes / U.S. platform</x:v>
      </x:c>
      <x:c r="T276" s="56" t="str">
        <x:v>Medium</x:v>
      </x:c>
      <x:c r="U276" s="56" t="str">
        <x:v>SRC-IMF-022</x:v>
      </x:c>
      <x:c r="V276" s="56" t="str">
        <x:v>Do not sum with bundles.</x:v>
      </x:c>
    </x:row>
    <x:row r="277" ht="150" customHeight="1">
      <x:c r="A277" s="56" t="str">
        <x:v>REV-IMF-010</x:v>
      </x:c>
      <x:c r="B277" s="56" t="str">
        <x:v>KB018</x:v>
      </x:c>
      <x:c r="C277" s="56" t="str">
        <x:v>IMF-P001</x:v>
      </x:c>
      <x:c r="D277" s="56" t="str">
        <x:v>Walmart Marketplace</x:v>
      </x:c>
      <x:c r="E277" s="56" t="str">
        <x:v>https://www.walmart.com/ip/945570199</x:v>
      </x:c>
      <x:c r="F277" s="56"/>
      <x:c r="G277" s="56" t="str">
        <x:v>2026-08-01</x:v>
      </x:c>
      <x:c r="H277" s="56" t="n">
        <x:v>691</x:v>
      </x:c>
      <x:c r="I277" s="56" t="str">
        <x:v>Unknown</x:v>
      </x:c>
      <x:c r="J277" s="56" t="str">
        <x:v>Marketplace review provenance and variant inheritance require audit</x:v>
      </x:c>
      <x:c r="K277" s="56" t="str">
        <x:v>Mostly Positive</x:v>
      </x:c>
      <x:c r="L277" s="56" t="str">
        <x:v>Marketplace visibility</x:v>
      </x:c>
      <x:c r="M277" s="56" t="str">
        <x:v>Listing showed 4.7/691.</x:v>
      </x:c>
      <x:c r="N277" s="56" t="str">
        <x:v>Large favorable aggregate supports broad recognition.</x:v>
      </x:c>
      <x:c r="O277" s="56" t="str">
        <x:v>Seller authorization, version and review inheritance were not verified.</x:v>
      </x:c>
      <x:c r="P277" s="56" t="str">
        <x:v>Mixed</x:v>
      </x:c>
      <x:c r="Q277" s="56"/>
      <x:c r="R277" s="56"/>
      <x:c r="S277" s="56" t="str">
        <x:v>Yes / U.S. retailer</x:v>
      </x:c>
      <x:c r="T277" s="56" t="str">
        <x:v>Medium</x:v>
      </x:c>
      <x:c r="U277" s="56" t="str">
        <x:v>SRC-IMF-031</x:v>
      </x:c>
      <x:c r="V277" s="56" t="str">
        <x:v>Channel-risk evidence as much as product evidence.</x:v>
      </x:c>
    </x:row>
    <x:row r="278" ht="150" customHeight="1">
      <x:c r="A278" s="56" t="str">
        <x:v>REV-IMF-011</x:v>
      </x:c>
      <x:c r="B278" s="56" t="str">
        <x:v>KB018</x:v>
      </x:c>
      <x:c r="C278" s="56" t="str">
        <x:v>IMF-P005</x:v>
      </x:c>
      <x:c r="D278" s="56" t="str">
        <x:v>Reddit r/AsianBeauty</x:v>
      </x:c>
      <x:c r="E278" s="56" t="str">
        <x:v>https://www.reddit.com/r/AsianBeauty/comments/1hddb5b</x:v>
      </x:c>
      <x:c r="F278" s="56"/>
      <x:c r="G278" s="56" t="str">
        <x:v>2026-08-01</x:v>
      </x:c>
      <x:c r="H278" s="56" t="str">
        <x:v>Discussion thread</x:v>
      </x:c>
      <x:c r="I278" s="56" t="str">
        <x:v>No</x:v>
      </x:c>
      <x:c r="J278" s="56" t="str">
        <x:v>Independent/self-selected forum; no sponsorship established</x:v>
      </x:c>
      <x:c r="K278" s="56" t="str">
        <x:v>Mostly Positive</x:v>
      </x:c>
      <x:c r="L278" s="56" t="str">
        <x:v>Wash-off mask comfort and sensorial use</x:v>
      </x:c>
      <x:c r="M278" s="56" t="str">
        <x:v>Multiple users discussed I'm From masks favorably within a self-selected enthusiast thread.</x:v>
      </x:c>
      <x:c r="N278" s="56" t="str">
        <x:v>Mugwort calming and Honey nourishment/softness themes recur.</x:v>
      </x:c>
      <x:c r="O278" s="56" t="str">
        <x:v>Mess, price, scent/texture and individual sensitivity remain concerns.</x:v>
      </x:c>
      <x:c r="P278" s="56" t="str">
        <x:v>Mixed</x:v>
      </x:c>
      <x:c r="Q278" s="56" t="str">
        <x:v>Some repeat use</x:v>
      </x:c>
      <x:c r="R278" s="56" t="str">
        <x:v>Beauty of Joseon and other wash-off masks</x:v>
      </x:c>
      <x:c r="S278" s="56" t="str">
        <x:v>Not necessarily U.S.</x:v>
      </x:c>
      <x:c r="T278" s="56" t="str">
        <x:v>Low-Medium</x:v>
      </x:c>
      <x:c r="U278" s="56" t="str">
        <x:v>SRC-IMF-036</x:v>
      </x:c>
      <x:c r="V278" s="56" t="str">
        <x:v>Anecdotal; no prevalence or causality inference.</x:v>
      </x:c>
    </x:row>
    <x:row r="279" ht="150" customHeight="1">
      <x:c r="A279" s="56" t="str">
        <x:v>REV-IMF-012</x:v>
      </x:c>
      <x:c r="B279" s="56" t="str">
        <x:v>KB018</x:v>
      </x:c>
      <x:c r="C279" s="56" t="str">
        <x:v>IMF-P005</x:v>
      </x:c>
      <x:c r="D279" s="56" t="str">
        <x:v>Reddit r/SkincareAddiction</x:v>
      </x:c>
      <x:c r="E279" s="56" t="str">
        <x:v>https://www.reddit.com/r/SkincareAddiction/comments/gl7p7y</x:v>
      </x:c>
      <x:c r="F279" s="56"/>
      <x:c r="G279" s="56" t="str">
        <x:v>2026-08-01</x:v>
      </x:c>
      <x:c r="H279" s="56" t="str">
        <x:v>Discussion thread</x:v>
      </x:c>
      <x:c r="I279" s="56" t="str">
        <x:v>No</x:v>
      </x:c>
      <x:c r="J279" s="56" t="str">
        <x:v>Independent/self-selected forum</x:v>
      </x:c>
      <x:c r="K279" s="56" t="str">
        <x:v>Mixed</x:v>
      </x:c>
      <x:c r="L279" s="56" t="str">
        <x:v>Honey, Mugwort and Fig mask comparison</x:v>
      </x:c>
      <x:c r="M279" s="56" t="str">
        <x:v>Users compared sensory and perceived-results differences across mask variants.</x:v>
      </x:c>
      <x:c r="N279" s="56" t="str">
        <x:v>Hydration, softness and relaxing treatment use.</x:v>
      </x:c>
      <x:c r="O279" s="56" t="str">
        <x:v>Stickiness, fragrance, mess, limited effect or breakouts for some.</x:v>
      </x:c>
      <x:c r="P279" s="56" t="str">
        <x:v>Mixed</x:v>
      </x:c>
      <x:c r="Q279" s="56"/>
      <x:c r="R279" s="56"/>
      <x:c r="S279" s="56" t="str">
        <x:v>Mixed / unknown</x:v>
      </x:c>
      <x:c r="T279" s="56" t="str">
        <x:v>Low</x:v>
      </x:c>
      <x:c r="U279" s="56" t="str">
        <x:v>SRC-IMF-037</x:v>
      </x:c>
      <x:c r="V279" s="56" t="str">
        <x:v>Older formula versions may be represented.</x:v>
      </x:c>
    </x:row>
    <x:row r="280" ht="150" customHeight="1">
      <x:c r="A280" s="56" t="str">
        <x:v>REV-IMF-013</x:v>
      </x:c>
      <x:c r="B280" s="56" t="str">
        <x:v>KB018</x:v>
      </x:c>
      <x:c r="C280" s="56"/>
      <x:c r="D280" s="56" t="str">
        <x:v>Reddit r/AsianBeauty</x:v>
      </x:c>
      <x:c r="E280" s="56" t="str">
        <x:v>https://www.reddit.com/r/AsianBeauty/comments/hvl9am</x:v>
      </x:c>
      <x:c r="F280" s="56"/>
      <x:c r="G280" s="56" t="str">
        <x:v>2026-08-01</x:v>
      </x:c>
      <x:c r="H280" s="56" t="str">
        <x:v>Discussion thread</x:v>
      </x:c>
      <x:c r="I280" s="56" t="str">
        <x:v>No</x:v>
      </x:c>
      <x:c r="J280" s="56" t="str">
        <x:v>Independent/self-selected forum</x:v>
      </x:c>
      <x:c r="K280" s="56" t="str">
        <x:v>Mixed</x:v>
      </x:c>
      <x:c r="L280" s="56" t="str">
        <x:v>Sensitive-skin experiences</x:v>
      </x:c>
      <x:c r="M280" s="56" t="str">
        <x:v>Discussion included both successful soothing use and irritation/no-effect experiences.</x:v>
      </x:c>
      <x:c r="N280" s="56" t="str">
        <x:v>Gentleness and hydration for some sensitive users.</x:v>
      </x:c>
      <x:c r="O280" s="56" t="str">
        <x:v>Redness, bumps or irritation for others; individual tolerance varies.</x:v>
      </x:c>
      <x:c r="P280" s="56" t="str">
        <x:v>Sensitive</x:v>
      </x:c>
      <x:c r="Q280" s="56"/>
      <x:c r="R280" s="56"/>
      <x:c r="S280" s="56" t="str">
        <x:v>Not necessarily U.S.</x:v>
      </x:c>
      <x:c r="T280" s="56" t="str">
        <x:v>Low</x:v>
      </x:c>
      <x:c r="U280" s="56" t="str">
        <x:v>SRC-IMF-038</x:v>
      </x:c>
      <x:c r="V280" s="56" t="str">
        <x:v>Anecdotal.</x:v>
      </x:c>
    </x:row>
    <x:row r="281" ht="150" customHeight="1">
      <x:c r="A281" s="56" t="str">
        <x:v>REV-IMF-014</x:v>
      </x:c>
      <x:c r="B281" s="56" t="str">
        <x:v>KB018</x:v>
      </x:c>
      <x:c r="C281" s="56" t="str">
        <x:v>IMF-P003</x:v>
      </x:c>
      <x:c r="D281" s="56" t="str">
        <x:v>Reddit r/AsianBeauty</x:v>
      </x:c>
      <x:c r="E281" s="56" t="str">
        <x:v>https://www.reddit.com/r/AsianBeauty/comments/jwvfei</x:v>
      </x:c>
      <x:c r="F281" s="56"/>
      <x:c r="G281" s="56" t="str">
        <x:v>2026-08-01</x:v>
      </x:c>
      <x:c r="H281" s="56" t="str">
        <x:v>Discussion thread</x:v>
      </x:c>
      <x:c r="I281" s="56" t="str">
        <x:v>No</x:v>
      </x:c>
      <x:c r="J281" s="56" t="str">
        <x:v>Independent/self-selected forum</x:v>
      </x:c>
      <x:c r="K281" s="56" t="str">
        <x:v>Mixed</x:v>
      </x:c>
      <x:c r="L281" s="56" t="str">
        <x:v>Mugwort efficacy variability</x:v>
      </x:c>
      <x:c r="M281" s="56" t="str">
        <x:v>Users split between calming benefits and no noticeable change/irritation.</x:v>
      </x:c>
      <x:c r="N281" s="56" t="str">
        <x:v>Perceived calming, hydration and simple routine fit.</x:v>
      </x:c>
      <x:c r="O281" s="56" t="str">
        <x:v>No effect, irritation and herbal sensory dislike for some.</x:v>
      </x:c>
      <x:c r="P281" s="56" t="str">
        <x:v>Sensitive / mixed</x:v>
      </x:c>
      <x:c r="Q281" s="56"/>
      <x:c r="R281" s="56"/>
      <x:c r="S281" s="56" t="str">
        <x:v>Not necessarily U.S.</x:v>
      </x:c>
      <x:c r="T281" s="56" t="str">
        <x:v>Low-Medium</x:v>
      </x:c>
      <x:c r="U281" s="56" t="str">
        <x:v>SRC-IMF-039</x:v>
      </x:c>
      <x:c r="V281" s="56" t="str">
        <x:v>Anecdotal.</x:v>
      </x:c>
    </x:row>
    <x:row r="282" ht="150" customHeight="1">
      <x:c r="A282" s="56" t="str">
        <x:v>REV-IMF-015</x:v>
      </x:c>
      <x:c r="B282" s="56" t="str">
        <x:v>KB018</x:v>
      </x:c>
      <x:c r="C282" s="56" t="str">
        <x:v>IMF-P003</x:v>
      </x:c>
      <x:c r="D282" s="56" t="str">
        <x:v>Reddit r/AsianBeauty</x:v>
      </x:c>
      <x:c r="E282" s="56" t="str">
        <x:v>https://www.reddit.com/r/AsianBeauty/comments/1lm5sl0</x:v>
      </x:c>
      <x:c r="F282" s="56"/>
      <x:c r="G282" s="56" t="str">
        <x:v>2026-08-01</x:v>
      </x:c>
      <x:c r="H282" s="56" t="str">
        <x:v>Discussion thread</x:v>
      </x:c>
      <x:c r="I282" s="56" t="str">
        <x:v>No</x:v>
      </x:c>
      <x:c r="J282" s="56" t="str">
        <x:v>Independent/self-selected forum</x:v>
      </x:c>
      <x:c r="K282" s="56" t="str">
        <x:v>Concern / Mixed</x:v>
      </x:c>
      <x:c r="L282" s="56" t="str">
        <x:v>Mugwort Essence reformulation and size transition</x:v>
      </x:c>
      <x:c r="M282" s="56" t="str">
        <x:v>Consumers discussed a new formula/packaging and 160-to-150 mL change.</x:v>
      </x:c>
      <x:c r="N282" s="56" t="str">
        <x:v>Continued interest in the hero despite transition.</x:v>
      </x:c>
      <x:c r="O282" s="56" t="str">
        <x:v>Value, continuity and review-transfer concerns.</x:v>
      </x:c>
      <x:c r="P282" s="56" t="str">
        <x:v>Mixed</x:v>
      </x:c>
      <x:c r="Q282" s="56"/>
      <x:c r="R282" s="56"/>
      <x:c r="S282" s="56" t="str">
        <x:v>Not necessarily U.S.</x:v>
      </x:c>
      <x:c r="T282" s="56" t="str">
        <x:v>Medium</x:v>
      </x:c>
      <x:c r="U282" s="56" t="str">
        <x:v>SRC-IMF-040</x:v>
      </x:c>
      <x:c r="V282" s="56" t="str">
        <x:v>Useful version-risk signal; verify exact old/new INCI and UPC.</x:v>
      </x:c>
    </x:row>
    <x:row r="283" ht="150" customHeight="1">
      <x:c r="A283" s="56" t="str">
        <x:v>REV-IMF-016</x:v>
      </x:c>
      <x:c r="B283" s="56" t="str">
        <x:v>KB018</x:v>
      </x:c>
      <x:c r="C283" s="56" t="str">
        <x:v>IMF-P005</x:v>
      </x:c>
      <x:c r="D283" s="56" t="str">
        <x:v>Reddit r/AsianBeauty</x:v>
      </x:c>
      <x:c r="E283" s="56" t="str">
        <x:v>https://www.reddit.com/r/AsianBeauty/comments/1s09irn/im_from_redesigning_their_masks_major_clearance/</x:v>
      </x:c>
      <x:c r="F283" s="56"/>
      <x:c r="G283" s="56" t="str">
        <x:v>2026-08-01</x:v>
      </x:c>
      <x:c r="H283" s="56" t="str">
        <x:v>Discussion thread</x:v>
      </x:c>
      <x:c r="I283" s="56" t="str">
        <x:v>No</x:v>
      </x:c>
      <x:c r="J283" s="56" t="str">
        <x:v>Independent/self-selected forum</x:v>
      </x:c>
      <x:c r="K283" s="56" t="str">
        <x:v>Concern / Mixed</x:v>
      </x:c>
      <x:c r="L283" s="56" t="str">
        <x:v>Mask redesign, formula and net-content change</x:v>
      </x:c>
      <x:c r="M283" s="56" t="str">
        <x:v>Consumers discussed mask clearance/redesign and roughly 120 g to 70 g changes.</x:v>
      </x:c>
      <x:c r="N283" s="56" t="str">
        <x:v>High engagement shows continued category recognition.</x:v>
      </x:c>
      <x:c r="O283" s="56" t="str">
        <x:v>Perceived shrinkflation, formula-change and value concerns could impair loyalty.</x:v>
      </x:c>
      <x:c r="P283" s="56" t="str">
        <x:v>Mixed</x:v>
      </x:c>
      <x:c r="Q283" s="56"/>
      <x:c r="R283" s="56" t="str">
        <x:v>Beauty of Joseon masks</x:v>
      </x:c>
      <x:c r="S283" s="56" t="str">
        <x:v>Not necessarily U.S.</x:v>
      </x:c>
      <x:c r="T283" s="56" t="str">
        <x:v>Medium</x:v>
      </x:c>
      <x:c r="U283" s="56" t="str">
        <x:v>SRC-IMF-041</x:v>
      </x:c>
      <x:c r="V283" s="56" t="str">
        <x:v>Thread-based risk signal; confirm current sell sheets and UPCs.</x:v>
      </x:c>
    </x:row>
    <x:row r="284" ht="154" customHeight="1">
      <x:c r="A284" s="56" t="str">
        <x:v>REV-DKL-001</x:v>
      </x:c>
      <x:c r="B284" s="56" t="str">
        <x:v>KB019</x:v>
      </x:c>
      <x:c r="C284" s="56" t="str">
        <x:v>DKL-P001</x:v>
      </x:c>
      <x:c r="D284" s="56" t="str">
        <x:v>Amazon U.S.</x:v>
      </x:c>
      <x:c r="E284" s="56" t="str">
        <x:v>https://www.amazon.com/dp/B07B65NJLV</x:v>
      </x:c>
      <x:c r="F284" s="56"/>
      <x:c r="G284" s="56" t="str">
        <x:v>2026-08-01</x:v>
      </x:c>
      <x:c r="H284" s="56" t="n">
        <x:v>5234</x:v>
      </x:c>
      <x:c r="I284" s="56" t="str">
        <x:v>Mixed / purchase verification varies</x:v>
      </x:c>
      <x:c r="J284" s="56" t="str">
        <x:v>Amazon Vine/incentive disclosures may exist</x:v>
      </x:c>
      <x:c r="K284" s="56" t="str">
        <x:v>Mostly Positive</x:v>
      </x:c>
      <x:c r="L284" s="56" t="str">
        <x:v>Hydration, gentle layering and value versus tackiness or limited effect</x:v>
      </x:c>
      <x:c r="M284" s="56" t="str">
        <x:v>4.6/5,234 and 2K+ bought/month provide strong demand and satisfaction proof.</x:v>
      </x:c>
      <x:c r="N284" s="56" t="str">
        <x:v>Layerable hydration, soft feel, sensitive-skin fit, unscented formula and repeat use.</x:v>
      </x:c>
      <x:c r="O284" s="56" t="str">
        <x:v>Tacky finish, not hydrating enough for very dry skin, occasional breakouts or irritation, and authenticity/packaging questions.</x:v>
      </x:c>
      <x:c r="P284" s="56" t="str">
        <x:v>Sensitive / dehydrated / mixed</x:v>
      </x:c>
      <x:c r="Q284" s="56" t="str">
        <x:v>Strong repeat-purchase signal</x:v>
      </x:c>
      <x:c r="R284" s="56" t="str">
        <x:v>ANUA, Haruharu and other hydrating toners</x:v>
      </x:c>
      <x:c r="S284" s="56" t="str">
        <x:v>Likely U.S.-heavy marketplace</x:v>
      </x:c>
      <x:c r="T284" s="56" t="str">
        <x:v>High</x:v>
      </x:c>
      <x:c r="U284" s="56" t="str">
        <x:v>SRC-DKL-016,SRC-DKL-037</x:v>
      </x:c>
      <x:c r="V284" s="56" t="str">
        <x:v>Aggregate evidence; no efficacy prevalence inference.</x:v>
      </x:c>
    </x:row>
    <x:row r="285" ht="154" customHeight="1">
      <x:c r="A285" s="56" t="str">
        <x:v>REV-DKL-002</x:v>
      </x:c>
      <x:c r="B285" s="56" t="str">
        <x:v>KB019</x:v>
      </x:c>
      <x:c r="C285" s="56" t="str">
        <x:v>DKL-P002</x:v>
      </x:c>
      <x:c r="D285" s="56" t="str">
        <x:v>Amazon U.S.</x:v>
      </x:c>
      <x:c r="E285" s="56" t="str">
        <x:v>https://www.amazon.com/dp/B010FOFSH0</x:v>
      </x:c>
      <x:c r="F285" s="56"/>
      <x:c r="G285" s="56" t="str">
        <x:v>2026-08-01</x:v>
      </x:c>
      <x:c r="H285" s="56" t="n">
        <x:v>10978</x:v>
      </x:c>
      <x:c r="I285" s="56" t="str">
        <x:v>Mixed / purchase verification varies</x:v>
      </x:c>
      <x:c r="J285" s="56" t="str">
        <x:v>Amazon incentives/disclosures may exist</x:v>
      </x:c>
      <x:c r="K285" s="56" t="str">
        <x:v>Mostly Positive</x:v>
      </x:c>
      <x:c r="L285" s="56" t="str">
        <x:v>Glow and tone improvement versus oily feel, warmth and oxidation</x:v>
      </x:c>
      <x:c r="M285" s="56" t="str">
        <x:v>4.4/10,978 and 1K+ bought/month show durable global demand.</x:v>
      </x:c>
      <x:c r="N285" s="56" t="str">
        <x:v>Beginner-friendly strength, glow, quick absorption for many and post-blemish-look satisfaction.</x:v>
      </x:c>
      <x:c r="O285" s="56" t="str">
        <x:v>Oily or sticky feel, warmth/stinging, slow results, deep-orange oxidation and old-stock concerns.</x:v>
      </x:c>
      <x:c r="P285" s="56" t="str">
        <x:v>Sensitive / pigmentation-concern / mixed</x:v>
      </x:c>
      <x:c r="Q285" s="56" t="str">
        <x:v>Meaningful repeat use</x:v>
      </x:c>
      <x:c r="R285" s="56" t="str">
        <x:v>Beauty of Joseon, COSRX and Goodal vitamin C</x:v>
      </x:c>
      <x:c r="S285" s="56" t="str">
        <x:v>Global ratings with U.S. reviews</x:v>
      </x:c>
      <x:c r="T285" s="56" t="str">
        <x:v>High</x:v>
      </x:c>
      <x:c r="U285" s="56" t="str">
        <x:v>SRC-DKL-017,SRC-DKL-038</x:v>
      </x:c>
      <x:c r="V285" s="56" t="str">
        <x:v>Oxidation/storage complaints are operationally important even when not prevalent.</x:v>
      </x:c>
    </x:row>
    <x:row r="286" ht="154" customHeight="1">
      <x:c r="A286" s="56" t="str">
        <x:v>REV-DKL-003</x:v>
      </x:c>
      <x:c r="B286" s="56" t="str">
        <x:v>KB019</x:v>
      </x:c>
      <x:c r="C286" s="56" t="str">
        <x:v>DKL-P003</x:v>
      </x:c>
      <x:c r="D286" s="56" t="str">
        <x:v>Amazon U.S.</x:v>
      </x:c>
      <x:c r="E286" s="56" t="str">
        <x:v>https://www.amazon.com/dp/B07GR1JDBT</x:v>
      </x:c>
      <x:c r="F286" s="56"/>
      <x:c r="G286" s="56" t="str">
        <x:v>2026-08-01</x:v>
      </x:c>
      <x:c r="H286" s="56" t="n">
        <x:v>3022</x:v>
      </x:c>
      <x:c r="I286" s="56" t="str">
        <x:v>Mixed / purchase verification varies</x:v>
      </x:c>
      <x:c r="J286" s="56" t="str">
        <x:v>Amazon incentives/disclosures may exist</x:v>
      </x:c>
      <x:c r="K286" s="56" t="str">
        <x:v>Mostly Positive</x:v>
      </x:c>
      <x:c r="L286" s="56" t="str">
        <x:v>Visible comfort, redness reduction and lightweight texture</x:v>
      </x:c>
      <x:c r="M286" s="56" t="str">
        <x:v>Amazon customer summary highlighted inflamed-skin comfort, redness/flakiness support and lightweight feel.</x:v>
      </x:c>
      <x:c r="N286" s="56" t="str">
        <x:v>Fast soothing feel, non-heavy finish, comfort after irritation and high sensitive-skin satisfaction.</x:v>
      </x:c>
      <x:c r="O286" s="56" t="str">
        <x:v>Value opinions are mixed; some find it too small, sticky or not moisturizing enough.</x:v>
      </x:c>
      <x:c r="P286" s="56" t="str">
        <x:v>Sensitive / oily-combination / redness-prone</x:v>
      </x:c>
      <x:c r="Q286" s="56" t="str">
        <x:v>Strong repurchase signal</x:v>
      </x:c>
      <x:c r="R286" s="56" t="str">
        <x:v>SKIN1004, Purito and cica moisturizers</x:v>
      </x:c>
      <x:c r="S286" s="56" t="str">
        <x:v>Global ratings with U.S. reviews</x:v>
      </x:c>
      <x:c r="T286" s="56" t="str">
        <x:v>High</x:v>
      </x:c>
      <x:c r="U286" s="56" t="str">
        <x:v>SRC-DKL-018,SRC-DKL-039</x:v>
      </x:c>
      <x:c r="V286" s="56" t="str">
        <x:v>Consumer perception is not clinical proof; therapeutic wording should not be copied into marketing.</x:v>
      </x:c>
    </x:row>
    <x:row r="287" ht="154" customHeight="1">
      <x:c r="A287" s="56" t="str">
        <x:v>REV-DKL-004</x:v>
      </x:c>
      <x:c r="B287" s="56" t="str">
        <x:v>KB019</x:v>
      </x:c>
      <x:c r="C287" s="56" t="str">
        <x:v>DKL-P004</x:v>
      </x:c>
      <x:c r="D287" s="56" t="str">
        <x:v>Amazon U.S.</x:v>
      </x:c>
      <x:c r="E287" s="56" t="str">
        <x:v>https://www.amazon.com/dp/B092VNQS57</x:v>
      </x:c>
      <x:c r="F287" s="56"/>
      <x:c r="G287" s="56" t="str">
        <x:v>2026-08-01</x:v>
      </x:c>
      <x:c r="H287" s="56" t="n">
        <x:v>1621</x:v>
      </x:c>
      <x:c r="I287" s="56" t="str">
        <x:v>Mixed / purchase verification varies</x:v>
      </x:c>
      <x:c r="J287" s="56" t="str">
        <x:v>Amazon incentives/disclosures may exist</x:v>
      </x:c>
      <x:c r="K287" s="56" t="str">
        <x:v>Mostly Positive</x:v>
      </x:c>
      <x:c r="L287" s="56" t="str">
        <x:v>Barrier moisture and daily comfort</x:v>
      </x:c>
      <x:c r="M287" s="56" t="str">
        <x:v>Related display showed 4.6/1,621 and Amazon's Choice.</x:v>
      </x:c>
      <x:c r="N287" s="56" t="str">
        <x:v>Cushioned hydration, daily moisturizer fit and good value at discounted price.</x:v>
      </x:c>
      <x:c r="O287" s="56" t="str">
        <x:v>Heaviness or breakouts for some; marketplace ingredient text may not match current fragrance-free official positioning.</x:v>
      </x:c>
      <x:c r="P287" s="56" t="str">
        <x:v>Dry / sensitive / mixed</x:v>
      </x:c>
      <x:c r="Q287" s="56"/>
      <x:c r="R287" s="56" t="str">
        <x:v>ETUDE SoonJung and other barrier creams</x:v>
      </x:c>
      <x:c r="S287" s="56" t="str">
        <x:v>Global/U.S. marketplace mix</x:v>
      </x:c>
      <x:c r="T287" s="56" t="str">
        <x:v>Medium-High</x:v>
      </x:c>
      <x:c r="U287" s="56" t="str">
        <x:v>SRC-DKL-019</x:v>
      </x:c>
      <x:c r="V287" s="56" t="str">
        <x:v>Exact current formula/version must be reconciled before coding ingredient-specific feedback.</x:v>
      </x:c>
    </x:row>
    <x:row r="288" ht="154" customHeight="1">
      <x:c r="A288" s="56" t="str">
        <x:v>REV-DKL-005</x:v>
      </x:c>
      <x:c r="B288" s="56" t="str">
        <x:v>KB019</x:v>
      </x:c>
      <x:c r="C288" s="56" t="str">
        <x:v>DKL-P001</x:v>
      </x:c>
      <x:c r="D288" s="56" t="str">
        <x:v>Official U.S. PDP</x:v>
      </x:c>
      <x:c r="E288" s="56" t="str">
        <x:v>https://www.klairs.com/products/supple-preparation-unscented-toner</x:v>
      </x:c>
      <x:c r="F288" s="56"/>
      <x:c r="G288" s="56" t="str">
        <x:v>2026-08-01</x:v>
      </x:c>
      <x:c r="H288" s="56" t="n">
        <x:v>1184</x:v>
      </x:c>
      <x:c r="I288" s="56" t="str">
        <x:v>First-party verified-review display claimed</x:v>
      </x:c>
      <x:c r="J288" s="56" t="str">
        <x:v>Brand-owned page; selection and moderation unknown</x:v>
      </x:c>
      <x:c r="K288" s="56" t="str">
        <x:v>Very Positive</x:v>
      </x:c>
      <x:c r="L288" s="56" t="str">
        <x:v>Official toner satisfaction</x:v>
      </x:c>
      <x:c r="M288" s="56" t="str">
        <x:v>Official PDP displayed 4.9 average across about 1,184 verified reviews.</x:v>
      </x:c>
      <x:c r="N288" s="56" t="str">
        <x:v>Hydration, fragrance-free texture, layering and sensitive-skin routine fit.</x:v>
      </x:c>
      <x:c r="O288" s="56" t="str">
        <x:v>First-party aggregation may overrepresent favorable experiences and does not resolve conflicting bottle-sold claims.</x:v>
      </x:c>
      <x:c r="P288" s="56" t="str">
        <x:v>Sensitive / all skin types</x:v>
      </x:c>
      <x:c r="Q288" s="56" t="str">
        <x:v>Strong</x:v>
      </x:c>
      <x:c r="R288" s="56" t="str">
        <x:v>ANUA/other toners indirectly</x:v>
      </x:c>
      <x:c r="S288" s="56" t="str">
        <x:v>U.S. DTC/global customer mix unknown</x:v>
      </x:c>
      <x:c r="T288" s="56" t="str">
        <x:v>Medium-High</x:v>
      </x:c>
      <x:c r="U288" s="56" t="str">
        <x:v>SRC-DKL-011</x:v>
      </x:c>
      <x:c r="V288" s="56" t="str">
        <x:v>Treat as first-party evidence, not independent consumer research.</x:v>
      </x:c>
    </x:row>
    <x:row r="289" ht="154" customHeight="1">
      <x:c r="A289" s="56" t="str">
        <x:v>REV-DKL-006</x:v>
      </x:c>
      <x:c r="B289" s="56" t="str">
        <x:v>KB019</x:v>
      </x:c>
      <x:c r="C289" s="56" t="str">
        <x:v>DKL-P003</x:v>
      </x:c>
      <x:c r="D289" s="56" t="str">
        <x:v>Official U.S. PDP</x:v>
      </x:c>
      <x:c r="E289" s="56" t="str">
        <x:v>https://www.klairs.com/products/midnight-blue-calming-cream</x:v>
      </x:c>
      <x:c r="F289" s="56"/>
      <x:c r="G289" s="56" t="str">
        <x:v>2026-08-01</x:v>
      </x:c>
      <x:c r="H289" s="56" t="n">
        <x:v>1323</x:v>
      </x:c>
      <x:c r="I289" s="56" t="str">
        <x:v>First-party published-review display</x:v>
      </x:c>
      <x:c r="J289" s="56" t="str">
        <x:v>Brand-owned page; selection and moderation unknown</x:v>
      </x:c>
      <x:c r="K289" s="56" t="str">
        <x:v>Very Positive</x:v>
      </x:c>
      <x:c r="L289" s="56" t="str">
        <x:v>Calming and lightweight comfort</x:v>
      </x:c>
      <x:c r="M289" s="56" t="str">
        <x:v>Official PDP displayed 1,323 published reviews and selected favorable excerpts.</x:v>
      </x:c>
      <x:c r="N289" s="56" t="str">
        <x:v>Visible comfort, fast absorption, lightweight texture and post-active routine use.</x:v>
      </x:c>
      <x:c r="O289" s="56" t="str">
        <x:v>Selected excerpts are not a neutral prevalence sample; value and inadequate-moisture negatives appear more clearly on Amazon/Reddit.</x:v>
      </x:c>
      <x:c r="P289" s="56" t="str">
        <x:v>Sensitive / redness-prone</x:v>
      </x:c>
      <x:c r="Q289" s="56" t="str">
        <x:v>Strong</x:v>
      </x:c>
      <x:c r="R289" s="56" t="str">
        <x:v>Cica creams indirectly</x:v>
      </x:c>
      <x:c r="S289" s="56" t="str">
        <x:v>U.S. DTC/global mix unknown</x:v>
      </x:c>
      <x:c r="T289" s="56" t="str">
        <x:v>Medium-High</x:v>
      </x:c>
      <x:c r="U289" s="56" t="str">
        <x:v>SRC-DKL-013</x:v>
      </x:c>
      <x:c r="V289" s="56" t="str">
        <x:v>Use only as supporting first-party evidence.</x:v>
      </x:c>
    </x:row>
    <x:row r="290" ht="154" customHeight="1">
      <x:c r="A290" s="56" t="str">
        <x:v>REV-DKL-007</x:v>
      </x:c>
      <x:c r="B290" s="56" t="str">
        <x:v>KB019</x:v>
      </x:c>
      <x:c r="C290" s="56" t="str">
        <x:v>DKL-P004</x:v>
      </x:c>
      <x:c r="D290" s="56" t="str">
        <x:v>Official U.S. PDP</x:v>
      </x:c>
      <x:c r="E290" s="56" t="str">
        <x:v>https://www.klairs.com/products/rich-moist-soothing-cream</x:v>
      </x:c>
      <x:c r="F290" s="56"/>
      <x:c r="G290" s="56" t="str">
        <x:v>2026-08-01</x:v>
      </x:c>
      <x:c r="H290" s="56" t="n">
        <x:v>817</x:v>
      </x:c>
      <x:c r="I290" s="56" t="str">
        <x:v>First-party published-review display</x:v>
      </x:c>
      <x:c r="J290" s="56" t="str">
        <x:v>Brand-owned page; selection and moderation unknown</x:v>
      </x:c>
      <x:c r="K290" s="56" t="str">
        <x:v>Very Positive</x:v>
      </x:c>
      <x:c r="L290" s="56" t="str">
        <x:v>Daily moisture and winter comfort</x:v>
      </x:c>
      <x:c r="M290" s="56" t="str">
        <x:v>Official PDP displayed 817 reviews with favorable moisture and texture themes.</x:v>
      </x:c>
      <x:c r="N290" s="56" t="str">
        <x:v>Dry-skin comfort, winter moisture, quick absorption for many and non-greasy feel.</x:v>
      </x:c>
      <x:c r="O290" s="56" t="str">
        <x:v>Current official fragrance-free language conflicts with older marketplace ingredient text containing essential oils; version-specific feedback is uncertain.</x:v>
      </x:c>
      <x:c r="P290" s="56" t="str">
        <x:v>Dry / sensitive / mixed</x:v>
      </x:c>
      <x:c r="Q290" s="56" t="str">
        <x:v>Strong</x:v>
      </x:c>
      <x:c r="R290" s="56"/>
      <x:c r="S290" s="56" t="str">
        <x:v>U.S. DTC/global mix unknown</x:v>
      </x:c>
      <x:c r="T290" s="56" t="str">
        <x:v>Medium</x:v>
      </x:c>
      <x:c r="U290" s="56" t="str">
        <x:v>SRC-DKL-014</x:v>
      </x:c>
      <x:c r="V290" s="56" t="str">
        <x:v>Do not merge formula-era reviews without UPC/INCI mapping.</x:v>
      </x:c>
    </x:row>
    <x:row r="291" ht="154" customHeight="1">
      <x:c r="A291" s="56" t="str">
        <x:v>REV-DKL-008</x:v>
      </x:c>
      <x:c r="B291" s="56" t="str">
        <x:v>KB019</x:v>
      </x:c>
      <x:c r="C291" s="56" t="str">
        <x:v>DKL-P005</x:v>
      </x:c>
      <x:c r="D291" s="56" t="str">
        <x:v>Official U.S. PDP</x:v>
      </x:c>
      <x:c r="E291" s="56" t="str">
        <x:v>https://www.klairs.com/products/egf-blue-youth-activating-drop</x:v>
      </x:c>
      <x:c r="F291" s="56"/>
      <x:c r="G291" s="56" t="str">
        <x:v>2026-08-01</x:v>
      </x:c>
      <x:c r="H291" s="56" t="n">
        <x:v>453</x:v>
      </x:c>
      <x:c r="I291" s="56" t="str">
        <x:v>First-party verified-review display claimed</x:v>
      </x:c>
      <x:c r="J291" s="56" t="str">
        <x:v>Brand-owned page; some influencer seeding likely</x:v>
      </x:c>
      <x:c r="K291" s="56" t="str">
        <x:v>Very Positive</x:v>
      </x:c>
      <x:c r="L291" s="56" t="str">
        <x:v>Watery texture, blue visual and gentle peptide care</x:v>
      </x:c>
      <x:c r="M291" s="56" t="str">
        <x:v>Official PDP displayed roughly 4.9/453 with favorable 2026 reviews.</x:v>
      </x:c>
      <x:c r="N291" s="56" t="str">
        <x:v>Lightweight first-step texture, easy layering, memorable color and perceived comfort.</x:v>
      </x:c>
      <x:c r="O291" s="56" t="str">
        <x:v>Small/pricey format for some; richer-serum users may find it insubstantial; claim intensity requires review.</x:v>
      </x:c>
      <x:c r="P291" s="56" t="str">
        <x:v>Sensitive / acne-prone / mixed</x:v>
      </x:c>
      <x:c r="Q291" s="56"/>
      <x:c r="R291" s="56" t="str">
        <x:v>Peptide and cica serums</x:v>
      </x:c>
      <x:c r="S291" s="56" t="str">
        <x:v>U.S. DTC/global mix unknown</x:v>
      </x:c>
      <x:c r="T291" s="56" t="str">
        <x:v>Medium-High</x:v>
      </x:c>
      <x:c r="U291" s="56" t="str">
        <x:v>SRC-DKL-015,SRC-DKL-040</x:v>
      </x:c>
      <x:c r="V291" s="56" t="str">
        <x:v>First-party and launch-era feedback may include seeding.</x:v>
      </x:c>
    </x:row>
    <x:row r="292" ht="154" customHeight="1">
      <x:c r="A292" s="56" t="str">
        <x:v>REV-DKL-009</x:v>
      </x:c>
      <x:c r="B292" s="56" t="str">
        <x:v>KB019</x:v>
      </x:c>
      <x:c r="C292" s="56" t="str">
        <x:v>DKL-P001</x:v>
      </x:c>
      <x:c r="D292" s="56" t="str">
        <x:v>iHerb</x:v>
      </x:c>
      <x:c r="E292" s="56" t="str">
        <x:v>https://www.iherb.com/r/dear-klairs-supple-preparation-facial-toner-6-08-fl-oz-180-ml/79920</x:v>
      </x:c>
      <x:c r="F292" s="56"/>
      <x:c r="G292" s="56" t="str">
        <x:v>2026-08-01</x:v>
      </x:c>
      <x:c r="H292" s="56" t="n">
        <x:v>3448</x:v>
      </x:c>
      <x:c r="I292" s="56" t="str">
        <x:v>Retailer verified-purchase model; individual audit not performed</x:v>
      </x:c>
      <x:c r="J292" s="56" t="str">
        <x:v>Rewarded-review disclosures may appear</x:v>
      </x:c>
      <x:c r="K292" s="56" t="str">
        <x:v>Mostly Positive</x:v>
      </x:c>
      <x:c r="L292" s="56" t="str">
        <x:v>Original toner hydration and gentle feel</x:v>
      </x:c>
      <x:c r="M292" s="56" t="str">
        <x:v>iHerb showed 4.7/3,448 with repeat-use and hydration themes.</x:v>
      </x:c>
      <x:c r="N292" s="56" t="str">
        <x:v>Soft/supple feel, gentle hydration, good absorption and routine preparation.</x:v>
      </x:c>
      <x:c r="O292" s="56" t="str">
        <x:v>Mild scent, price concerns and dark packaging/remaining-volume visibility.</x:v>
      </x:c>
      <x:c r="P292" s="56" t="str">
        <x:v>Sensitive / dry / mixed</x:v>
      </x:c>
      <x:c r="Q292" s="56" t="str">
        <x:v>Strong</x:v>
      </x:c>
      <x:c r="R292" s="56" t="str">
        <x:v>Other hydrating toners</x:v>
      </x:c>
      <x:c r="S292" s="56" t="str">
        <x:v>Global with U.S. reviews</x:v>
      </x:c>
      <x:c r="T292" s="56" t="str">
        <x:v>High</x:v>
      </x:c>
      <x:c r="U292" s="56" t="str">
        <x:v>SRC-DKL-032</x:v>
      </x:c>
      <x:c r="V292" s="56" t="str">
        <x:v>Original scented version; do not apply directly to Unscented formula.</x:v>
      </x:c>
    </x:row>
    <x:row r="293" ht="154" customHeight="1">
      <x:c r="A293" s="56" t="str">
        <x:v>REV-DKL-010</x:v>
      </x:c>
      <x:c r="B293" s="56" t="str">
        <x:v>KB019</x:v>
      </x:c>
      <x:c r="C293" s="56" t="str">
        <x:v>DKL-P001</x:v>
      </x:c>
      <x:c r="D293" s="56" t="str">
        <x:v>iHerb</x:v>
      </x:c>
      <x:c r="E293" s="56" t="str">
        <x:v>https://www.iherb.com/r/dear-klairs-supple-preparation-unscented-toner-6-08-fl-oz-180-ml/82785</x:v>
      </x:c>
      <x:c r="F293" s="56"/>
      <x:c r="G293" s="56" t="str">
        <x:v>2026-08-01</x:v>
      </x:c>
      <x:c r="H293" s="56" t="n">
        <x:v>2104</x:v>
      </x:c>
      <x:c r="I293" s="56" t="str">
        <x:v>Retailer verified-purchase model; individual audit not performed</x:v>
      </x:c>
      <x:c r="J293" s="56" t="str">
        <x:v>Rewarded-review disclosures may appear</x:v>
      </x:c>
      <x:c r="K293" s="56" t="str">
        <x:v>Mostly Positive</x:v>
      </x:c>
      <x:c r="L293" s="56" t="str">
        <x:v>Unscented gentle hydration</x:v>
      </x:c>
      <x:c r="M293" s="56" t="str">
        <x:v>iHerb showed 4.7/2,104 and strong sensitive-skin feedback.</x:v>
      </x:c>
      <x:c r="N293" s="56" t="str">
        <x:v>Neutral scent, quick absorption, soft hydration and reactive-skin comfort.</x:v>
      </x:c>
      <x:c r="O293" s="56" t="str">
        <x:v>Some users report no meaningful change, insufficient hydration or preference for lighter/milkier toners.</x:v>
      </x:c>
      <x:c r="P293" s="56" t="str">
        <x:v>Sensitive / dehydrated / acne-prone</x:v>
      </x:c>
      <x:c r="Q293" s="56" t="str">
        <x:v>Strong</x:v>
      </x:c>
      <x:c r="R293" s="56" t="str">
        <x:v>Other fragrance-free toners</x:v>
      </x:c>
      <x:c r="S293" s="56" t="str">
        <x:v>Global with some U.S. reviews</x:v>
      </x:c>
      <x:c r="T293" s="56" t="str">
        <x:v>High</x:v>
      </x:c>
      <x:c r="U293" s="56" t="str">
        <x:v>SRC-DKL-033</x:v>
      </x:c>
      <x:c r="V293" s="56" t="str">
        <x:v>Large global aggregate; geography not isolated.</x:v>
      </x:c>
    </x:row>
    <x:row r="294" ht="154" customHeight="1">
      <x:c r="A294" s="56" t="str">
        <x:v>REV-DKL-011</x:v>
      </x:c>
      <x:c r="B294" s="56" t="str">
        <x:v>KB019</x:v>
      </x:c>
      <x:c r="C294" s="56"/>
      <x:c r="D294" s="56" t="str">
        <x:v>TikTok Shop U.S.</x:v>
      </x:c>
      <x:c r="E294" s="56" t="str">
        <x:v>https://shop.tiktok.com/us/store/dear-klairs/7495351520906283775</x:v>
      </x:c>
      <x:c r="F294" s="56"/>
      <x:c r="G294" s="56" t="str">
        <x:v>2026-08-01</x:v>
      </x:c>
      <x:c r="H294" s="56" t="str">
        <x:v>83.3K sold display</x:v>
      </x:c>
      <x:c r="I294" s="56" t="str">
        <x:v>Not applicable</x:v>
      </x:c>
      <x:c r="J294" s="56" t="str">
        <x:v>High creator/affiliate and sponsored-content risk</x:v>
      </x:c>
      <x:c r="K294" s="56" t="str">
        <x:v>Positive Demand Signal</x:v>
      </x:c>
      <x:c r="L294" s="56" t="str">
        <x:v>Creator-friendly blue, glass-skin and routine bundles</x:v>
      </x:c>
      <x:c r="M294" s="56" t="str">
        <x:v>Official shop showed about 83.3K cumulative sold, 37.1K followers and 4.6 store rating.</x:v>
      </x:c>
      <x:c r="N294" s="56" t="str">
        <x:v>Strong demonstrations, distinctive textures/colors and bundle-level social proof.</x:v>
      </x:c>
      <x:c r="O294" s="56" t="str">
        <x:v>Cumulative counts lack period; creator compensation, deep promotions and bundle overlap limit interpretation.</x:v>
      </x:c>
      <x:c r="P294" s="56" t="str">
        <x:v>Mixed</x:v>
      </x:c>
      <x:c r="Q294" s="56"/>
      <x:c r="R294" s="56" t="str">
        <x:v>Broad K-Beauty set</x:v>
      </x:c>
      <x:c r="S294" s="56" t="str">
        <x:v>Yes / U.S. platform</x:v>
      </x:c>
      <x:c r="T294" s="56" t="str">
        <x:v>Medium-High</x:v>
      </x:c>
      <x:c r="U294" s="56" t="str">
        <x:v>SRC-DKL-022,SRC-DKL-023,SRC-DKL-024,SRC-DKL-025</x:v>
      </x:c>
      <x:c r="V294" s="56" t="str">
        <x:v>Demand proxy, not neutral sentiment study.</x:v>
      </x:c>
    </x:row>
    <x:row r="295" ht="154" customHeight="1">
      <x:c r="A295" s="56" t="str">
        <x:v>REV-DKL-012</x:v>
      </x:c>
      <x:c r="B295" s="56" t="str">
        <x:v>KB019</x:v>
      </x:c>
      <x:c r="C295" s="56" t="str">
        <x:v>DKL-P001</x:v>
      </x:c>
      <x:c r="D295" s="56" t="str">
        <x:v>Reddit r/SkincareAddiction</x:v>
      </x:c>
      <x:c r="E295" s="56" t="str">
        <x:v>https://www.reddit.com/r/SkincareAddiction/comments/uc8lzj</x:v>
      </x:c>
      <x:c r="F295" s="56"/>
      <x:c r="G295" s="56" t="str">
        <x:v>2026-08-01</x:v>
      </x:c>
      <x:c r="H295" s="56" t="str">
        <x:v>Discussion/review thread</x:v>
      </x:c>
      <x:c r="I295" s="56" t="str">
        <x:v>No</x:v>
      </x:c>
      <x:c r="J295" s="56" t="str">
        <x:v>Independent/self-selected forum</x:v>
      </x:c>
      <x:c r="K295" s="56" t="str">
        <x:v>Positive</x:v>
      </x:c>
      <x:c r="L295" s="56" t="str">
        <x:v>Long-term Unscented Toner hydration</x:v>
      </x:c>
      <x:c r="M295" s="56" t="str">
        <x:v>Reviewer described three years of use, subtle soothing hydration and good fit under moisturizer.</x:v>
      </x:c>
      <x:c r="N295" s="56" t="str">
        <x:v>Watery-silky texture, quick absorption, dryness support and no scent-triggered eye irritation.</x:v>
      </x:c>
      <x:c r="O295" s="56" t="str">
        <x:v>Single enthusiastic experience; not sufficient for prevalence or causality.</x:v>
      </x:c>
      <x:c r="P295" s="56" t="str">
        <x:v>Acne-prone / dehydrated</x:v>
      </x:c>
      <x:c r="Q295" s="56" t="str">
        <x:v>Strong personal repurchase intent</x:v>
      </x:c>
      <x:c r="R295" s="56" t="str">
        <x:v>Vichy/Sebamed routine products</x:v>
      </x:c>
      <x:c r="S295" s="56" t="str">
        <x:v>Not necessarily U.S.</x:v>
      </x:c>
      <x:c r="T295" s="56" t="str">
        <x:v>Low-Medium</x:v>
      </x:c>
      <x:c r="U295" s="56" t="str">
        <x:v>SRC-DKL-037</x:v>
      </x:c>
      <x:c r="V295" s="56" t="str">
        <x:v>Anecdotal consumer evidence.</x:v>
      </x:c>
    </x:row>
    <x:row r="296" ht="154" customHeight="1">
      <x:c r="A296" s="56" t="str">
        <x:v>REV-DKL-013</x:v>
      </x:c>
      <x:c r="B296" s="56" t="str">
        <x:v>KB019</x:v>
      </x:c>
      <x:c r="C296" s="56" t="str">
        <x:v>DKL-P001</x:v>
      </x:c>
      <x:c r="D296" s="56" t="str">
        <x:v>Reddit r/indianbeautyhauls</x:v>
      </x:c>
      <x:c r="E296" s="56" t="str">
        <x:v>https://www.reddit.com/r/indianbeautyhauls/comments/1aw8oz9/klairs_supple_preparation_toner_short_review/</x:v>
      </x:c>
      <x:c r="F296" s="56"/>
      <x:c r="G296" s="56" t="str">
        <x:v>2026-08-01</x:v>
      </x:c>
      <x:c r="H296" s="56" t="str">
        <x:v>Discussion/review thread</x:v>
      </x:c>
      <x:c r="I296" s="56" t="str">
        <x:v>No</x:v>
      </x:c>
      <x:c r="J296" s="56" t="str">
        <x:v>Independent/self-selected forum</x:v>
      </x:c>
      <x:c r="K296" s="56" t="str">
        <x:v>Mixed / Negative</x:v>
      </x:c>
      <x:c r="L296" s="56" t="str">
        <x:v>Sticky texture and insufficient deep hydration</x:v>
      </x:c>
      <x:c r="M296" s="56" t="str">
        <x:v>Reviewer found the toner hydrating but sticky and inadequate versus preferred milky toners.</x:v>
      </x:c>
      <x:c r="N296" s="56" t="str">
        <x:v>Some moisturization and acceptable unscented/medicinal smell.</x:v>
      </x:c>
      <x:c r="O296" s="56" t="str">
        <x:v>Sticky finish, not hydrating enough for very dry skin and no full-size repurchase intent.</x:v>
      </x:c>
      <x:c r="P296" s="56" t="str">
        <x:v>Very dry / skin-condition context</x:v>
      </x:c>
      <x:c r="Q296" s="56" t="str">
        <x:v>No repurchase</x:v>
      </x:c>
      <x:c r="R296" s="56" t="str">
        <x:v>Milky toners preferred</x:v>
      </x:c>
      <x:c r="S296" s="56" t="str">
        <x:v>Not U.S.</x:v>
      </x:c>
      <x:c r="T296" s="56" t="str">
        <x:v>Low-Medium</x:v>
      </x:c>
      <x:c r="U296" s="56" t="str">
        <x:v>SRC-DKL-038</x:v>
      </x:c>
      <x:c r="V296" s="56" t="str">
        <x:v>Useful counter-signal; single-person outcome.</x:v>
      </x:c>
    </x:row>
    <x:row r="297" ht="154" customHeight="1">
      <x:c r="A297" s="56" t="str">
        <x:v>REV-DKL-014</x:v>
      </x:c>
      <x:c r="B297" s="56" t="str">
        <x:v>KB019</x:v>
      </x:c>
      <x:c r="C297" s="56"/>
      <x:c r="D297" s="56" t="str">
        <x:v>Reddit r/KoreanBeauty</x:v>
      </x:c>
      <x:c r="E297" s="56" t="str">
        <x:v>https://www.reddit.com/r/KoreanBeauty/comments/n685qd/dear_klairs_what_do_people_think_about_it/</x:v>
      </x:c>
      <x:c r="F297" s="56"/>
      <x:c r="G297" s="56" t="str">
        <x:v>2026-08-01</x:v>
      </x:c>
      <x:c r="H297" s="56" t="str">
        <x:v>Discussion thread</x:v>
      </x:c>
      <x:c r="I297" s="56" t="str">
        <x:v>No</x:v>
      </x:c>
      <x:c r="J297" s="56" t="str">
        <x:v>Independent/self-selected forum</x:v>
      </x:c>
      <x:c r="K297" s="56" t="str">
        <x:v>Mixed / Mostly Positive</x:v>
      </x:c>
      <x:c r="L297" s="56" t="str">
        <x:v>Brand-level toner, vitamin C and blue-cream experiences</x:v>
      </x:c>
      <x:c r="M297" s="56" t="str">
        <x:v>Users discussed multiple products with genuine positive and negative fit variation.</x:v>
      </x:c>
      <x:c r="N297" s="56" t="str">
        <x:v>Blue Cream perceived redness support; Vitamin Drop glow; toner and Fundamental-line satisfaction.</x:v>
      </x:c>
      <x:c r="O297" s="56" t="str">
        <x:v>Oily vitamin-C texture, formula-specific sensitivity and no universal hero preference.</x:v>
      </x:c>
      <x:c r="P297" s="56" t="str">
        <x:v>Mixed</x:v>
      </x:c>
      <x:c r="Q297" s="56" t="str">
        <x:v>Some repeat use</x:v>
      </x:c>
      <x:c r="R297" s="56" t="str">
        <x:v>Other sensitive-skin K-Beauty</x:v>
      </x:c>
      <x:c r="S297" s="56" t="str">
        <x:v>Not necessarily U.S.</x:v>
      </x:c>
      <x:c r="T297" s="56" t="str">
        <x:v>Low-Medium</x:v>
      </x:c>
      <x:c r="U297" s="56" t="str">
        <x:v>SRC-DKL-039</x:v>
      </x:c>
      <x:c r="V297" s="56" t="str">
        <x:v>Older formula/channel context may be represented.</x:v>
      </x:c>
    </x:row>
    <x:row r="298" ht="154" customHeight="1">
      <x:c r="A298" s="56" t="str">
        <x:v>REV-DKL-015</x:v>
      </x:c>
      <x:c r="B298" s="56" t="str">
        <x:v>KB019</x:v>
      </x:c>
      <x:c r="C298" s="56" t="str">
        <x:v>DKL-P005</x:v>
      </x:c>
      <x:c r="D298" s="56" t="str">
        <x:v>Reddit r/AsianBeauty</x:v>
      </x:c>
      <x:c r="E298" s="56" t="str">
        <x:v>https://www.reddit.com/r/AsianBeauty/comments/1uv8jm3/my_review_of_dear_klairs_blue_youth_activating/</x:v>
      </x:c>
      <x:c r="F298" s="56"/>
      <x:c r="G298" s="56" t="str">
        <x:v>2026-08-01</x:v>
      </x:c>
      <x:c r="H298" s="56" t="str">
        <x:v>Recent review thread</x:v>
      </x:c>
      <x:c r="I298" s="56" t="str">
        <x:v>No sponsorship established</x:v>
      </x:c>
      <x:c r="J298" s="56" t="str">
        <x:v>Independent/self-selected forum</x:v>
      </x:c>
      <x:c r="K298" s="56" t="str">
        <x:v>Positive with Value Caveat</x:v>
      </x:c>
      <x:c r="L298" s="56" t="str">
        <x:v>Blue Drop calming feel and price</x:v>
      </x:c>
      <x:c r="M298" s="56" t="str">
        <x:v>Recent reviewer liked the product after prior satisfaction with Blue Cream and Unscented Toner.</x:v>
      </x:c>
      <x:c r="N298" s="56" t="str">
        <x:v>Perceived comfort after irritation, watery texture and brand-line trust.</x:v>
      </x:c>
      <x:c r="O298" s="56" t="str">
        <x:v>20 mL size feels expensive and value should be budgeted carefully.</x:v>
      </x:c>
      <x:c r="P298" s="56" t="str">
        <x:v>Sensitive / irritated-feeling</x:v>
      </x:c>
      <x:c r="Q298" s="56" t="str">
        <x:v>Positive but price-sensitive</x:v>
      </x:c>
      <x:c r="R298" s="56" t="str">
        <x:v>Peptide/EGF products</x:v>
      </x:c>
      <x:c r="S298" s="56" t="str">
        <x:v>Not necessarily U.S.</x:v>
      </x:c>
      <x:c r="T298" s="56" t="str">
        <x:v>Low-Medium</x:v>
      </x:c>
      <x:c r="U298" s="56" t="str">
        <x:v>SRC-DKL-040</x:v>
      </x:c>
      <x:c r="V298" s="56" t="str">
        <x:v>Anecdotal; product claims not independently verified.</x:v>
      </x:c>
    </x:row>
    <x:row r="299" ht="154" customHeight="1">
      <x:c r="A299" s="56" t="str">
        <x:v>REV-DKL-016</x:v>
      </x:c>
      <x:c r="B299" s="56" t="str">
        <x:v>KB019</x:v>
      </x:c>
      <x:c r="C299" s="56"/>
      <x:c r="D299" s="56" t="str">
        <x:v>Reddit r/AsianBeauty</x:v>
      </x:c>
      <x:c r="E299" s="56" t="str">
        <x:v>https://www.reddit.com/r/AsianBeauty/comments/1u9241f/product_authenticity_thursday_june_18_2026/</x:v>
      </x:c>
      <x:c r="F299" s="56"/>
      <x:c r="G299" s="56" t="str">
        <x:v>2026-08-01</x:v>
      </x:c>
      <x:c r="H299" s="56" t="str">
        <x:v>Authenticity discussion</x:v>
      </x:c>
      <x:c r="I299" s="56" t="str">
        <x:v>No</x:v>
      </x:c>
      <x:c r="J299" s="56" t="str">
        <x:v>Independent/self-selected forum</x:v>
      </x:c>
      <x:c r="K299" s="56" t="str">
        <x:v>Concern / Unresolved</x:v>
      </x:c>
      <x:c r="L299" s="56" t="str">
        <x:v>Amazon packaging and formula differences</x:v>
      </x:c>
      <x:c r="M299" s="56" t="str">
        <x:v>A recent commenter reported a difference after buying from the Dear Klairs Amazon storefront.</x:v>
      </x:c>
      <x:c r="N299" s="56" t="str">
        <x:v>Consumer diligence and repeat-purchase familiarity can surface version issues.</x:v>
      </x:c>
      <x:c r="O299" s="56" t="str">
        <x:v>Packaging/formula discrepancy raises counterfeit, reformulation or inventory-transition questions but does not prove any one cause.</x:v>
      </x:c>
      <x:c r="P299" s="56" t="str">
        <x:v>Mixed</x:v>
      </x:c>
      <x:c r="Q299" s="56"/>
      <x:c r="R299" s="56" t="str">
        <x:v>Marketplace authenticity</x:v>
      </x:c>
      <x:c r="S299" s="56" t="str">
        <x:v>U.S.-relevant marketplace</x:v>
      </x:c>
      <x:c r="T299" s="56" t="str">
        <x:v>Low-Medium</x:v>
      </x:c>
      <x:c r="U299" s="56" t="str">
        <x:v>SRC-DKL-041</x:v>
      </x:c>
      <x:c r="V299" s="56" t="str">
        <x:v>Treat as a trigger for lot/UPC/authorization audit, not as a counterfeit finding.</x:v>
      </x:c>
    </x:row>
    <x:row r="300" ht="160" customHeight="1">
      <x:c r="A300" s="56" t="str">
        <x:v>REV-HHW-001</x:v>
      </x:c>
      <x:c r="B300" s="56" t="str">
        <x:v>KB020</x:v>
      </x:c>
      <x:c r="C300" s="56" t="str">
        <x:v>HHW-P001</x:v>
      </x:c>
      <x:c r="D300" s="56" t="str">
        <x:v>Amazon U.S.</x:v>
      </x:c>
      <x:c r="E300" s="56" t="str">
        <x:v>https://www.amazon.com/dp/B0D95M72BF</x:v>
      </x:c>
      <x:c r="F300" s="56"/>
      <x:c r="G300" s="56" t="str">
        <x:v>2026-08-01</x:v>
      </x:c>
      <x:c r="H300" s="56" t="str">
        <x:v>10K+ bought/month</x:v>
      </x:c>
      <x:c r="I300" s="56" t="str">
        <x:v>Purchase verification varies</x:v>
      </x:c>
      <x:c r="J300" s="56" t="str">
        <x:v>Amazon incentives/disclosures may exist</x:v>
      </x:c>
      <x:c r="K300" s="56" t="str">
        <x:v>Strong Demand Signal</x:v>
      </x:c>
      <x:c r="L300" s="56" t="str">
        <x:v>Barrier hydration and milky texture</x:v>
      </x:c>
      <x:c r="M300" s="56" t="str">
        <x:v>Official-seller listing showed 10K+ monthly purchases, $19.99 and strong category rank.</x:v>
      </x:c>
      <x:c r="N300" s="56" t="str">
        <x:v>Hydrating, layerable, non-heavy feel and makeup-primer use.</x:v>
      </x:c>
      <x:c r="O300" s="56" t="str">
        <x:v>Direct page did not expose a current neutral review aggregate in the crawl; efficacy and tolerability cannot be inferred from sales badges alone.</x:v>
      </x:c>
      <x:c r="P300" s="56" t="str">
        <x:v>Dry / sensitive / mixed</x:v>
      </x:c>
      <x:c r="Q300" s="56" t="str">
        <x:v>Strong replenishment signal</x:v>
      </x:c>
      <x:c r="R300" s="56" t="str">
        <x:v>Dr. Ceuracle and milky essences</x:v>
      </x:c>
      <x:c r="S300" s="56" t="str">
        <x:v>Likely U.S.-heavy marketplace</x:v>
      </x:c>
      <x:c r="T300" s="56" t="str">
        <x:v>High</x:v>
      </x:c>
      <x:c r="U300" s="56" t="str">
        <x:v>SRC-HHW-021,SRC-HHW-026</x:v>
      </x:c>
      <x:c r="V300" s="56" t="str">
        <x:v>Demand evidence, not neutral sentiment prevalence.</x:v>
      </x:c>
    </x:row>
    <x:row r="301" ht="160" customHeight="1">
      <x:c r="A301" s="56" t="str">
        <x:v>REV-HHW-002</x:v>
      </x:c>
      <x:c r="B301" s="56" t="str">
        <x:v>KB020</x:v>
      </x:c>
      <x:c r="C301" s="56" t="str">
        <x:v>HHW-P002</x:v>
      </x:c>
      <x:c r="D301" s="56" t="str">
        <x:v>Amazon U.S.</x:v>
      </x:c>
      <x:c r="E301" s="56" t="str">
        <x:v>https://www.amazon.com/dp/B08W1ZHTL3</x:v>
      </x:c>
      <x:c r="F301" s="56"/>
      <x:c r="G301" s="56" t="str">
        <x:v>2026-08-01</x:v>
      </x:c>
      <x:c r="H301" s="56" t="n">
        <x:v>4381</x:v>
      </x:c>
      <x:c r="I301" s="56" t="str">
        <x:v>Mixed / purchase verification varies</x:v>
      </x:c>
      <x:c r="J301" s="56" t="str">
        <x:v>Amazon incentives/disclosures may exist</x:v>
      </x:c>
      <x:c r="K301" s="56" t="str">
        <x:v>Mostly Positive</x:v>
      </x:c>
      <x:c r="L301" s="56" t="str">
        <x:v>Makeup removal and gentle cleanse</x:v>
      </x:c>
      <x:c r="M301" s="56" t="str">
        <x:v>Amazon showed 4.4/4,381, 8K+ bought/month and #6 Makeup Cleansing Oils.</x:v>
      </x:c>
      <x:c r="N301" s="56" t="str">
        <x:v>Effective waterproof-makeup removal, soft after-feel and non-stripping double cleanse for many.</x:v>
      </x:c>
      <x:c r="O301" s="56" t="str">
        <x:v>Some consumers report eye sting, cloudy vision, residue, irritation or breakouts.</x:v>
      </x:c>
      <x:c r="P301" s="56" t="str">
        <x:v>Sensitive / acne-prone / mixed</x:v>
      </x:c>
      <x:c r="Q301" s="56" t="str">
        <x:v>Strong</x:v>
      </x:c>
      <x:c r="R301" s="56" t="str">
        <x:v>ANUA and cleansing oils</x:v>
      </x:c>
      <x:c r="S301" s="56" t="str">
        <x:v>Likely U.S.-heavy marketplace</x:v>
      </x:c>
      <x:c r="T301" s="56" t="str">
        <x:v>High</x:v>
      </x:c>
      <x:c r="U301" s="56" t="str">
        <x:v>SRC-HHW-022,SRC-HHW-027,SRC-HHW-039</x:v>
      </x:c>
      <x:c r="V301" s="56" t="str">
        <x:v>Aggregate plus forum counter-signals; no causality inference.</x:v>
      </x:c>
    </x:row>
    <x:row r="302" ht="160" customHeight="1">
      <x:c r="A302" s="56" t="str">
        <x:v>REV-HHW-003</x:v>
      </x:c>
      <x:c r="B302" s="56" t="str">
        <x:v>KB020</x:v>
      </x:c>
      <x:c r="C302" s="56" t="str">
        <x:v>HHW-P003</x:v>
      </x:c>
      <x:c r="D302" s="56" t="str">
        <x:v>Amazon U.S.</x:v>
      </x:c>
      <x:c r="E302" s="56" t="str">
        <x:v>https://www.amazon.com/dp/B0971YC8W1</x:v>
      </x:c>
      <x:c r="F302" s="56"/>
      <x:c r="G302" s="56" t="str">
        <x:v>2026-08-01</x:v>
      </x:c>
      <x:c r="H302" s="56" t="str">
        <x:v>3K+ bought/month</x:v>
      </x:c>
      <x:c r="I302" s="56" t="str">
        <x:v>Purchase verification varies</x:v>
      </x:c>
      <x:c r="J302" s="56" t="str">
        <x:v>Amazon incentives/disclosures may exist</x:v>
      </x:c>
      <x:c r="K302" s="56" t="str">
        <x:v>Positive Demand Signal</x:v>
      </x:c>
      <x:c r="L302" s="56" t="str">
        <x:v>Gentle fragrance-free hydration</x:v>
      </x:c>
      <x:c r="M302" s="56" t="str">
        <x:v>Listing showed sustained purchase velocity and category rank.</x:v>
      </x:c>
      <x:c r="N302" s="56" t="str">
        <x:v>Light, layerable texture, affordable hydration and sensitive-skin fit.</x:v>
      </x:c>
      <x:c r="O302" s="56" t="str">
        <x:v>Rating was not reliably exposed in current crawl; original-versus-unscented and packaging differences complicate aggregate feedback.</x:v>
      </x:c>
      <x:c r="P302" s="56" t="str">
        <x:v>Sensitive / dehydrated</x:v>
      </x:c>
      <x:c r="Q302" s="56" t="str">
        <x:v>Strong</x:v>
      </x:c>
      <x:c r="R302" s="56" t="str">
        <x:v>TIRTIR, Klairs and hydrating toners</x:v>
      </x:c>
      <x:c r="S302" s="56" t="str">
        <x:v>Likely U.S.-heavy marketplace</x:v>
      </x:c>
      <x:c r="T302" s="56" t="str">
        <x:v>Medium-High</x:v>
      </x:c>
      <x:c r="U302" s="56" t="str">
        <x:v>SRC-HHW-023,SRC-HHW-028</x:v>
      </x:c>
      <x:c r="V302" s="56" t="str">
        <x:v>Use Target/iHerb/Reddit for qualitative support.</x:v>
      </x:c>
    </x:row>
    <x:row r="303" ht="160" customHeight="1">
      <x:c r="A303" s="56" t="str">
        <x:v>REV-HHW-004</x:v>
      </x:c>
      <x:c r="B303" s="56" t="str">
        <x:v>KB020</x:v>
      </x:c>
      <x:c r="C303" s="56" t="str">
        <x:v>HHW-P001</x:v>
      </x:c>
      <x:c r="D303" s="56" t="str">
        <x:v>Target</x:v>
      </x:c>
      <x:c r="E303" s="56" t="str">
        <x:v>https://www.target.com/p/-/A-94776501</x:v>
      </x:c>
      <x:c r="F303" s="56"/>
      <x:c r="G303" s="56" t="str">
        <x:v>2026-08-01</x:v>
      </x:c>
      <x:c r="H303" s="56" t="n">
        <x:v>90</x:v>
      </x:c>
      <x:c r="I303" s="56" t="str">
        <x:v>Target review model; individual verification varies</x:v>
      </x:c>
      <x:c r="J303" s="56" t="str">
        <x:v>Brand seeding/incentives may exist</x:v>
      </x:c>
      <x:c r="K303" s="56" t="str">
        <x:v>Very Positive</x:v>
      </x:c>
      <x:c r="L303" s="56" t="str">
        <x:v>Barrier Essence launch satisfaction</x:v>
      </x:c>
      <x:c r="M303" s="56" t="str">
        <x:v>Target PDP displayed about 4.78/90 and brand page showed 6K+ bought/month across sizes.</x:v>
      </x:c>
      <x:c r="N303" s="56" t="str">
        <x:v>Hydration, glow, milky-but-light feel and makeup compatibility.</x:v>
      </x:c>
      <x:c r="O303" s="56" t="str">
        <x:v>Early-launch reviews and variant-combined purchase badges may overstate mature, size-specific performance.</x:v>
      </x:c>
      <x:c r="P303" s="56" t="str">
        <x:v>All / sensitive</x:v>
      </x:c>
      <x:c r="Q303" s="56" t="str">
        <x:v>Strong early repeat interest</x:v>
      </x:c>
      <x:c r="R303" s="56" t="str">
        <x:v>Milky toners/essences</x:v>
      </x:c>
      <x:c r="S303" s="56" t="str">
        <x:v>U.S.</x:v>
      </x:c>
      <x:c r="T303" s="56" t="str">
        <x:v>High</x:v>
      </x:c>
      <x:c r="U303" s="56" t="str">
        <x:v>SRC-HHW-016,SRC-HHW-025</x:v>
      </x:c>
      <x:c r="V303" s="56" t="str">
        <x:v>Target summary is dynamic.</x:v>
      </x:c>
    </x:row>
    <x:row r="304" ht="160" customHeight="1">
      <x:c r="A304" s="56" t="str">
        <x:v>REV-HHW-005</x:v>
      </x:c>
      <x:c r="B304" s="56" t="str">
        <x:v>KB020</x:v>
      </x:c>
      <x:c r="C304" s="56" t="str">
        <x:v>HHW-P004</x:v>
      </x:c>
      <x:c r="D304" s="56" t="str">
        <x:v>Target</x:v>
      </x:c>
      <x:c r="E304" s="56" t="str">
        <x:v>https://www.target.com/p/-/A-94743157</x:v>
      </x:c>
      <x:c r="F304" s="56"/>
      <x:c r="G304" s="56" t="str">
        <x:v>2026-08-01</x:v>
      </x:c>
      <x:c r="H304" s="56" t="n">
        <x:v>21</x:v>
      </x:c>
      <x:c r="I304" s="56" t="str">
        <x:v>Target review model; individual verification varies</x:v>
      </x:c>
      <x:c r="J304" s="56" t="str">
        <x:v>Brand seeding/incentives may exist</x:v>
      </x:c>
      <x:c r="K304" s="56" t="str">
        <x:v>Mostly Positive</x:v>
      </x:c>
      <x:c r="L304" s="56" t="str">
        <x:v>Lightweight eye hydration and value</x:v>
      </x:c>
      <x:c r="M304" s="56" t="str">
        <x:v>Target showed about 4.3/21 and 4K+ bought/month.</x:v>
      </x:c>
      <x:c r="N304" s="56" t="str">
        <x:v>Light pump texture, under-concealer use, hydration and accessible price.</x:v>
      </x:c>
      <x:c r="O304" s="56" t="str">
        <x:v>Effectiveness score trailed value; some users may see subtle or no visible result, and eye-area irritation remains possible.</x:v>
      </x:c>
      <x:c r="P304" s="56" t="str">
        <x:v>Sensitive / mature / mixed</x:v>
      </x:c>
      <x:c r="Q304" s="56" t="str">
        <x:v>Good add-on velocity</x:v>
      </x:c>
      <x:c r="R304" s="56" t="str">
        <x:v>Beauty of Joseon eye serum</x:v>
      </x:c>
      <x:c r="S304" s="56" t="str">
        <x:v>U.S.</x:v>
      </x:c>
      <x:c r="T304" s="56" t="str">
        <x:v>Medium-High</x:v>
      </x:c>
      <x:c r="U304" s="56" t="str">
        <x:v>SRC-HHW-017,SRC-HHW-029</x:v>
      </x:c>
      <x:c r="V304" s="56" t="str">
        <x:v>Small review base relative to purchase badge.</x:v>
      </x:c>
    </x:row>
    <x:row r="305" ht="160" customHeight="1">
      <x:c r="A305" s="56" t="str">
        <x:v>REV-HHW-006</x:v>
      </x:c>
      <x:c r="B305" s="56" t="str">
        <x:v>KB020</x:v>
      </x:c>
      <x:c r="C305" s="56" t="str">
        <x:v>HHW-P003</x:v>
      </x:c>
      <x:c r="D305" s="56" t="str">
        <x:v>Target</x:v>
      </x:c>
      <x:c r="E305" s="56" t="str">
        <x:v>https://www.target.com/p/-/A-94743161</x:v>
      </x:c>
      <x:c r="F305" s="56"/>
      <x:c r="G305" s="56" t="str">
        <x:v>2026-08-01</x:v>
      </x:c>
      <x:c r="H305" s="56" t="n">
        <x:v>27</x:v>
      </x:c>
      <x:c r="I305" s="56" t="str">
        <x:v>Target review model; individual verification varies</x:v>
      </x:c>
      <x:c r="J305" s="56" t="str">
        <x:v>Brand seeding/incentives may exist</x:v>
      </x:c>
      <x:c r="K305" s="56" t="str">
        <x:v>Mostly Positive</x:v>
      </x:c>
      <x:c r="L305" s="56" t="str">
        <x:v>Unscented toner hydration</x:v>
      </x:c>
      <x:c r="M305" s="56" t="str">
        <x:v>Target displayed 4.49/27 with current 2026 customer reviews.</x:v>
      </x:c>
      <x:c r="N305" s="56" t="str">
        <x:v>Gentle feel, hydration, softness and easy layering.</x:v>
      </x:c>
      <x:c r="O305" s="56" t="str">
        <x:v>Some may find benefit incremental; product-page categorization and original/unscented distinction can confuse shoppers.</x:v>
      </x:c>
      <x:c r="P305" s="56" t="str">
        <x:v>Sensitive / acne-prone / dry</x:v>
      </x:c>
      <x:c r="Q305" s="56" t="str">
        <x:v>Positive</x:v>
      </x:c>
      <x:c r="R305" s="56" t="str">
        <x:v>TIRTIR/Thayers/other toners</x:v>
      </x:c>
      <x:c r="S305" s="56" t="str">
        <x:v>U.S.</x:v>
      </x:c>
      <x:c r="T305" s="56" t="str">
        <x:v>Medium-High</x:v>
      </x:c>
      <x:c r="U305" s="56" t="str">
        <x:v>SRC-HHW-015,SRC-HHW-028</x:v>
      </x:c>
      <x:c r="V305" s="56" t="str">
        <x:v>Early Target history.</x:v>
      </x:c>
    </x:row>
    <x:row r="306" ht="160" customHeight="1">
      <x:c r="A306" s="56" t="str">
        <x:v>REV-HHW-007</x:v>
      </x:c>
      <x:c r="B306" s="56" t="str">
        <x:v>KB020</x:v>
      </x:c>
      <x:c r="C306" s="56" t="str">
        <x:v>HHW-P003</x:v>
      </x:c>
      <x:c r="D306" s="56" t="str">
        <x:v>iHerb</x:v>
      </x:c>
      <x:c r="E306" s="56" t="str">
        <x:v>https://www.iherb.com/c/haruharu</x:v>
      </x:c>
      <x:c r="F306" s="56"/>
      <x:c r="G306" s="56" t="str">
        <x:v>2026-08-01</x:v>
      </x:c>
      <x:c r="H306" s="56" t="n">
        <x:v>7264</x:v>
      </x:c>
      <x:c r="I306" s="56" t="str">
        <x:v>Retailer purchase model; individual audit not performed</x:v>
      </x:c>
      <x:c r="J306" s="56" t="str">
        <x:v>Rewarded-review disclosures may appear</x:v>
      </x:c>
      <x:c r="K306" s="56" t="str">
        <x:v>Mostly Positive</x:v>
      </x:c>
      <x:c r="L306" s="56" t="str">
        <x:v>Toner hydration and long-term value</x:v>
      </x:c>
      <x:c r="M306" s="56" t="str">
        <x:v>iHerb displayed a 7,264-review aggregate and 300+ sold/30 days for the displayed 150 mL variant.</x:v>
      </x:c>
      <x:c r="N306" s="56" t="str">
        <x:v>Hydration, gentle feel, texture and value across size options.</x:v>
      </x:c>
      <x:c r="O306" s="56" t="str">
        <x:v>Review geography and scented/unscented version aggregation were not isolated.</x:v>
      </x:c>
      <x:c r="P306" s="56" t="str">
        <x:v>Global / mixed</x:v>
      </x:c>
      <x:c r="Q306" s="56" t="str">
        <x:v>Strong</x:v>
      </x:c>
      <x:c r="R306" s="56" t="str">
        <x:v>Broad hydrating toners</x:v>
      </x:c>
      <x:c r="S306" s="56" t="str">
        <x:v>Global</x:v>
      </x:c>
      <x:c r="T306" s="56" t="str">
        <x:v>Medium-High</x:v>
      </x:c>
      <x:c r="U306" s="56" t="str">
        <x:v>SRC-HHW-033</x:v>
      </x:c>
      <x:c r="V306" s="56" t="str">
        <x:v>Do not treat as U.S.-only or exact-variant evidence.</x:v>
      </x:c>
    </x:row>
    <x:row r="307" ht="160" customHeight="1">
      <x:c r="A307" s="56" t="str">
        <x:v>REV-HHW-008</x:v>
      </x:c>
      <x:c r="B307" s="56" t="str">
        <x:v>KB020</x:v>
      </x:c>
      <x:c r="C307" s="56"/>
      <x:c r="D307" s="56" t="str">
        <x:v>TikTok Shop U.S.</x:v>
      </x:c>
      <x:c r="E307" s="56" t="str">
        <x:v>https://shop.tiktok.com/us/store/haruharu-wonder-official-us/7495510336228329611</x:v>
      </x:c>
      <x:c r="F307" s="56"/>
      <x:c r="G307" s="56" t="str">
        <x:v>2026-08-01</x:v>
      </x:c>
      <x:c r="H307" s="56" t="str">
        <x:v>8,227 sold display</x:v>
      </x:c>
      <x:c r="I307" s="56" t="str">
        <x:v>Not applicable</x:v>
      </x:c>
      <x:c r="J307" s="56" t="str">
        <x:v>High creator/affiliate and sponsored-content risk</x:v>
      </x:c>
      <x:c r="K307" s="56" t="str">
        <x:v>Positive Demand Signal</x:v>
      </x:c>
      <x:c r="L307" s="56" t="str">
        <x:v>Barrier, toner and routine-bundle content</x:v>
      </x:c>
      <x:c r="M307" s="56" t="str">
        <x:v>Official shop showed 11.1K+ followers, 8,227 cumulative sold and 319 videos.</x:v>
      </x:c>
      <x:c r="N307" s="56" t="str">
        <x:v>Highly demonstrable textures, accessible prices and bundle appeal.</x:v>
      </x:c>
      <x:c r="O307" s="56" t="str">
        <x:v>Cumulative count lacks period; creator compensation, overlapping bundles and promotion depth limit interpretation.</x:v>
      </x:c>
      <x:c r="P307" s="56" t="str">
        <x:v>Mixed</x:v>
      </x:c>
      <x:c r="Q307" s="56"/>
      <x:c r="R307" s="56" t="str">
        <x:v>Broad K-Beauty</x:v>
      </x:c>
      <x:c r="S307" s="56" t="str">
        <x:v>U.S.</x:v>
      </x:c>
      <x:c r="T307" s="56" t="str">
        <x:v>Medium-High</x:v>
      </x:c>
      <x:c r="U307" s="56" t="str">
        <x:v>SRC-HHW-030,SRC-HHW-034</x:v>
      </x:c>
      <x:c r="V307" s="56" t="str">
        <x:v>Demand proxy, not neutral sentiment study.</x:v>
      </x:c>
    </x:row>
    <x:row r="308" ht="160" customHeight="1">
      <x:c r="A308" s="56" t="str">
        <x:v>REV-HHW-009</x:v>
      </x:c>
      <x:c r="B308" s="56" t="str">
        <x:v>KB020</x:v>
      </x:c>
      <x:c r="C308" s="56" t="str">
        <x:v>HHW-P001</x:v>
      </x:c>
      <x:c r="D308" s="56" t="str">
        <x:v>Reddit r/AsianBeauty</x:v>
      </x:c>
      <x:c r="E308" s="56" t="str">
        <x:v>https://www.reddit.com/r/AsianBeauty/comments/1duhcvn/new_product_from_haruharu_wonder_black_rice/</x:v>
      </x:c>
      <x:c r="F308" s="56"/>
      <x:c r="G308" s="56" t="str">
        <x:v>2026-08-01</x:v>
      </x:c>
      <x:c r="H308" s="56" t="str">
        <x:v>Discussion thread</x:v>
      </x:c>
      <x:c r="I308" s="56" t="str">
        <x:v>No</x:v>
      </x:c>
      <x:c r="J308" s="56" t="str">
        <x:v>Independent/self-selected forum</x:v>
      </x:c>
      <x:c r="K308" s="56" t="str">
        <x:v>Positive / Curious</x:v>
      </x:c>
      <x:c r="L308" s="56" t="str">
        <x:v>Barrier Essence launch and rich hydration</x:v>
      </x:c>
      <x:c r="M308" s="56" t="str">
        <x:v>Users showed strong interest in the milky ferment/ceramide concept and later comments described it as a barrier-support favorite.</x:v>
      </x:c>
      <x:c r="N308" s="56" t="str">
        <x:v>Deep hydration, glow, elegant layering and perceived barrier comfort.</x:v>
      </x:c>
      <x:c r="O308" s="56" t="str">
        <x:v>Enthusiasm is self-selected and not proof of efficacy or broad tolerance.</x:v>
      </x:c>
      <x:c r="P308" s="56" t="str">
        <x:v>Dry / sensitive / mixed</x:v>
      </x:c>
      <x:c r="Q308" s="56" t="str">
        <x:v>Strong personal interest</x:v>
      </x:c>
      <x:c r="R308" s="56" t="str">
        <x:v>Dr. Ceuracle and milky essences</x:v>
      </x:c>
      <x:c r="S308" s="56" t="str">
        <x:v>Not necessarily U.S.</x:v>
      </x:c>
      <x:c r="T308" s="56" t="str">
        <x:v>Low-Medium</x:v>
      </x:c>
      <x:c r="U308" s="56" t="str">
        <x:v>SRC-HHW-036</x:v>
      </x:c>
      <x:c r="V308" s="56" t="str">
        <x:v>Anecdotal consumer evidence.</x:v>
      </x:c>
    </x:row>
    <x:row r="309" ht="160" customHeight="1">
      <x:c r="A309" s="56" t="str">
        <x:v>REV-HHW-010</x:v>
      </x:c>
      <x:c r="B309" s="56" t="str">
        <x:v>KB020</x:v>
      </x:c>
      <x:c r="C309" s="56" t="str">
        <x:v>HHW-P001</x:v>
      </x:c>
      <x:c r="D309" s="56" t="str">
        <x:v>Reddit r/AsianBeauty</x:v>
      </x:c>
      <x:c r="E309" s="56" t="str">
        <x:v>https://www.reddit.com/r/AsianBeauty/comments/1jw1faz/review_haruharu_wonder_black_rice_probiotics/</x:v>
      </x:c>
      <x:c r="F309" s="56"/>
      <x:c r="G309" s="56" t="str">
        <x:v>2026-08-01</x:v>
      </x:c>
      <x:c r="H309" s="56" t="str">
        <x:v>Review/discussion thread</x:v>
      </x:c>
      <x:c r="I309" s="56" t="str">
        <x:v>No</x:v>
      </x:c>
      <x:c r="J309" s="56" t="str">
        <x:v>Independent/self-selected forum</x:v>
      </x:c>
      <x:c r="K309" s="56" t="str">
        <x:v>Mixed</x:v>
      </x:c>
      <x:c r="L309" s="56" t="str">
        <x:v>Barrier improvement versus intolerance</x:v>
      </x:c>
      <x:c r="M309" s="56" t="str">
        <x:v>Comments included strong barrier-support repurchase experiences and a detailed non-fit report.</x:v>
      </x:c>
      <x:c r="N309" s="56" t="str">
        <x:v>Some users describe reduced irritation, stronger-feeling barrier and necessity-level repurchase.</x:v>
      </x:c>
      <x:c r="O309" s="56" t="str">
        <x:v>Others report no benefit, congestion, irritation or worse skin; ferment/rich-lipid sensitivity is plausible but unproven.</x:v>
      </x:c>
      <x:c r="P309" s="56" t="str">
        <x:v>Sensitive / mixed</x:v>
      </x:c>
      <x:c r="Q309" s="56" t="str">
        <x:v>Polarized</x:v>
      </x:c>
      <x:c r="R309" s="56" t="str">
        <x:v>Dr. Ceuracle essence</x:v>
      </x:c>
      <x:c r="S309" s="56" t="str">
        <x:v>Not necessarily U.S.</x:v>
      </x:c>
      <x:c r="T309" s="56" t="str">
        <x:v>Low-Medium</x:v>
      </x:c>
      <x:c r="U309" s="56" t="str">
        <x:v>SRC-HHW-036,SRC-HHW-037</x:v>
      </x:c>
      <x:c r="V309" s="56" t="str">
        <x:v>Anecdotal; no prevalence inference.</x:v>
      </x:c>
    </x:row>
    <x:row r="310" ht="160" customHeight="1">
      <x:c r="A310" s="56" t="str">
        <x:v>REV-HHW-011</x:v>
      </x:c>
      <x:c r="B310" s="56" t="str">
        <x:v>KB020</x:v>
      </x:c>
      <x:c r="C310" s="56" t="str">
        <x:v>HHW-P005</x:v>
      </x:c>
      <x:c r="D310" s="56" t="str">
        <x:v>Reddit r/AsianBeauty</x:v>
      </x:c>
      <x:c r="E310" s="56" t="str">
        <x:v>https://www.reddit.com/r/AsianBeauty/comments/1cx8uiw/haruharu_wonder_black_rice_moisture_airyfit/</x:v>
      </x:c>
      <x:c r="F310" s="56"/>
      <x:c r="G310" s="56" t="str">
        <x:v>2026-08-01</x:v>
      </x:c>
      <x:c r="H310" s="56" t="str">
        <x:v>Discussion/review thread</x:v>
      </x:c>
      <x:c r="I310" s="56" t="str">
        <x:v>No</x:v>
      </x:c>
      <x:c r="J310" s="56" t="str">
        <x:v>Independent/self-selected forum</x:v>
      </x:c>
      <x:c r="K310" s="56" t="str">
        <x:v>Very Positive with Caveats</x:v>
      </x:c>
      <x:c r="L310" s="56" t="str">
        <x:v>Velvet finish and no white cast</x:v>
      </x:c>
      <x:c r="M310" s="56" t="str">
        <x:v>Highly upvoted review praised the finish across oily and darker skin tones, with multiple holy-grail comments.</x:v>
      </x:c>
      <x:c r="N310" s="56" t="str">
        <x:v>No white cast, velvety/satin finish, non-greasy feel and good makeup base for many.</x:v>
      </x:c>
      <x:c r="O310" s="56" t="str">
        <x:v>Several commenters reported pilling, especially under makeup or upon reapplication.</x:v>
      </x:c>
      <x:c r="P310" s="56" t="str">
        <x:v>Oily / dry / melanated / mixed</x:v>
      </x:c>
      <x:c r="Q310" s="56" t="str">
        <x:v>Strong affection among fits</x:v>
      </x:c>
      <x:c r="R310" s="56" t="str">
        <x:v>BOJ, Round Lab, SKIN1004</x:v>
      </x:c>
      <x:c r="S310" s="56" t="str">
        <x:v>Global with U.S. users</x:v>
      </x:c>
      <x:c r="T310" s="56" t="str">
        <x:v>Medium</x:v>
      </x:c>
      <x:c r="U310" s="56" t="str">
        <x:v>SRC-HHW-037</x:v>
      </x:c>
      <x:c r="V310" s="56" t="str">
        <x:v>Consumer fit only; not OTC compliance evidence.</x:v>
      </x:c>
    </x:row>
    <x:row r="311" ht="160" customHeight="1">
      <x:c r="A311" s="56" t="str">
        <x:v>REV-HHW-012</x:v>
      </x:c>
      <x:c r="B311" s="56" t="str">
        <x:v>KB020</x:v>
      </x:c>
      <x:c r="C311" s="56" t="str">
        <x:v>HHW-P005</x:v>
      </x:c>
      <x:c r="D311" s="56" t="str">
        <x:v>Reddit r/AsianBeauty</x:v>
      </x:c>
      <x:c r="E311" s="56" t="str">
        <x:v>https://www.reddit.com/r/AsianBeauty/comments/1evypjk/does_haruharu_airyfit_sunscreen_pilling/</x:v>
      </x:c>
      <x:c r="F311" s="56"/>
      <x:c r="G311" s="56" t="str">
        <x:v>2026-08-01</x:v>
      </x:c>
      <x:c r="H311" s="56" t="str">
        <x:v>Discussion thread</x:v>
      </x:c>
      <x:c r="I311" s="56" t="str">
        <x:v>No</x:v>
      </x:c>
      <x:c r="J311" s="56" t="str">
        <x:v>Independent/self-selected forum</x:v>
      </x:c>
      <x:c r="K311" s="56" t="str">
        <x:v>Mixed / Negative</x:v>
      </x:c>
      <x:c r="L311" s="56" t="str">
        <x:v>Pilling, breakouts and eye sting</x:v>
      </x:c>
      <x:c r="M311" s="56" t="str">
        <x:v>Long thread documents highly variable pilling outcomes through 2026.</x:v>
      </x:c>
      <x:c r="N311" s="56" t="str">
        <x:v>Some users report beautiful laydown with minimal pilling.</x:v>
      </x:c>
      <x:c r="O311" s="56" t="str">
        <x:v>Others report severe pilling with skincare, makeup or reapplication, plus breakouts, dryness or eye sting.</x:v>
      </x:c>
      <x:c r="P311" s="56" t="str">
        <x:v>Combination / acne-prone / mixed</x:v>
      </x:c>
      <x:c r="Q311" s="56" t="str">
        <x:v>Mixed</x:v>
      </x:c>
      <x:c r="R311" s="56" t="str">
        <x:v>BOJ, Round Lab, SKIN1004</x:v>
      </x:c>
      <x:c r="S311" s="56" t="str">
        <x:v>Global/U.S. mix</x:v>
      </x:c>
      <x:c r="T311" s="56" t="str">
        <x:v>Medium</x:v>
      </x:c>
      <x:c r="U311" s="56" t="str">
        <x:v>SRC-HHW-037</x:v>
      </x:c>
      <x:c r="V311" s="56" t="str">
        <x:v>Anecdotal; application variables are uncontrolled.</x:v>
      </x:c>
    </x:row>
    <x:row r="312" ht="160" customHeight="1">
      <x:c r="A312" s="56" t="str">
        <x:v>REV-HHW-013</x:v>
      </x:c>
      <x:c r="B312" s="56" t="str">
        <x:v>KB020</x:v>
      </x:c>
      <x:c r="C312" s="56" t="str">
        <x:v>HHW-P003</x:v>
      </x:c>
      <x:c r="D312" s="56" t="str">
        <x:v>Reddit r/AsianBeauty</x:v>
      </x:c>
      <x:c r="E312" s="56" t="str">
        <x:v>https://www.reddit.com/r/AsianBeauty/comments/1r3j2q3/haruharu_wonder_black_rice_toner_feels_different/</x:v>
      </x:c>
      <x:c r="F312" s="56"/>
      <x:c r="G312" s="56" t="str">
        <x:v>2026-08-01</x:v>
      </x:c>
      <x:c r="H312" s="56" t="str">
        <x:v>Recent discussion thread</x:v>
      </x:c>
      <x:c r="I312" s="56" t="str">
        <x:v>No</x:v>
      </x:c>
      <x:c r="J312" s="56" t="str">
        <x:v>Independent/self-selected forum</x:v>
      </x:c>
      <x:c r="K312" s="56" t="str">
        <x:v>Concern / Mixed</x:v>
      </x:c>
      <x:c r="L312" s="56" t="str">
        <x:v>Texture and size/version differences</x:v>
      </x:c>
      <x:c r="M312" s="56" t="str">
        <x:v>Users compared older/newer or different-size toner bottles and reported changes in feel.</x:v>
      </x:c>
      <x:c r="N312" s="56" t="str">
        <x:v>Long-term familiarity creates useful version monitoring.</x:v>
      </x:c>
      <x:c r="O312" s="56" t="str">
        <x:v>Packaging, size, lot or reformulation uncertainty can erode trust; reports do not establish counterfeiting or reformulation.</x:v>
      </x:c>
      <x:c r="P312" s="56" t="str">
        <x:v>Mixed</x:v>
      </x:c>
      <x:c r="Q312" s="56"/>
      <x:c r="R312" s="56" t="str">
        <x:v>Marketplace authenticity/versioning</x:v>
      </x:c>
      <x:c r="S312" s="56" t="str">
        <x:v>Global/U.S. mix</x:v>
      </x:c>
      <x:c r="T312" s="56" t="str">
        <x:v>Low-Medium</x:v>
      </x:c>
      <x:c r="U312" s="56" t="str">
        <x:v>SRC-HHW-038</x:v>
      </x:c>
      <x:c r="V312" s="56" t="str">
        <x:v>Trigger UPC/INCI/lot comparison, not a factual formulation finding.</x:v>
      </x:c>
    </x:row>
    <x:row r="313" ht="160" customHeight="1">
      <x:c r="A313" s="56" t="str">
        <x:v>REV-HHW-014</x:v>
      </x:c>
      <x:c r="B313" s="56" t="str">
        <x:v>KB020</x:v>
      </x:c>
      <x:c r="C313" s="56" t="str">
        <x:v>HHW-P002</x:v>
      </x:c>
      <x:c r="D313" s="56" t="str">
        <x:v>Reddit r/AsianBeauty</x:v>
      </x:c>
      <x:c r="E313" s="56" t="str">
        <x:v>https://www.reddit.com/r/AsianBeauty/comments/170z2e7/haruharu_wonder_black_rice_deep_cleansing_oil/</x:v>
      </x:c>
      <x:c r="F313" s="56"/>
      <x:c r="G313" s="56" t="str">
        <x:v>2026-08-01</x:v>
      </x:c>
      <x:c r="H313" s="56" t="str">
        <x:v>Review/discussion thread</x:v>
      </x:c>
      <x:c r="I313" s="56" t="str">
        <x:v>No</x:v>
      </x:c>
      <x:c r="J313" s="56" t="str">
        <x:v>Independent/self-selected forum</x:v>
      </x:c>
      <x:c r="K313" s="56" t="str">
        <x:v>Mixed / Negative</x:v>
      </x:c>
      <x:c r="L313" s="56" t="str">
        <x:v>Eye sting and breakout risk</x:v>
      </x:c>
      <x:c r="M313" s="56" t="str">
        <x:v>Multiple commenters reported painful eye sting or irritation; other users described good makeup removal.</x:v>
      </x:c>
      <x:c r="N313" s="56" t="str">
        <x:v>Removes makeup and can leave skin comfortable for compatible users.</x:v>
      </x:c>
      <x:c r="O313" s="56" t="str">
        <x:v>Eye burning, incomplete emulsification, itchy patches or acne flare reports for some.</x:v>
      </x:c>
      <x:c r="P313" s="56" t="str">
        <x:v>Sensitive / acne-prone / mixed</x:v>
      </x:c>
      <x:c r="Q313" s="56" t="str">
        <x:v>Mixed</x:v>
      </x:c>
      <x:c r="R313" s="56" t="str">
        <x:v>ANUA and cleansing balms</x:v>
      </x:c>
      <x:c r="S313" s="56" t="str">
        <x:v>Not necessarily U.S.</x:v>
      </x:c>
      <x:c r="T313" s="56" t="str">
        <x:v>Low-Medium</x:v>
      </x:c>
      <x:c r="U313" s="56" t="str">
        <x:v>SRC-HHW-039</x:v>
      </x:c>
      <x:c r="V313" s="56" t="str">
        <x:v>Individual outcomes; exact formula/lot not controlled.</x:v>
      </x:c>
    </x:row>
    <x:row r="314" ht="160" customHeight="1">
      <x:c r="A314" s="56" t="str">
        <x:v>REV-HHW-015</x:v>
      </x:c>
      <x:c r="B314" s="56" t="str">
        <x:v>KB020</x:v>
      </x:c>
      <x:c r="C314" s="56" t="str">
        <x:v>HHW-P005</x:v>
      </x:c>
      <x:c r="D314" s="56" t="str">
        <x:v>Reddit r/AsianBeauty</x:v>
      </x:c>
      <x:c r="E314" s="56" t="str">
        <x:v>https://www.reddit.com/r/AsianBeauty/comments/1m3w9lr/beware_haruharu_amazon_shop_now_sells_inauthentic/</x:v>
      </x:c>
      <x:c r="F314" s="56"/>
      <x:c r="G314" s="56" t="str">
        <x:v>2026-08-01</x:v>
      </x:c>
      <x:c r="H314" s="56" t="str">
        <x:v>High-visibility authenticity thread</x:v>
      </x:c>
      <x:c r="I314" s="56" t="str">
        <x:v>No</x:v>
      </x:c>
      <x:c r="J314" s="56" t="str">
        <x:v>Independent/self-selected forum</x:v>
      </x:c>
      <x:c r="K314" s="56" t="str">
        <x:v>Concern / Unresolved</x:v>
      </x:c>
      <x:c r="L314" s="56" t="str">
        <x:v>Amazon seller and sunscreen authenticity</x:v>
      </x:c>
      <x:c r="M314" s="56" t="str">
        <x:v>Highly visible thread documented alleged fake or materially different sunscreens; later comments debated seller, formula and packaging explanations.</x:v>
      </x:c>
      <x:c r="N314" s="56" t="str">
        <x:v>Consumers actively compare packaging, batch codes and seller identity.</x:v>
      </x:c>
      <x:c r="O314" s="56" t="str">
        <x:v>Counterfeit, seller rotation, heat damage, reformulation and packaging changes are unresolved; reports include adverse outcomes and sunburn claims.</x:v>
      </x:c>
      <x:c r="P314" s="56" t="str">
        <x:v>Mixed</x:v>
      </x:c>
      <x:c r="Q314" s="56"/>
      <x:c r="R314" s="56" t="str">
        <x:v>Marketplace authenticity</x:v>
      </x:c>
      <x:c r="S314" s="56" t="str">
        <x:v>U.S.-relevant</x:v>
      </x:c>
      <x:c r="T314" s="56" t="str">
        <x:v>Medium as risk signal / Low as proof</x:v>
      </x:c>
      <x:c r="U314" s="56" t="str">
        <x:v>SRC-HHW-040</x:v>
      </x:c>
      <x:c r="V314" s="56" t="str">
        <x:v>Not proof of counterfeiting; requires brand and lot-level investigation.</x:v>
      </x:c>
    </x:row>
    <x:row r="315" ht="160" customHeight="1">
      <x:c r="A315" s="56" t="str">
        <x:v>REV-HHW-016</x:v>
      </x:c>
      <x:c r="B315" s="56" t="str">
        <x:v>KB020</x:v>
      </x:c>
      <x:c r="C315" s="56"/>
      <x:c r="D315" s="56" t="str">
        <x:v>Marie Claire / Editorial</x:v>
      </x:c>
      <x:c r="E315" s="56" t="str">
        <x:v>https://www.marieclaire.co.uk/beauty/skincare/haruharu-wonder-review</x:v>
      </x:c>
      <x:c r="F315" s="56"/>
      <x:c r="G315" s="56" t="str">
        <x:v>2026-08-01</x:v>
      </x:c>
      <x:c r="H315" s="56" t="str">
        <x:v>Editorial testing</x:v>
      </x:c>
      <x:c r="I315" s="56" t="str">
        <x:v>Not a consumer-purchase sample</x:v>
      </x:c>
      <x:c r="J315" s="56" t="str">
        <x:v>PR/sample relationship must be checked</x:v>
      </x:c>
      <x:c r="K315" s="56" t="str">
        <x:v>Positive Editorial</x:v>
      </x:c>
      <x:c r="L315" s="56" t="str">
        <x:v>Barrier Essence and Cleansing Oil experience</x:v>
      </x:c>
      <x:c r="M315" s="56" t="str">
        <x:v>Editorial review praised the Barrier Essence and Cleansing Oil as accessible, effective routine products.</x:v>
      </x:c>
      <x:c r="N315" s="56" t="str">
        <x:v>Hydration, elegant texture and easy routine integration.</x:v>
      </x:c>
      <x:c r="O315" s="56" t="str">
        <x:v>Editorial experience is not independent population evidence and may involve product seeding.</x:v>
      </x:c>
      <x:c r="P315" s="56" t="str">
        <x:v>Beauty-editor context</x:v>
      </x:c>
      <x:c r="Q315" s="56"/>
      <x:c r="R315" s="56" t="str">
        <x:v>Broad K-Beauty</x:v>
      </x:c>
      <x:c r="S315" s="56" t="str">
        <x:v>U.K. editorial / U.S.-relevant brand awareness</x:v>
      </x:c>
      <x:c r="T315" s="56" t="str">
        <x:v>Medium</x:v>
      </x:c>
      <x:c r="U315" s="56" t="str">
        <x:v>SRC-HHW-041</x:v>
      </x:c>
      <x:c r="V315" s="56" t="str">
        <x:v>Supporting awareness source only.</x:v>
      </x:c>
    </x:row>
  </x:sheetData>
  <x:dataValidations count="2">
    <x:dataValidation type="list" sqref="K2:K201">
      <x:formula1>"Positive,Neutral,Negative,Mixed"</x:formula1>
    </x:dataValidation>
    <x:dataValidation type="list" sqref="T2:T201">
      <x:formula1>"High,Medium,Low"</x:formula1>
    </x:dataValidation>
  </x:dataValidations>
  <x:pageMargins left="0.7" right="0.7" top="0.75" bottom="0.75" header="0.3" footer="0.3"/>
  <x:tableParts count="1">
    <x:tablePart xmlns:r="http://schemas.openxmlformats.org/officeDocument/2006/relationships" r:id="R89124c6bd97240a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34" hidden="0" customWidth="1"/>
    <x:col min="4" max="4" width="34" hidden="0" customWidth="1"/>
    <x:col min="5" max="5" width="24" hidden="0" customWidth="1"/>
    <x:col min="6" max="6" width="42" hidden="0" customWidth="1"/>
    <x:col min="7" max="7" width="22" hidden="0" customWidth="1"/>
    <x:col min="8" max="8" width="14" hidden="0" customWidth="1"/>
    <x:col min="9" max="9" width="14" hidden="0" customWidth="1"/>
    <x:col min="10" max="10" width="18" hidden="0" customWidth="1"/>
    <x:col min="11" max="11" width="18" hidden="0" customWidth="1"/>
    <x:col min="12" max="12" width="18" hidden="0" customWidth="1"/>
    <x:col min="13" max="13" width="38" hidden="0" customWidth="1"/>
    <x:col min="14" max="14" width="44" hidden="0" customWidth="1"/>
    <x:col min="15" max="15" width="16" hidden="0" customWidth="1"/>
  </x:cols>
  <x:sheetData>
    <x:row r="1">
      <x:c r="A1" s="14" t="str">
        <x:v>Source_ID</x:v>
      </x:c>
      <x:c r="B1" s="14" t="str">
        <x:v>Brand_ID</x:v>
      </x:c>
      <x:c r="C1" s="14" t="str">
        <x:v>Research Topic</x:v>
      </x:c>
      <x:c r="D1" s="14" t="str">
        <x:v>Key Claim</x:v>
      </x:c>
      <x:c r="E1" s="14" t="str">
        <x:v>Source Name</x:v>
      </x:c>
      <x:c r="F1" s="14" t="str">
        <x:v>Direct URL</x:v>
      </x:c>
      <x:c r="G1" s="14" t="str">
        <x:v>Source Type</x:v>
      </x:c>
      <x:c r="H1" s="14" t="str">
        <x:v>Publication Date</x:v>
      </x:c>
      <x:c r="I1" s="14" t="str">
        <x:v>Check Date</x:v>
      </x:c>
      <x:c r="J1" s="14" t="str">
        <x:v>Data Classification</x:v>
      </x:c>
      <x:c r="K1" s="14" t="str">
        <x:v>Confidence</x:v>
      </x:c>
      <x:c r="L1" s="14" t="str">
        <x:v>Original Reviewed</x:v>
      </x:c>
      <x:c r="M1" s="14" t="str">
        <x:v>Snapshot / File Link</x:v>
      </x:c>
      <x:c r="N1" s="14" t="str">
        <x:v>Citation / Summary Notes</x:v>
      </x:c>
      <x:c r="O1" s="14" t="str">
        <x:v>Owner</x:v>
      </x:c>
    </x:row>
    <x:row r="2" ht="90" customHeight="1">
      <x:c r="A2" s="20" t="str">
        <x:v>SRC-COSRX-001</x:v>
      </x:c>
      <x:c r="B2" s="20" t="str">
        <x:v>KB001</x:v>
      </x:c>
      <x:c r="C2" s="20" t="str">
        <x:v>Core verification — Official Website</x:v>
      </x:c>
      <x:c r="D2" s="20" t="str">
        <x:v>Official COSRX global/U.S. store is https://www.cosrx.com.</x:v>
      </x:c>
      <x:c r="E2" s="20" t="str">
        <x:v>COSRX Official</x:v>
      </x:c>
      <x:c r="F2" s="20" t="str">
        <x:v>https://www.cosrx.com</x:v>
      </x:c>
      <x:c r="G2" s="20" t="str">
        <x:v>Official Brand Site</x:v>
      </x:c>
      <x:c r="H2" s="24"/>
      <x:c r="I2" s="24" t="str">
        <x:v>2026-07-29</x:v>
      </x:c>
      <x:c r="J2" s="20" t="str">
        <x:v>Verified Fact</x:v>
      </x:c>
      <x:c r="K2" s="20" t="str">
        <x:v>High</x:v>
      </x:c>
      <x:c r="L2" s="20" t="str">
        <x:v>Yes</x:v>
      </x:c>
      <x:c r="M2" s="20"/>
      <x:c r="N2" s="20" t="str">
        <x:v>Official brand-owned domain and DTC storefront.</x:v>
      </x:c>
      <x:c r="O2" s="20" t="str">
        <x:v>Codex</x:v>
      </x:c>
    </x:row>
    <x:row r="3" ht="90" customHeight="1">
      <x:c r="A3" s="21" t="str">
        <x:v>SRC-COSRX-002</x:v>
      </x:c>
      <x:c r="B3" s="21" t="str">
        <x:v>KB001</x:v>
      </x:c>
      <x:c r="C3" s="21" t="str">
        <x:v>Core verification — Primary Category</x:v>
      </x:c>
      <x:c r="D3" s="21" t="str">
        <x:v>COSRX is primarily a skincare brand; official navigation/product catalog spans facial cleansers, toners, essences/serums, moisturizers, spot care, masks and sun care.</x:v>
      </x:c>
      <x:c r="E3" s="21" t="str">
        <x:v>COSRX Official — About / Products</x:v>
      </x:c>
      <x:c r="F3" s="21" t="str">
        <x:v>https://www.cosrx.com/pages/about-us</x:v>
      </x:c>
      <x:c r="G3" s="21" t="str">
        <x:v>Official Brand Site</x:v>
      </x:c>
      <x:c r="H3" s="25"/>
      <x:c r="I3" s="25" t="str">
        <x:v>2026-07-29</x:v>
      </x:c>
      <x:c r="J3" s="21" t="str">
        <x:v>Verified Fact</x:v>
      </x:c>
      <x:c r="K3" s="21" t="str">
        <x:v>High</x:v>
      </x:c>
      <x:c r="L3" s="21" t="str">
        <x:v>Yes</x:v>
      </x:c>
      <x:c r="M3" s="21"/>
      <x:c r="N3" s="21" t="str">
        <x:v>Brand describes the COSRX concept; catalog confirms skincare-first scope.</x:v>
      </x:c>
      <x:c r="O3" s="21" t="str">
        <x:v>Codex</x:v>
      </x:c>
    </x:row>
    <x:row r="4" ht="90" customHeight="1">
      <x:c r="A4" s="21" t="str">
        <x:v>SRC-COSRX-003</x:v>
      </x:c>
      <x:c r="B4" s="21" t="str">
        <x:v>KB001</x:v>
      </x:c>
      <x:c r="C4" s="21" t="str">
        <x:v>Core verification — Awareness</x:v>
      </x:c>
      <x:c r="D4" s="21" t="str">
        <x:v>Official verified U.S. TikTok Shop displayed 123.6K+ followers, 1.3M sold and 2,327 videos.</x:v>
      </x:c>
      <x:c r="E4" s="21" t="str">
        <x:v>COSRX US TikTok Shop</x:v>
      </x:c>
      <x:c r="F4" s="21" t="str">
        <x:v>https://shop.tiktok.com/us/store/cosrx-us/7495173442985953451</x:v>
      </x:c>
      <x:c r="G4" s="21" t="str">
        <x:v>Marketplace / Social Commerce</x:v>
      </x:c>
      <x:c r="H4" s="25"/>
      <x:c r="I4" s="25" t="str">
        <x:v>2026-07-29</x:v>
      </x:c>
      <x:c r="J4" s="21" t="str">
        <x:v>Verified Fact</x:v>
      </x:c>
      <x:c r="K4" s="21" t="str">
        <x:v>High</x:v>
      </x:c>
      <x:c r="L4" s="21" t="str">
        <x:v>Yes</x:v>
      </x:c>
      <x:c r="M4" s="21"/>
      <x:c r="N4" s="21" t="str">
        <x:v>Public platform display; totals are cumulative and not audited period revenue.</x:v>
      </x:c>
      <x:c r="O4" s="21" t="str">
        <x:v>Codex</x:v>
      </x:c>
    </x:row>
    <x:row r="5" ht="90" customHeight="1">
      <x:c r="A5" s="21" t="str">
        <x:v>SRC-COSRX-004</x:v>
      </x:c>
      <x:c r="B5" s="21" t="str">
        <x:v>KB001</x:v>
      </x:c>
      <x:c r="C5" s="21" t="str">
        <x:v>Core verification — Awareness</x:v>
      </x:c>
      <x:c r="D5" s="21" t="str">
        <x:v>Verified @cosrx Instagram profile displayed approximately 780K followers and brand/campaign highlights.</x:v>
      </x:c>
      <x:c r="E5" s="21" t="str">
        <x:v>Instagram @cosrx</x:v>
      </x:c>
      <x:c r="F5" s="21" t="str">
        <x:v>https://www.instagram.com/cosrx/</x:v>
      </x:c>
      <x:c r="G5" s="21" t="str">
        <x:v>Social Platform</x:v>
      </x:c>
      <x:c r="H5" s="25"/>
      <x:c r="I5" s="25" t="str">
        <x:v>2026-07-29</x:v>
      </x:c>
      <x:c r="J5" s="21" t="str">
        <x:v>Verified Fact</x:v>
      </x:c>
      <x:c r="K5" s="21" t="str">
        <x:v>Medium-High</x:v>
      </x:c>
      <x:c r="L5" s="21" t="str">
        <x:v>Yes</x:v>
      </x:c>
      <x:c r="M5" s="21"/>
      <x:c r="N5" s="21" t="str">
        <x:v>Follower count changes over time; public display checked directly.</x:v>
      </x:c>
      <x:c r="O5" s="21" t="str">
        <x:v>Codex</x:v>
      </x:c>
    </x:row>
    <x:row r="6" ht="90" customHeight="1">
      <x:c r="A6" s="21" t="str">
        <x:v>SRC-COSRX-005</x:v>
      </x:c>
      <x:c r="B6" s="21" t="str">
        <x:v>KB001</x:v>
      </x:c>
      <x:c r="C6" s="21" t="str">
        <x:v>Core verification — Amazon current strength</x:v>
      </x:c>
      <x:c r="D6" s="21" t="str">
        <x:v>Official-seller Snail Essence listing displayed 105,965 reviews, 4.6 rating, 40K+ bought/month, #191 Beauty &amp; Personal Care and #9 Facial Serums.</x:v>
      </x:c>
      <x:c r="E6" s="21" t="str">
        <x:v>Amazon U.S. — Snail Essence</x:v>
      </x:c>
      <x:c r="F6" s="21" t="str">
        <x:v>https://www.amazon.com/dp/B00PBX3L7K</x:v>
      </x:c>
      <x:c r="G6" s="21" t="str">
        <x:v>Marketplace</x:v>
      </x:c>
      <x:c r="H6" s="25"/>
      <x:c r="I6" s="25" t="str">
        <x:v>2026-07-29</x:v>
      </x:c>
      <x:c r="J6" s="21" t="str">
        <x:v>Verified Fact</x:v>
      </x:c>
      <x:c r="K6" s="21" t="str">
        <x:v>High</x:v>
      </x:c>
      <x:c r="L6" s="21" t="str">
        <x:v>Yes</x:v>
      </x:c>
      <x:c r="M6" s="21"/>
      <x:c r="N6" s="21" t="str">
        <x:v>Sold by COSRX and shipped by Amazon when checked. Purchase badge is not audited revenue.</x:v>
      </x:c>
      <x:c r="O6" s="21" t="str">
        <x:v>Codex</x:v>
      </x:c>
    </x:row>
    <x:row r="7" ht="90" customHeight="1">
      <x:c r="A7" s="21" t="str">
        <x:v>SRC-COSRX-006</x:v>
      </x:c>
      <x:c r="B7" s="21" t="str">
        <x:v>KB001</x:v>
      </x:c>
      <x:c r="C7" s="21" t="str">
        <x:v>Core verification — Amazon historical rank</x:v>
      </x:c>
      <x:c r="D7" s="21" t="str">
        <x:v>Amorepacific's 2Q24 material states COSRX Snail Mucin Essence ranked No. 1 on Amazon.</x:v>
      </x:c>
      <x:c r="E7" s="21" t="str">
        <x:v>Amorepacific 2Q24 Earnings Release</x:v>
      </x:c>
      <x:c r="F7" s="21" t="str">
        <x:v>https://prd-en-int.apgroup.com/int/en/investors/amorepacific-corporation/ir-reports/quarterly-results/__icsFiles/afieldfile/2024/08/05/AP_2Q24_EN_vf.pdf</x:v>
      </x:c>
      <x:c r="G7" s="21" t="str">
        <x:v>Corporate IR / PDF</x:v>
      </x:c>
      <x:c r="H7" s="25" t="str">
        <x:v>2024-08-05</x:v>
      </x:c>
      <x:c r="I7" s="25" t="str">
        <x:v>2026-07-29</x:v>
      </x:c>
      <x:c r="J7" s="21" t="str">
        <x:v>Verified Historical Fact</x:v>
      </x:c>
      <x:c r="K7" s="21" t="str">
        <x:v>High</x:v>
      </x:c>
      <x:c r="L7" s="21" t="str">
        <x:v>Yes</x:v>
      </x:c>
      <x:c r="M7" s="21"/>
      <x:c r="N7" s="21" t="str">
        <x:v>Historical rank; not the current 2026 rank.</x:v>
      </x:c>
      <x:c r="O7" s="21" t="str">
        <x:v>Codex</x:v>
      </x:c>
    </x:row>
    <x:row r="8" ht="90" customHeight="1">
      <x:c r="A8" s="21" t="str">
        <x:v>SRC-COSRX-007</x:v>
      </x:c>
      <x:c r="B8" s="21" t="str">
        <x:v>KB001</x:v>
      </x:c>
      <x:c r="C8" s="21" t="str">
        <x:v>Authorized channels / counterfeit risk</x:v>
      </x:c>
      <x:c r="D8" s="21" t="str">
        <x:v>COSRX lists U.S. official malls Amazon, TikTok and Walmart; authorized U.S. sellers Ulta, Ulta at Target, JCPenney and Urban Outfitters; products outside authorized routes are not guaranteed authentic.</x:v>
      </x:c>
      <x:c r="E8" s="21" t="str">
        <x:v>COSRX Official Stores</x:v>
      </x:c>
      <x:c r="F8" s="21" t="str">
        <x:v>https://www.cosrx.com/pages/stores</x:v>
      </x:c>
      <x:c r="G8" s="21" t="str">
        <x:v>Official Brand Site</x:v>
      </x:c>
      <x:c r="H8" s="25"/>
      <x:c r="I8" s="25" t="str">
        <x:v>2026-07-29</x:v>
      </x:c>
      <x:c r="J8" s="21" t="str">
        <x:v>Verified Fact</x:v>
      </x:c>
      <x:c r="K8" s="21" t="str">
        <x:v>High</x:v>
      </x:c>
      <x:c r="L8" s="21" t="str">
        <x:v>Yes</x:v>
      </x:c>
      <x:c r="M8" s="21"/>
      <x:c r="N8" s="21" t="str">
        <x:v>Controlling source for channel authorization and counterfeit warning.</x:v>
      </x:c>
      <x:c r="O8" s="21" t="str">
        <x:v>Codex</x:v>
      </x:c>
    </x:row>
    <x:row r="9" ht="90" customHeight="1">
      <x:c r="A9" s="21" t="str">
        <x:v>SRC-COSRX-008</x:v>
      </x:c>
      <x:c r="B9" s="21" t="str">
        <x:v>KB001</x:v>
      </x:c>
      <x:c r="C9" s="21" t="str">
        <x:v>Brand identity / company</x:v>
      </x:c>
      <x:c r="D9" s="21" t="str">
        <x:v>COSRX states customer research began in 2002 and the brand launched in 2013; name combines Cosmetics + RX.</x:v>
      </x:c>
      <x:c r="E9" s="21" t="str">
        <x:v>COSRX Official — About</x:v>
      </x:c>
      <x:c r="F9" s="21" t="str">
        <x:v>https://www.cosrx.com/pages/about-us</x:v>
      </x:c>
      <x:c r="G9" s="21" t="str">
        <x:v>Official Brand Site</x:v>
      </x:c>
      <x:c r="H9" s="25"/>
      <x:c r="I9" s="25" t="str">
        <x:v>2026-07-29</x:v>
      </x:c>
      <x:c r="J9" s="21" t="str">
        <x:v>Verified Fact</x:v>
      </x:c>
      <x:c r="K9" s="21" t="str">
        <x:v>High</x:v>
      </x:c>
      <x:c r="L9" s="21" t="str">
        <x:v>Yes</x:v>
      </x:c>
      <x:c r="M9" s="21"/>
      <x:c r="N9" s="21" t="str">
        <x:v>Brand history and positioning.</x:v>
      </x:c>
      <x:c r="O9" s="21" t="str">
        <x:v>Codex</x:v>
      </x:c>
    </x:row>
    <x:row r="10" ht="90" customHeight="1">
      <x:c r="A10" s="21" t="str">
        <x:v>SRC-COSRX-009</x:v>
      </x:c>
      <x:c r="B10" s="21" t="str">
        <x:v>KB001</x:v>
      </x:c>
      <x:c r="C10" s="21" t="str">
        <x:v>Company / founder / business scope</x:v>
      </x:c>
      <x:c r="D10" s="21" t="str">
        <x:v>COSRX Inc.; business commencement 2013; skincare, cosmetics production, wholesale and retail; founder name rendered as Jun Sang Hun.</x:v>
      </x:c>
      <x:c r="E10" s="21" t="str">
        <x:v>COSRX Official — About (archived page)</x:v>
      </x:c>
      <x:c r="F10" s="21" t="str">
        <x:v>https://www.cosrx.com/pages/about-us-old</x:v>
      </x:c>
      <x:c r="G10" s="21" t="str">
        <x:v>Official Brand Site</x:v>
      </x:c>
      <x:c r="H10" s="25"/>
      <x:c r="I10" s="25" t="str">
        <x:v>2026-07-29</x:v>
      </x:c>
      <x:c r="J10" s="21" t="str">
        <x:v>Verified Fact</x:v>
      </x:c>
      <x:c r="K10" s="21" t="str">
        <x:v>Medium-High</x:v>
      </x:c>
      <x:c r="L10" s="21" t="str">
        <x:v>Yes</x:v>
      </x:c>
      <x:c r="M10" s="21"/>
      <x:c r="N10" s="21" t="str">
        <x:v>Older official page; current legal details should be reconfirmed contractually.</x:v>
      </x:c>
      <x:c r="O10" s="21" t="str">
        <x:v>Codex</x:v>
      </x:c>
    </x:row>
    <x:row r="11" ht="90" customHeight="1">
      <x:c r="A11" s="21" t="str">
        <x:v>SRC-COSRX-010</x:v>
      </x:c>
      <x:c r="B11" s="21" t="str">
        <x:v>KB001</x:v>
      </x:c>
      <x:c r="C11" s="21" t="str">
        <x:v>Historical Amazon claim</x:v>
      </x:c>
      <x:c r="D11" s="21" t="str">
        <x:v>Brand press release said Snail Essence secured #1 Best Seller in Amazon Beauty &amp; Personal Care after TikTok virality.</x:v>
      </x:c>
      <x:c r="E11" s="21" t="str">
        <x:v>COSRX / PR Newswire</x:v>
      </x:c>
      <x:c r="F11" s="21" t="str">
        <x:v>https://www.prnewswire.com/news-releases/tiktok-viral-cosrx-snail-essence-secures-1-best-seller-position-in-amazons-beauty--personal-care-category-and-just-got-restocked-301828494.html</x:v>
      </x:c>
      <x:c r="G11" s="21" t="str">
        <x:v>Brand Press Release</x:v>
      </x:c>
      <x:c r="H11" s="25" t="str">
        <x:v>2023-05-19</x:v>
      </x:c>
      <x:c r="I11" s="25" t="str">
        <x:v>2026-07-29</x:v>
      </x:c>
      <x:c r="J11" s="21" t="str">
        <x:v>Brand Claim</x:v>
      </x:c>
      <x:c r="K11" s="21" t="str">
        <x:v>Medium</x:v>
      </x:c>
      <x:c r="L11" s="21" t="str">
        <x:v>Yes</x:v>
      </x:c>
      <x:c r="M11" s="21"/>
      <x:c r="N11" s="21" t="str">
        <x:v>Corroborative historical claim; not independent or current.</x:v>
      </x:c>
      <x:c r="O11" s="21" t="str">
        <x:v>Codex</x:v>
      </x:c>
    </x:row>
    <x:row r="12" ht="90" customHeight="1">
      <x:c r="A12" s="21" t="str">
        <x:v>SRC-COSRX-011</x:v>
      </x:c>
      <x:c r="B12" s="21" t="str">
        <x:v>KB001</x:v>
      </x:c>
      <x:c r="C12" s="21" t="str">
        <x:v>Parent-company relationship</x:v>
      </x:c>
      <x:c r="D12" s="21" t="str">
        <x:v>Amorepacific formed a strategic partnership with COSRX; article describes 2013 launch, hero products, about 40 countries and 80% overseas sales in 2021.</x:v>
      </x:c>
      <x:c r="E12" s="21" t="str">
        <x:v>Amorepacific</x:v>
      </x:c>
      <x:c r="F12" s="21" t="str">
        <x:v>https://www.apgroup.com/int/en/news/2021-09-17-b.html</x:v>
      </x:c>
      <x:c r="G12" s="21" t="str">
        <x:v>Corporate News Release</x:v>
      </x:c>
      <x:c r="H12" s="25" t="str">
        <x:v>2021-09-17</x:v>
      </x:c>
      <x:c r="I12" s="25" t="str">
        <x:v>2026-07-29</x:v>
      </x:c>
      <x:c r="J12" s="21" t="str">
        <x:v>Verified Historical Fact</x:v>
      </x:c>
      <x:c r="K12" s="21" t="str">
        <x:v>High</x:v>
      </x:c>
      <x:c r="L12" s="21" t="str">
        <x:v>Yes</x:v>
      </x:c>
      <x:c r="M12" s="21"/>
      <x:c r="N12" s="21" t="str">
        <x:v>Company-level background; not current U.S. revenue.</x:v>
      </x:c>
      <x:c r="O12" s="21" t="str">
        <x:v>Codex</x:v>
      </x:c>
    </x:row>
    <x:row r="13" ht="90" customHeight="1">
      <x:c r="A13" s="21" t="str">
        <x:v>SRC-COSRX-012</x:v>
      </x:c>
      <x:c r="B13" s="21" t="str">
        <x:v>KB001</x:v>
      </x:c>
      <x:c r="C13" s="21" t="str">
        <x:v>Ownership / acquisition</x:v>
      </x:c>
      <x:c r="D13" s="21" t="str">
        <x:v>Acquisition disclosure scheduled Amorepacific ownership of COSRX to reach 84.8% in 2024 and 93.2% in 2025; consolidation from May 2024.</x:v>
      </x:c>
      <x:c r="E13" s="21" t="str">
        <x:v>Amorepacific COSRX Acquisition Disclosure</x:v>
      </x:c>
      <x:c r="F13" s="21" t="str">
        <x:v>https://www.apgroup.com/int/en/investors/amorepacific-corporation/ir-reports/other-ir-reports/__icsFiles/afieldfile/2023/11/06/AMOREPACIFIC_COSRX_vff_en.pdf</x:v>
      </x:c>
      <x:c r="G13" s="21" t="str">
        <x:v>Corporate IR / PDF</x:v>
      </x:c>
      <x:c r="H13" s="25" t="str">
        <x:v>2023-11-06</x:v>
      </x:c>
      <x:c r="I13" s="25" t="str">
        <x:v>2026-07-29</x:v>
      </x:c>
      <x:c r="J13" s="21" t="str">
        <x:v>Verified Fact</x:v>
      </x:c>
      <x:c r="K13" s="21" t="str">
        <x:v>High</x:v>
      </x:c>
      <x:c r="L13" s="21" t="str">
        <x:v>Yes</x:v>
      </x:c>
      <x:c r="M13" s="21"/>
      <x:c r="N13" s="21" t="str">
        <x:v>Use disclosure language; current cap table should be confirmed in contracting.</x:v>
      </x:c>
      <x:c r="O13" s="21" t="str">
        <x:v>Codex</x:v>
      </x:c>
    </x:row>
    <x:row r="14" ht="90" customHeight="1">
      <x:c r="A14" s="21" t="str">
        <x:v>SRC-COSRX-013</x:v>
      </x:c>
      <x:c r="B14" s="21" t="str">
        <x:v>KB001</x:v>
      </x:c>
      <x:c r="C14" s="21" t="str">
        <x:v>Hero SKU — Snail Essence</x:v>
      </x:c>
      <x:c r="D14" s="21" t="str">
        <x:v>Official page: 100 mL, 96% snail mucin, U.S. list $25; page also makes global-sales/clinical claims.</x:v>
      </x:c>
      <x:c r="E14" s="21" t="str">
        <x:v>COSRX Official — Advanced Snail 96 Mucin Power Essence</x:v>
      </x:c>
      <x:c r="F14" s="21" t="str">
        <x:v>https://www.cosrx.com/products/advanced-snail-96-mucin-power-essence</x:v>
      </x:c>
      <x:c r="G14" s="21" t="str">
        <x:v>Official Product Page</x:v>
      </x:c>
      <x:c r="H14" s="25"/>
      <x:c r="I14" s="25" t="str">
        <x:v>2026-07-29</x:v>
      </x:c>
      <x:c r="J14" s="21" t="str">
        <x:v>Verified Product Fact / Brand Claim</x:v>
      </x:c>
      <x:c r="K14" s="21" t="str">
        <x:v>High</x:v>
      </x:c>
      <x:c r="L14" s="21" t="str">
        <x:v>Yes</x:v>
      </x:c>
      <x:c r="M14" s="21"/>
      <x:c r="N14" s="21" t="str">
        <x:v>Price, size and ingredients verified; performance/global-sales statements remain brand claims unless independently substantiated.</x:v>
      </x:c>
      <x:c r="O14" s="21" t="str">
        <x:v>Codex</x:v>
      </x:c>
    </x:row>
    <x:row r="15" ht="90" customHeight="1">
      <x:c r="A15" s="21" t="str">
        <x:v>SRC-COSRX-014</x:v>
      </x:c>
      <x:c r="B15" s="21" t="str">
        <x:v>KB001</x:v>
      </x:c>
      <x:c r="C15" s="21" t="str">
        <x:v>Hero SKU — Pimple Patch</x:v>
      </x:c>
      <x:c r="D15" s="21" t="str">
        <x:v>Official page: 24 hydrocolloid patches, U.S. list $6 and official-site rating/review display.</x:v>
      </x:c>
      <x:c r="E15" s="21" t="str">
        <x:v>COSRX Official — Acne Pimple Master Patch</x:v>
      </x:c>
      <x:c r="F15" s="21" t="str">
        <x:v>https://www.cosrx.com/products/acne-pimple-master-patch</x:v>
      </x:c>
      <x:c r="G15" s="21" t="str">
        <x:v>Official Product Page</x:v>
      </x:c>
      <x:c r="H15" s="25"/>
      <x:c r="I15" s="25" t="str">
        <x:v>2026-07-29</x:v>
      </x:c>
      <x:c r="J15" s="21" t="str">
        <x:v>Verified Product Fact</x:v>
      </x:c>
      <x:c r="K15" s="21" t="str">
        <x:v>High</x:v>
      </x:c>
      <x:c r="L15" s="21" t="str">
        <x:v>Yes</x:v>
      </x:c>
      <x:c r="M15" s="21"/>
      <x:c r="N15" s="21" t="str">
        <x:v>Acne/faster-healing language triggers U.S. claims/classification review.</x:v>
      </x:c>
      <x:c r="O15" s="21" t="str">
        <x:v>Codex</x:v>
      </x:c>
    </x:row>
    <x:row r="16" ht="90" customHeight="1">
      <x:c r="A16" s="21" t="str">
        <x:v>SRC-COSRX-015</x:v>
      </x:c>
      <x:c r="B16" s="21" t="str">
        <x:v>KB001</x:v>
      </x:c>
      <x:c r="C16" s="21" t="str">
        <x:v>Hero SKU — Low pH Cleanser</x:v>
      </x:c>
      <x:c r="D16" s="21" t="str">
        <x:v>Official page: 150 mL, U.S. list $14, pH 5.31 ± 1, betaine salicylate and tea tree.</x:v>
      </x:c>
      <x:c r="E16" s="21" t="str">
        <x:v>COSRX Official — Low pH Good Morning Gel Cleanser</x:v>
      </x:c>
      <x:c r="F16" s="21" t="str">
        <x:v>https://www.cosrx.com/products/low-ph-good-morning-gel-cleanser/1000</x:v>
      </x:c>
      <x:c r="G16" s="21" t="str">
        <x:v>Official Product Page</x:v>
      </x:c>
      <x:c r="H16" s="25"/>
      <x:c r="I16" s="25" t="str">
        <x:v>2026-07-29</x:v>
      </x:c>
      <x:c r="J16" s="21" t="str">
        <x:v>Verified Product Fact</x:v>
      </x:c>
      <x:c r="K16" s="21" t="str">
        <x:v>High</x:v>
      </x:c>
      <x:c r="L16" s="21" t="str">
        <x:v>Yes</x:v>
      </x:c>
      <x:c r="M16" s="21"/>
      <x:c r="N16" s="21" t="str">
        <x:v>Official product specifications.</x:v>
      </x:c>
      <x:c r="O16" s="21" t="str">
        <x:v>Codex</x:v>
      </x:c>
    </x:row>
    <x:row r="17" ht="90" customHeight="1">
      <x:c r="A17" s="21" t="str">
        <x:v>SRC-COSRX-016</x:v>
      </x:c>
      <x:c r="B17" s="21" t="str">
        <x:v>KB001</x:v>
      </x:c>
      <x:c r="C17" s="21" t="str">
        <x:v>Hero SKU — 6 Peptide</x:v>
      </x:c>
      <x:c r="D17" s="21" t="str">
        <x:v>Official page: 150 mL, U.S. list $25, six-peptide/niacinamide/hyaluronic-acid booster positioning.</x:v>
      </x:c>
      <x:c r="E17" s="21" t="str">
        <x:v>COSRX Official — The 6 Peptide Skin Booster Serum</x:v>
      </x:c>
      <x:c r="F17" s="21" t="str">
        <x:v>https://www.cosrx.com/products/the-6-peptide-skin-booster-serum</x:v>
      </x:c>
      <x:c r="G17" s="21" t="str">
        <x:v>Official Product Page</x:v>
      </x:c>
      <x:c r="H17" s="25"/>
      <x:c r="I17" s="25" t="str">
        <x:v>2026-07-29</x:v>
      </x:c>
      <x:c r="J17" s="21" t="str">
        <x:v>Verified Product Fact</x:v>
      </x:c>
      <x:c r="K17" s="21" t="str">
        <x:v>High</x:v>
      </x:c>
      <x:c r="L17" s="21" t="str">
        <x:v>Yes</x:v>
      </x:c>
      <x:c r="M17" s="21"/>
      <x:c r="N17" s="21" t="str">
        <x:v>Clinical/performance statements remain brand claims pending file review.</x:v>
      </x:c>
      <x:c r="O17" s="21" t="str">
        <x:v>Codex</x:v>
      </x:c>
    </x:row>
    <x:row r="18" ht="90" customHeight="1">
      <x:c r="A18" s="21" t="str">
        <x:v>SRC-COSRX-017</x:v>
      </x:c>
      <x:c r="B18" s="21" t="str">
        <x:v>KB001</x:v>
      </x:c>
      <x:c r="C18" s="21" t="str">
        <x:v>Hero SKU — Snail Cream</x:v>
      </x:c>
      <x:c r="D18" s="21" t="str">
        <x:v>Official page: 100 g, U.S. list $26, 92% snail secretion filtrate.</x:v>
      </x:c>
      <x:c r="E18" s="21" t="str">
        <x:v>COSRX Official — Advanced Snail 92 All In One Cream</x:v>
      </x:c>
      <x:c r="F18" s="21" t="str">
        <x:v>https://www.cosrx.com/products/advanced-snail-92-all-in-one-cream</x:v>
      </x:c>
      <x:c r="G18" s="21" t="str">
        <x:v>Official Product Page</x:v>
      </x:c>
      <x:c r="H18" s="25"/>
      <x:c r="I18" s="25" t="str">
        <x:v>2026-07-29</x:v>
      </x:c>
      <x:c r="J18" s="21" t="str">
        <x:v>Verified Product Fact</x:v>
      </x:c>
      <x:c r="K18" s="21" t="str">
        <x:v>High</x:v>
      </x:c>
      <x:c r="L18" s="21" t="str">
        <x:v>Yes</x:v>
      </x:c>
      <x:c r="M18" s="21"/>
      <x:c r="N18" s="21" t="str">
        <x:v>Claims such as repair/anti-aging require substantiation review.</x:v>
      </x:c>
      <x:c r="O18" s="21" t="str">
        <x:v>Codex</x:v>
      </x:c>
    </x:row>
    <x:row r="19" ht="90" customHeight="1">
      <x:c r="A19" s="21" t="str">
        <x:v>SRC-COSRX-018</x:v>
      </x:c>
      <x:c r="B19" s="21" t="str">
        <x:v>KB001</x:v>
      </x:c>
      <x:c r="C19" s="21" t="str">
        <x:v>Amazon — Low pH Cleanser</x:v>
      </x:c>
      <x:c r="D19" s="21" t="str">
        <x:v>Official seller listing displayed $11.90, 21,110 reviews, 4.5 rating, 10K+ bought/month and #9 Facial Cleansing Gels.</x:v>
      </x:c>
      <x:c r="E19" s="21" t="str">
        <x:v>Amazon U.S.</x:v>
      </x:c>
      <x:c r="F19" s="21" t="str">
        <x:v>https://www.amazon.com/dp/B016NRXO06</x:v>
      </x:c>
      <x:c r="G19" s="21" t="str">
        <x:v>Marketplace</x:v>
      </x:c>
      <x:c r="H19" s="25"/>
      <x:c r="I19" s="25" t="str">
        <x:v>2026-07-29</x:v>
      </x:c>
      <x:c r="J19" s="21" t="str">
        <x:v>Verified Fact</x:v>
      </x:c>
      <x:c r="K19" s="21" t="str">
        <x:v>High</x:v>
      </x:c>
      <x:c r="L19" s="21" t="str">
        <x:v>Yes</x:v>
      </x:c>
      <x:c r="M19" s="21"/>
      <x:c r="N19" s="21" t="str">
        <x:v>Sold by COSRX, shipped by Amazon when checked.</x:v>
      </x:c>
      <x:c r="O19" s="21" t="str">
        <x:v>Codex</x:v>
      </x:c>
    </x:row>
    <x:row r="20" ht="90" customHeight="1">
      <x:c r="A20" s="21" t="str">
        <x:v>SRC-COSRX-019</x:v>
      </x:c>
      <x:c r="B20" s="21" t="str">
        <x:v>KB001</x:v>
      </x:c>
      <x:c r="C20" s="21" t="str">
        <x:v>Amazon — Pimple Patch</x:v>
      </x:c>
      <x:c r="D20" s="21" t="str">
        <x:v>48-count official seller listing displayed $8.89, 63,102 reviews, 4.5 rating, Amazon's Choice and 4K+ bought/month.</x:v>
      </x:c>
      <x:c r="E20" s="21" t="str">
        <x:v>Amazon U.S.</x:v>
      </x:c>
      <x:c r="F20" s="21" t="str">
        <x:v>https://www.amazon.com/dp/B0DFH3MPWL</x:v>
      </x:c>
      <x:c r="G20" s="21" t="str">
        <x:v>Marketplace</x:v>
      </x:c>
      <x:c r="H20" s="25"/>
      <x:c r="I20" s="25" t="str">
        <x:v>2026-07-29</x:v>
      </x:c>
      <x:c r="J20" s="21" t="str">
        <x:v>Verified Fact</x:v>
      </x:c>
      <x:c r="K20" s="21" t="str">
        <x:v>High</x:v>
      </x:c>
      <x:c r="L20" s="21" t="str">
        <x:v>Yes</x:v>
      </x:c>
      <x:c r="M20" s="21"/>
      <x:c r="N20" s="21" t="str">
        <x:v>Pack differs from 24-count hero SKU; older ASIN returned Page Not Found.</x:v>
      </x:c>
      <x:c r="O20" s="21" t="str">
        <x:v>Codex</x:v>
      </x:c>
    </x:row>
    <x:row r="21" ht="90" customHeight="1">
      <x:c r="A21" s="21" t="str">
        <x:v>SRC-COSRX-020</x:v>
      </x:c>
      <x:c r="B21" s="21" t="str">
        <x:v>KB001</x:v>
      </x:c>
      <x:c r="C21" s="21" t="str">
        <x:v>Amazon — 6 Peptide</x:v>
      </x:c>
      <x:c r="D21" s="21" t="str">
        <x:v>Official seller listing displayed $21, 12,363 reviews, 4.6 rating and 10K+ bought/month.</x:v>
      </x:c>
      <x:c r="E21" s="21" t="str">
        <x:v>Amazon U.S.</x:v>
      </x:c>
      <x:c r="F21" s="21" t="str">
        <x:v>https://www.amazon.com/dp/B0CCJ3SRB9</x:v>
      </x:c>
      <x:c r="G21" s="21" t="str">
        <x:v>Marketplace</x:v>
      </x:c>
      <x:c r="H21" s="25"/>
      <x:c r="I21" s="25" t="str">
        <x:v>2026-07-29</x:v>
      </x:c>
      <x:c r="J21" s="21" t="str">
        <x:v>Verified Fact</x:v>
      </x:c>
      <x:c r="K21" s="21" t="str">
        <x:v>High</x:v>
      </x:c>
      <x:c r="L21" s="21" t="str">
        <x:v>Yes</x:v>
      </x:c>
      <x:c r="M21" s="21"/>
      <x:c r="N21" s="21" t="str">
        <x:v>Title uses 6X Peptide naming on current page.</x:v>
      </x:c>
      <x:c r="O21" s="21" t="str">
        <x:v>Codex</x:v>
      </x:c>
    </x:row>
    <x:row r="22" ht="90" customHeight="1">
      <x:c r="A22" s="21" t="str">
        <x:v>SRC-COSRX-021</x:v>
      </x:c>
      <x:c r="B22" s="21" t="str">
        <x:v>KB001</x:v>
      </x:c>
      <x:c r="C22" s="21" t="str">
        <x:v>Amazon — Snail Cream</x:v>
      </x:c>
      <x:c r="D22" s="21" t="str">
        <x:v>Official seller listing displayed $19.99, 61,571 reviews, 4.5 rating and 10K+ bought/month.</x:v>
      </x:c>
      <x:c r="E22" s="21" t="str">
        <x:v>Amazon U.S.</x:v>
      </x:c>
      <x:c r="F22" s="21" t="str">
        <x:v>https://www.amazon.com/dp/B01LEJ5MSK</x:v>
      </x:c>
      <x:c r="G22" s="21" t="str">
        <x:v>Marketplace</x:v>
      </x:c>
      <x:c r="H22" s="25"/>
      <x:c r="I22" s="25" t="str">
        <x:v>2026-07-29</x:v>
      </x:c>
      <x:c r="J22" s="21" t="str">
        <x:v>Verified Fact</x:v>
      </x:c>
      <x:c r="K22" s="21" t="str">
        <x:v>High</x:v>
      </x:c>
      <x:c r="L22" s="21" t="str">
        <x:v>Yes</x:v>
      </x:c>
      <x:c r="M22" s="21"/>
      <x:c r="N22" s="21" t="str">
        <x:v>Sold by COSRX, shipped by Amazon when checked.</x:v>
      </x:c>
      <x:c r="O22" s="21" t="str">
        <x:v>Codex</x:v>
      </x:c>
    </x:row>
    <x:row r="23" ht="90" customHeight="1">
      <x:c r="A23" s="21" t="str">
        <x:v>SRC-COSRX-022</x:v>
      </x:c>
      <x:c r="B23" s="21" t="str">
        <x:v>KB001</x:v>
      </x:c>
      <x:c r="C23" s="21" t="str">
        <x:v>Social-commerce campaign</x:v>
      </x:c>
      <x:c r="D23" s="21" t="str">
        <x:v>TikTok case study reports #PatThePeptide campaign metrics including 3.3× video creation vs benchmark, brand-preference lift, GMV lift, ROAS uplift, Amazon traffic/view increases and three-day sellouts.</x:v>
      </x:c>
      <x:c r="E23" s="21" t="str">
        <x:v>TikTok for Business — COSRX Case Study</x:v>
      </x:c>
      <x:c r="F23" s="21" t="str">
        <x:v>https://ads.tiktok.com/business/en-US/inspiration/cosrx-us</x:v>
      </x:c>
      <x:c r="G23" s="21" t="str">
        <x:v>Platform Case Study</x:v>
      </x:c>
      <x:c r="H23" s="25"/>
      <x:c r="I23" s="25" t="str">
        <x:v>2026-07-29</x:v>
      </x:c>
      <x:c r="J23" s="21" t="str">
        <x:v>Platform / Advertiser Claim</x:v>
      </x:c>
      <x:c r="K23" s="21" t="str">
        <x:v>Medium</x:v>
      </x:c>
      <x:c r="L23" s="21" t="str">
        <x:v>Yes</x:v>
      </x:c>
      <x:c r="M23" s="21"/>
      <x:c r="N23" s="21" t="str">
        <x:v>Campaign-specific and reported by the advertising platform; not a steady-state sales baseline.</x:v>
      </x:c>
      <x:c r="O23" s="21" t="str">
        <x:v>Codex</x:v>
      </x:c>
    </x:row>
    <x:row r="24" ht="90" customHeight="1">
      <x:c r="A24" s="21" t="str">
        <x:v>SRC-COSRX-023</x:v>
      </x:c>
      <x:c r="B24" s="21" t="str">
        <x:v>KB001</x:v>
      </x:c>
      <x:c r="C24" s="21" t="str">
        <x:v>TikTok Shop hero-product sales displays</x:v>
      </x:c>
      <x:c r="D24" s="21" t="str">
        <x:v>Official shop displayed Snail Essence 43.9K sold, 6 Peptide 52.0K sold and Snail Cream 24.6K sold with ratings/prices.</x:v>
      </x:c>
      <x:c r="E24" s="21" t="str">
        <x:v>COSRX US TikTok Shop</x:v>
      </x:c>
      <x:c r="F24" s="21" t="str">
        <x:v>https://shop.tiktok.com/us/store/cosrx-us/7495173442985953451</x:v>
      </x:c>
      <x:c r="G24" s="21" t="str">
        <x:v>Marketplace / Social Commerce</x:v>
      </x:c>
      <x:c r="H24" s="25"/>
      <x:c r="I24" s="25" t="str">
        <x:v>2026-07-29</x:v>
      </x:c>
      <x:c r="J24" s="21" t="str">
        <x:v>Verified Platform Display</x:v>
      </x:c>
      <x:c r="K24" s="21" t="str">
        <x:v>Medium-High</x:v>
      </x:c>
      <x:c r="L24" s="21" t="str">
        <x:v>Yes</x:v>
      </x:c>
      <x:c r="M24" s="21"/>
      <x:c r="N24" s="21" t="str">
        <x:v>Sold counts are public cumulative displays; period and audit status not stated.</x:v>
      </x:c>
      <x:c r="O24" s="21" t="str">
        <x:v>Codex</x:v>
      </x:c>
    </x:row>
    <x:row r="25" ht="90" customHeight="1">
      <x:c r="A25" s="21" t="str">
        <x:v>SRC-COSRX-024</x:v>
      </x:c>
      <x:c r="B25" s="21" t="str">
        <x:v>KB001</x:v>
      </x:c>
      <x:c r="C25" s="21" t="str">
        <x:v>TikTok Shop cleanser display</x:v>
      </x:c>
      <x:c r="D25" s="21" t="str">
        <x:v>Official product page displayed 23.2K sold, 4.6 rating and a flash price of $8.25.</x:v>
      </x:c>
      <x:c r="E25" s="21" t="str">
        <x:v>COSRX US TikTok Shop — Low pH Cleanser</x:v>
      </x:c>
      <x:c r="F25" s="21" t="str">
        <x:v>https://shop.tiktok.com/us/pdp/low-ph-good-morning-gel-cleanser-by-cosrx-soothing-formula-for-sensitive-skin/1729440499725275307</x:v>
      </x:c>
      <x:c r="G25" s="21" t="str">
        <x:v>Marketplace / Social Commerce</x:v>
      </x:c>
      <x:c r="H25" s="25"/>
      <x:c r="I25" s="25" t="str">
        <x:v>2026-07-29</x:v>
      </x:c>
      <x:c r="J25" s="21" t="str">
        <x:v>Verified Platform Display</x:v>
      </x:c>
      <x:c r="K25" s="21" t="str">
        <x:v>Medium-High</x:v>
      </x:c>
      <x:c r="L25" s="21" t="str">
        <x:v>Yes</x:v>
      </x:c>
      <x:c r="M25" s="21"/>
      <x:c r="N25" s="21" t="str">
        <x:v>Promotion-sensitive and not audited sell-through.</x:v>
      </x:c>
      <x:c r="O25" s="21" t="str">
        <x:v>Codex</x:v>
      </x:c>
    </x:row>
    <x:row r="26" ht="90" customHeight="1">
      <x:c r="A26" s="21" t="str">
        <x:v>SRC-COSRX-025</x:v>
      </x:c>
      <x:c r="B26" s="21" t="str">
        <x:v>KB001</x:v>
      </x:c>
      <x:c r="C26" s="21" t="str">
        <x:v>Ulta assortment</x:v>
      </x:c>
      <x:c r="D26" s="21" t="str">
        <x:v>Ulta COSRX brand page displayed 46 products, demonstrating broad U.S. specialty-retail assortment.</x:v>
      </x:c>
      <x:c r="E26" s="21" t="str">
        <x:v>Ulta Beauty — COSRX Brand</x:v>
      </x:c>
      <x:c r="F26" s="21" t="str">
        <x:v>https://www.ulta.com/brand/cosrx?category=skin+care&amp;sort=price_asc</x:v>
      </x:c>
      <x:c r="G26" s="21" t="str">
        <x:v>Authorized Retailer</x:v>
      </x:c>
      <x:c r="H26" s="25"/>
      <x:c r="I26" s="25" t="str">
        <x:v>2026-07-29</x:v>
      </x:c>
      <x:c r="J26" s="21" t="str">
        <x:v>Verified Fact</x:v>
      </x:c>
      <x:c r="K26" s="21" t="str">
        <x:v>High</x:v>
      </x:c>
      <x:c r="L26" s="21" t="str">
        <x:v>Yes</x:v>
      </x:c>
      <x:c r="M26" s="21"/>
      <x:c r="N26" s="21" t="str">
        <x:v>Assortment count changes over time.</x:v>
      </x:c>
      <x:c r="O26" s="21" t="str">
        <x:v>Codex</x:v>
      </x:c>
    </x:row>
    <x:row r="27" ht="90" customHeight="1">
      <x:c r="A27" s="21" t="str">
        <x:v>SRC-COSRX-026</x:v>
      </x:c>
      <x:c r="B27" s="21" t="str">
        <x:v>KB001</x:v>
      </x:c>
      <x:c r="C27" s="21" t="str">
        <x:v>Ulta — Snail Essence</x:v>
      </x:c>
      <x:c r="D27" s="21" t="str">
        <x:v>Full-size listing/brand page displayed $20.90, 4.7 rating and 4,064 reviews.</x:v>
      </x:c>
      <x:c r="E27" s="21" t="str">
        <x:v>Ulta Beauty</x:v>
      </x:c>
      <x:c r="F27" s="21" t="str">
        <x:v>https://www.ulta.com/p/advanced-snail-96-mucin-power-essence-xlsImpprod15641052?sku=2504912</x:v>
      </x:c>
      <x:c r="G27" s="21" t="str">
        <x:v>Authorized Retailer</x:v>
      </x:c>
      <x:c r="H27" s="25"/>
      <x:c r="I27" s="25" t="str">
        <x:v>2026-07-29</x:v>
      </x:c>
      <x:c r="J27" s="21" t="str">
        <x:v>Verified Fact</x:v>
      </x:c>
      <x:c r="K27" s="21" t="str">
        <x:v>High</x:v>
      </x:c>
      <x:c r="L27" s="21" t="str">
        <x:v>Yes</x:v>
      </x:c>
      <x:c r="M27" s="21"/>
      <x:c r="N27" s="21" t="str">
        <x:v>Retailer price and cumulative review display.</x:v>
      </x:c>
      <x:c r="O27" s="21" t="str">
        <x:v>Codex</x:v>
      </x:c>
    </x:row>
    <x:row r="28" ht="90" customHeight="1">
      <x:c r="A28" s="21" t="str">
        <x:v>SRC-COSRX-027</x:v>
      </x:c>
      <x:c r="B28" s="21" t="str">
        <x:v>KB001</x:v>
      </x:c>
      <x:c r="C28" s="21" t="str">
        <x:v>Ulta — Pimple Patch</x:v>
      </x:c>
      <x:c r="D28" s="21" t="str">
        <x:v>24-count listing displayed $6, 4.6 rating and 722 reviews.</x:v>
      </x:c>
      <x:c r="E28" s="21" t="str">
        <x:v>Ulta Beauty</x:v>
      </x:c>
      <x:c r="F28" s="21" t="str">
        <x:v>https://www.ulta.com/p/acne-pimple-master-patch-original-care-xlsImpprod16661021</x:v>
      </x:c>
      <x:c r="G28" s="21" t="str">
        <x:v>Authorized Retailer</x:v>
      </x:c>
      <x:c r="H28" s="25"/>
      <x:c r="I28" s="25" t="str">
        <x:v>2026-07-29</x:v>
      </x:c>
      <x:c r="J28" s="21" t="str">
        <x:v>Verified Fact</x:v>
      </x:c>
      <x:c r="K28" s="21" t="str">
        <x:v>High</x:v>
      </x:c>
      <x:c r="L28" s="21" t="str">
        <x:v>Yes</x:v>
      </x:c>
      <x:c r="M28" s="21"/>
      <x:c r="N28" s="21" t="str">
        <x:v>Retailer price and cumulative review display.</x:v>
      </x:c>
      <x:c r="O28" s="21" t="str">
        <x:v>Codex</x:v>
      </x:c>
    </x:row>
    <x:row r="29" ht="90" customHeight="1">
      <x:c r="A29" s="21" t="str">
        <x:v>SRC-COSRX-028</x:v>
      </x:c>
      <x:c r="B29" s="21" t="str">
        <x:v>KB001</x:v>
      </x:c>
      <x:c r="C29" s="21" t="str">
        <x:v>Ulta — Low pH Cleanser</x:v>
      </x:c>
      <x:c r="D29" s="21" t="str">
        <x:v>Listing displayed $14, 4.2 rating and 191 reviews; consumer themes include gentle/value positives and scent/dryness negatives.</x:v>
      </x:c>
      <x:c r="E29" s="21" t="str">
        <x:v>Ulta Beauty</x:v>
      </x:c>
      <x:c r="F29" s="21" t="str">
        <x:v>https://www.ulta.com/p/low-ph-good-morning-gel-cleanser-xlsImpprod16661017</x:v>
      </x:c>
      <x:c r="G29" s="21" t="str">
        <x:v>Authorized Retailer</x:v>
      </x:c>
      <x:c r="H29" s="25"/>
      <x:c r="I29" s="25" t="str">
        <x:v>2026-07-29</x:v>
      </x:c>
      <x:c r="J29" s="21" t="str">
        <x:v>Verified Fact / Consumer Evidence</x:v>
      </x:c>
      <x:c r="K29" s="21" t="str">
        <x:v>High</x:v>
      </x:c>
      <x:c r="L29" s="21" t="str">
        <x:v>Yes</x:v>
      </x:c>
      <x:c r="M29" s="21"/>
      <x:c r="N29" s="21" t="str">
        <x:v>Aggregate summary; individual experience varies.</x:v>
      </x:c>
      <x:c r="O29" s="21" t="str">
        <x:v>Codex</x:v>
      </x:c>
    </x:row>
    <x:row r="30" ht="90" customHeight="1">
      <x:c r="A30" s="21" t="str">
        <x:v>SRC-COSRX-029</x:v>
      </x:c>
      <x:c r="B30" s="21" t="str">
        <x:v>KB001</x:v>
      </x:c>
      <x:c r="C30" s="21" t="str">
        <x:v>Ulta — 6 Peptide</x:v>
      </x:c>
      <x:c r="D30" s="21" t="str">
        <x:v>Listing displayed $21, 4.6 rating and 5,336 reviews; positive layering/value and some breakout/no-effect themes.</x:v>
      </x:c>
      <x:c r="E30" s="21" t="str">
        <x:v>Ulta Beauty</x:v>
      </x:c>
      <x:c r="F30" s="21" t="str">
        <x:v>https://www.ulta.com/p/6-peptide-skin-booster-serum-with-niacinamide-hyaluronic-acid-pimprod2042968</x:v>
      </x:c>
      <x:c r="G30" s="21" t="str">
        <x:v>Authorized Retailer</x:v>
      </x:c>
      <x:c r="H30" s="25"/>
      <x:c r="I30" s="25" t="str">
        <x:v>2026-07-29</x:v>
      </x:c>
      <x:c r="J30" s="21" t="str">
        <x:v>Verified Fact / Consumer Evidence</x:v>
      </x:c>
      <x:c r="K30" s="21" t="str">
        <x:v>High</x:v>
      </x:c>
      <x:c r="L30" s="21" t="str">
        <x:v>Yes</x:v>
      </x:c>
      <x:c r="M30" s="21"/>
      <x:c r="N30" s="21" t="str">
        <x:v>Retailer price and review snapshot.</x:v>
      </x:c>
      <x:c r="O30" s="21" t="str">
        <x:v>Codex</x:v>
      </x:c>
    </x:row>
    <x:row r="31" ht="90" customHeight="1">
      <x:c r="A31" s="21" t="str">
        <x:v>SRC-COSRX-030</x:v>
      </x:c>
      <x:c r="B31" s="21" t="str">
        <x:v>KB001</x:v>
      </x:c>
      <x:c r="C31" s="21" t="str">
        <x:v>Ulta — Snail Cream</x:v>
      </x:c>
      <x:c r="D31" s="21" t="str">
        <x:v>Listing displayed $21.90, 4.6 rating and 2,016 reviews; strong moisturization with texture/tolerance polarization.</x:v>
      </x:c>
      <x:c r="E31" s="21" t="str">
        <x:v>Ulta Beauty</x:v>
      </x:c>
      <x:c r="F31" s="21" t="str">
        <x:v>https://www.ulta.com/p/advanced-snail-92-all-in-one-cream-pimprod2038492</x:v>
      </x:c>
      <x:c r="G31" s="21" t="str">
        <x:v>Authorized Retailer</x:v>
      </x:c>
      <x:c r="H31" s="25"/>
      <x:c r="I31" s="25" t="str">
        <x:v>2026-07-29</x:v>
      </x:c>
      <x:c r="J31" s="21" t="str">
        <x:v>Verified Fact / Consumer Evidence</x:v>
      </x:c>
      <x:c r="K31" s="21" t="str">
        <x:v>High</x:v>
      </x:c>
      <x:c r="L31" s="21" t="str">
        <x:v>Yes</x:v>
      </x:c>
      <x:c r="M31" s="21"/>
      <x:c r="N31" s="21" t="str">
        <x:v>Retailer price and review snapshot.</x:v>
      </x:c>
      <x:c r="O31" s="21" t="str">
        <x:v>Codex</x:v>
      </x:c>
    </x:row>
    <x:row r="32" ht="90" customHeight="1">
      <x:c r="A32" s="21" t="str">
        <x:v>SRC-COSRX-031</x:v>
      </x:c>
      <x:c r="B32" s="21" t="str">
        <x:v>KB001</x:v>
      </x:c>
      <x:c r="C32" s="21" t="str">
        <x:v>Target presence</x:v>
      </x:c>
      <x:c r="D32" s="21" t="str">
        <x:v>Ulta Beauty at Target page exists and displayed a mini Snail Essence at $8.50 with 4.56 rating and 3,676 reviews.</x:v>
      </x:c>
      <x:c r="E32" s="21" t="str">
        <x:v>Target</x:v>
      </x:c>
      <x:c r="F32" s="21" t="str">
        <x:v>https://www.target.com/p/-/A-91022725</x:v>
      </x:c>
      <x:c r="G32" s="21" t="str">
        <x:v>Authorized Retailer</x:v>
      </x:c>
      <x:c r="H32" s="25"/>
      <x:c r="I32" s="25" t="str">
        <x:v>2026-07-29</x:v>
      </x:c>
      <x:c r="J32" s="21" t="str">
        <x:v>Verified Fact</x:v>
      </x:c>
      <x:c r="K32" s="21" t="str">
        <x:v>High</x:v>
      </x:c>
      <x:c r="L32" s="21" t="str">
        <x:v>Yes</x:v>
      </x:c>
      <x:c r="M32" s="21"/>
      <x:c r="N32" s="21" t="str">
        <x:v>Mini size; not directly comparable with 100 mL hero price.</x:v>
      </x:c>
      <x:c r="O32" s="21" t="str">
        <x:v>Codex</x:v>
      </x:c>
    </x:row>
    <x:row r="33" ht="90" customHeight="1">
      <x:c r="A33" s="21" t="str">
        <x:v>SRC-COSRX-032</x:v>
      </x:c>
      <x:c r="B33" s="21" t="str">
        <x:v>KB001</x:v>
      </x:c>
      <x:c r="C33" s="21" t="str">
        <x:v>Walmart presence / access limitation</x:v>
      </x:c>
      <x:c r="D33" s="21" t="str">
        <x:v>COSRX product page exists and public result displayed 3.7 rating/188 ratings; direct page presented an access-verification screen, so current seller and price were unable to be verified.</x:v>
      </x:c>
      <x:c r="E33" s="21" t="str">
        <x:v>Walmart</x:v>
      </x:c>
      <x:c r="F33" s="21" t="str">
        <x:v>https://www.walmart.com/ip/362279009</x:v>
      </x:c>
      <x:c r="G33" s="21" t="str">
        <x:v>Retailer</x:v>
      </x:c>
      <x:c r="H33" s="25"/>
      <x:c r="I33" s="25" t="str">
        <x:v>2026-07-29</x:v>
      </x:c>
      <x:c r="J33" s="21" t="str">
        <x:v>Partially Verified</x:v>
      </x:c>
      <x:c r="K33" s="21" t="str">
        <x:v>Medium</x:v>
      </x:c>
      <x:c r="L33" s="21" t="str">
        <x:v>Yes</x:v>
      </x:c>
      <x:c r="M33" s="21"/>
      <x:c r="N33" s="21" t="str">
        <x:v>Official channel status comes from SRC-COSRX-007. No bypass attempt was made.</x:v>
      </x:c>
      <x:c r="O33" s="21" t="str">
        <x:v>Codex</x:v>
      </x:c>
    </x:row>
    <x:row r="34" ht="90" customHeight="1">
      <x:c r="A34" s="21" t="str">
        <x:v>SRC-COSRX-033</x:v>
      </x:c>
      <x:c r="B34" s="21" t="str">
        <x:v>KB001</x:v>
      </x:c>
      <x:c r="C34" s="21" t="str">
        <x:v>Reddit consumer feedback</x:v>
      </x:c>
      <x:c r="D34" s="21" t="str">
        <x:v>Mixed discussion: plumping/hydration, less-than-viral glass-skin expectations, sticky texture and use under moisturizer.</x:v>
      </x:c>
      <x:c r="E34" s="21" t="str">
        <x:v>Reddit r/Ulta</x:v>
      </x:c>
      <x:c r="F34" s="21" t="str">
        <x:v>https://www.reddit.com/r/Ulta/comments/15o3zo0</x:v>
      </x:c>
      <x:c r="G34" s="21" t="str">
        <x:v>Consumer Forum</x:v>
      </x:c>
      <x:c r="H34" s="25"/>
      <x:c r="I34" s="25" t="str">
        <x:v>2026-07-29</x:v>
      </x:c>
      <x:c r="J34" s="21" t="str">
        <x:v>Anecdotal</x:v>
      </x:c>
      <x:c r="K34" s="21" t="str">
        <x:v>Medium</x:v>
      </x:c>
      <x:c r="L34" s="21" t="str">
        <x:v>Yes</x:v>
      </x:c>
      <x:c r="M34" s="21"/>
      <x:c r="N34" s="21" t="str">
        <x:v>Small, non-representative thread.</x:v>
      </x:c>
      <x:c r="O34" s="21" t="str">
        <x:v>Codex</x:v>
      </x:c>
    </x:row>
    <x:row r="35" ht="90" customHeight="1">
      <x:c r="A35" s="21" t="str">
        <x:v>SRC-COSRX-034</x:v>
      </x:c>
      <x:c r="B35" s="21" t="str">
        <x:v>KB001</x:v>
      </x:c>
      <x:c r="C35" s="21" t="str">
        <x:v>Reddit consumer feedback</x:v>
      </x:c>
      <x:c r="D35" s="21" t="str">
        <x:v>Positive single-user post: TikTok discovery, oily/breakout-prone use, non-greasy experience and repurchase.</x:v>
      </x:c>
      <x:c r="E35" s="21" t="str">
        <x:v>Reddit r/PanPorn</x:v>
      </x:c>
      <x:c r="F35" s="21" t="str">
        <x:v>https://www.reddit.com/r/PanPorn/comments/10atcss</x:v>
      </x:c>
      <x:c r="G35" s="21" t="str">
        <x:v>Consumer Forum</x:v>
      </x:c>
      <x:c r="H35" s="25"/>
      <x:c r="I35" s="25" t="str">
        <x:v>2026-07-29</x:v>
      </x:c>
      <x:c r="J35" s="21" t="str">
        <x:v>Anecdotal</x:v>
      </x:c>
      <x:c r="K35" s="21" t="str">
        <x:v>Low-Medium</x:v>
      </x:c>
      <x:c r="L35" s="21" t="str">
        <x:v>Yes</x:v>
      </x:c>
      <x:c r="M35" s="21"/>
      <x:c r="N35" s="21" t="str">
        <x:v>Single-user evidence; U.S. status not verified.</x:v>
      </x:c>
      <x:c r="O35" s="21" t="str">
        <x:v>Codex</x:v>
      </x:c>
    </x:row>
    <x:row r="36" ht="90" customHeight="1">
      <x:c r="A36" s="21" t="str">
        <x:v>SRC-COSRX-035</x:v>
      </x:c>
      <x:c r="B36" s="21" t="str">
        <x:v>KB001</x:v>
      </x:c>
      <x:c r="C36" s="21" t="str">
        <x:v>Reddit consumer feedback</x:v>
      </x:c>
      <x:c r="D36" s="21" t="str">
        <x:v>Polarized discussion: holy-grail longevity for some, cystic acne/breakouts for others; allergy concerns raised.</x:v>
      </x:c>
      <x:c r="E36" s="21" t="str">
        <x:v>Reddit r/SkincareAddiction</x:v>
      </x:c>
      <x:c r="F36" s="21" t="str">
        <x:v>https://www.reddit.com/r/SkincareAddiction/comments/14fb2uv</x:v>
      </x:c>
      <x:c r="G36" s="21" t="str">
        <x:v>Consumer Forum</x:v>
      </x:c>
      <x:c r="H36" s="25"/>
      <x:c r="I36" s="25" t="str">
        <x:v>2026-07-29</x:v>
      </x:c>
      <x:c r="J36" s="21" t="str">
        <x:v>Anecdotal</x:v>
      </x:c>
      <x:c r="K36" s="21" t="str">
        <x:v>Medium</x:v>
      </x:c>
      <x:c r="L36" s="21" t="str">
        <x:v>Yes</x:v>
      </x:c>
      <x:c r="M36" s="21"/>
      <x:c r="N36" s="21" t="str">
        <x:v>No medical conclusion should be drawn from the thread.</x:v>
      </x:c>
      <x:c r="O36" s="21" t="str">
        <x:v>Codex</x:v>
      </x:c>
    </x:row>
    <x:row r="37" ht="90" customHeight="1">
      <x:c r="A37" s="21" t="str">
        <x:v>SRC-COSRX-036</x:v>
      </x:c>
      <x:c r="B37" s="21" t="str">
        <x:v>KB001</x:v>
      </x:c>
      <x:c r="C37" s="21" t="str">
        <x:v>Reddit consumer feedback</x:v>
      </x:c>
      <x:c r="D37" s="21" t="str">
        <x:v>Long-term positive use and first-K-Beauty-product narrative; allergy concern mentioned by consumers.</x:v>
      </x:c>
      <x:c r="E37" s="21" t="str">
        <x:v>Reddit r/AsianBeauty</x:v>
      </x:c>
      <x:c r="F37" s="21" t="str">
        <x:v>https://www.reddit.com/r/AsianBeauty/comments/1g9zhhy</x:v>
      </x:c>
      <x:c r="G37" s="21" t="str">
        <x:v>Consumer Forum</x:v>
      </x:c>
      <x:c r="H37" s="25"/>
      <x:c r="I37" s="25" t="str">
        <x:v>2026-07-29</x:v>
      </x:c>
      <x:c r="J37" s="21" t="str">
        <x:v>Anecdotal</x:v>
      </x:c>
      <x:c r="K37" s="21" t="str">
        <x:v>Low-Medium</x:v>
      </x:c>
      <x:c r="L37" s="21" t="str">
        <x:v>Yes</x:v>
      </x:c>
      <x:c r="M37" s="21"/>
      <x:c r="N37" s="21" t="str">
        <x:v>Medical/allergy interpretation requires a qualified professional.</x:v>
      </x:c>
      <x:c r="O37" s="21" t="str">
        <x:v>Codex</x:v>
      </x:c>
    </x:row>
    <x:row r="38" ht="90" customHeight="1">
      <x:c r="A38" s="21" t="str">
        <x:v>SRC-COSRX-037</x:v>
      </x:c>
      <x:c r="B38" s="21" t="str">
        <x:v>KB001</x:v>
      </x:c>
      <x:c r="C38" s="21" t="str">
        <x:v>Reddit consumer feedback</x:v>
      </x:c>
      <x:c r="D38" s="21" t="str">
        <x:v>Recent negative/mixed discussion includes no visible effect and sticky texture.</x:v>
      </x:c>
      <x:c r="E38" s="21" t="str">
        <x:v>Reddit r/AsianBeauty</x:v>
      </x:c>
      <x:c r="F38" s="21" t="str">
        <x:v>https://www.reddit.com/r/AsianBeauty/comments/1r3ijcg</x:v>
      </x:c>
      <x:c r="G38" s="21" t="str">
        <x:v>Consumer Forum</x:v>
      </x:c>
      <x:c r="H38" s="25"/>
      <x:c r="I38" s="25" t="str">
        <x:v>2026-07-29</x:v>
      </x:c>
      <x:c r="J38" s="21" t="str">
        <x:v>Anecdotal</x:v>
      </x:c>
      <x:c r="K38" s="21" t="str">
        <x:v>Low</x:v>
      </x:c>
      <x:c r="L38" s="21" t="str">
        <x:v>Yes</x:v>
      </x:c>
      <x:c r="M38" s="21"/>
      <x:c r="N38" s="21" t="str">
        <x:v>Thread is small and may change.</x:v>
      </x:c>
      <x:c r="O38" s="21" t="str">
        <x:v>Codex</x:v>
      </x:c>
    </x:row>
    <x:row r="39" ht="90" customHeight="1">
      <x:c r="A39" s="21" t="str">
        <x:v>SRC-COSRX-038</x:v>
      </x:c>
      <x:c r="B39" s="21" t="str">
        <x:v>KB001</x:v>
      </x:c>
      <x:c r="C39" s="21" t="str">
        <x:v>Competitor — Snail toner</x:v>
      </x:c>
      <x:c r="D39" s="21" t="str">
        <x:v>Peach Slices Snail Rescue Blemish Busting Toner: 4.0 oz, $13.99, 4.5 rating and 1,259 reviews.</x:v>
      </x:c>
      <x:c r="E39" s="21" t="str">
        <x:v>Ulta Beauty</x:v>
      </x:c>
      <x:c r="F39" s="21" t="str">
        <x:v>https://www.ulta.com/p/snail-rescue-blemish-busting-toner-pimprod2018400</x:v>
      </x:c>
      <x:c r="G39" s="21" t="str">
        <x:v>Authorized Retailer</x:v>
      </x:c>
      <x:c r="H39" s="25"/>
      <x:c r="I39" s="25" t="str">
        <x:v>2026-07-29</x:v>
      </x:c>
      <x:c r="J39" s="21" t="str">
        <x:v>Verified Fact</x:v>
      </x:c>
      <x:c r="K39" s="21" t="str">
        <x:v>High</x:v>
      </x:c>
      <x:c r="L39" s="21" t="str">
        <x:v>Yes</x:v>
      </x:c>
      <x:c r="M39" s="21"/>
      <x:c r="N39" s="21" t="str">
        <x:v>Current U.S. competitor benchmark.</x:v>
      </x:c>
      <x:c r="O39" s="21" t="str">
        <x:v>Codex</x:v>
      </x:c>
    </x:row>
    <x:row r="40" ht="90" customHeight="1">
      <x:c r="A40" s="21" t="str">
        <x:v>SRC-COSRX-039</x:v>
      </x:c>
      <x:c r="B40" s="21" t="str">
        <x:v>KB001</x:v>
      </x:c>
      <x:c r="C40" s="21" t="str">
        <x:v>Competitor — Pimple patch</x:v>
      </x:c>
      <x:c r="D40" s="21" t="str">
        <x:v>Hero Mighty Patch Original 36 ct: $12.99, 4.7 rating and 5,621 reviews.</x:v>
      </x:c>
      <x:c r="E40" s="21" t="str">
        <x:v>Ulta Beauty</x:v>
      </x:c>
      <x:c r="F40" s="21" t="str">
        <x:v>https://www.ulta.com/p/mighty-patch-original-acne-pimple-patches-pimprod2030348?sku=2591987</x:v>
      </x:c>
      <x:c r="G40" s="21" t="str">
        <x:v>Authorized Retailer</x:v>
      </x:c>
      <x:c r="H40" s="25"/>
      <x:c r="I40" s="25" t="str">
        <x:v>2026-07-29</x:v>
      </x:c>
      <x:c r="J40" s="21" t="str">
        <x:v>Verified Fact</x:v>
      </x:c>
      <x:c r="K40" s="21" t="str">
        <x:v>High</x:v>
      </x:c>
      <x:c r="L40" s="21" t="str">
        <x:v>Yes</x:v>
      </x:c>
      <x:c r="M40" s="21"/>
      <x:c r="N40" s="21" t="str">
        <x:v>Current U.S. competitor benchmark.</x:v>
      </x:c>
      <x:c r="O40" s="21" t="str">
        <x:v>Codex</x:v>
      </x:c>
    </x:row>
    <x:row r="41" ht="90" customHeight="1">
      <x:c r="A41" s="21" t="str">
        <x:v>SRC-COSRX-040</x:v>
      </x:c>
      <x:c r="B41" s="21" t="str">
        <x:v>KB001</x:v>
      </x:c>
      <x:c r="C41" s="21" t="str">
        <x:v>Competitor — Cleanser</x:v>
      </x:c>
      <x:c r="D41" s="21" t="str">
        <x:v>CeraVe Foaming Facial Cleanser 12 oz: $16.99, 4.6 rating and 19,248 reviews.</x:v>
      </x:c>
      <x:c r="E41" s="21" t="str">
        <x:v>Ulta Beauty</x:v>
      </x:c>
      <x:c r="F41" s="21" t="str">
        <x:v>https://www.ulta.com/p/foaming-facial-cleanser-xlsImpprod5140065</x:v>
      </x:c>
      <x:c r="G41" s="21" t="str">
        <x:v>Authorized Retailer</x:v>
      </x:c>
      <x:c r="H41" s="25"/>
      <x:c r="I41" s="25" t="str">
        <x:v>2026-07-29</x:v>
      </x:c>
      <x:c r="J41" s="21" t="str">
        <x:v>Verified Fact</x:v>
      </x:c>
      <x:c r="K41" s="21" t="str">
        <x:v>High</x:v>
      </x:c>
      <x:c r="L41" s="21" t="str">
        <x:v>Yes</x:v>
      </x:c>
      <x:c r="M41" s="21"/>
      <x:c r="N41" s="21" t="str">
        <x:v>Current U.S. competitor benchmark.</x:v>
      </x:c>
      <x:c r="O41" s="21" t="str">
        <x:v>Codex</x:v>
      </x:c>
    </x:row>
    <x:row r="42" ht="90" customHeight="1">
      <x:c r="A42" s="21" t="str">
        <x:v>SRC-COSRX-041</x:v>
      </x:c>
      <x:c r="B42" s="21" t="str">
        <x:v>KB001</x:v>
      </x:c>
      <x:c r="C42" s="21" t="str">
        <x:v>Competitor — Peptide serum</x:v>
      </x:c>
      <x:c r="D42" s="21" t="str">
        <x:v>The Ordinary Multi-Peptide + HA Serum 1 oz: $19.90, 3.9 rating and 103 reviews.</x:v>
      </x:c>
      <x:c r="E42" s="21" t="str">
        <x:v>Ulta Beauty</x:v>
      </x:c>
      <x:c r="F42" s="21" t="str">
        <x:v>https://www.ulta.com/p/multi-peptide-hyaluronic-acid-serum-firmness-elasticity-pimprod2035079</x:v>
      </x:c>
      <x:c r="G42" s="21" t="str">
        <x:v>Authorized Retailer</x:v>
      </x:c>
      <x:c r="H42" s="25"/>
      <x:c r="I42" s="25" t="str">
        <x:v>2026-07-29</x:v>
      </x:c>
      <x:c r="J42" s="21" t="str">
        <x:v>Verified Fact</x:v>
      </x:c>
      <x:c r="K42" s="21" t="str">
        <x:v>High</x:v>
      </x:c>
      <x:c r="L42" s="21" t="str">
        <x:v>Yes</x:v>
      </x:c>
      <x:c r="M42" s="21"/>
      <x:c r="N42" s="21" t="str">
        <x:v>Current U.S. competitor benchmark.</x:v>
      </x:c>
      <x:c r="O42" s="21" t="str">
        <x:v>Codex</x:v>
      </x:c>
    </x:row>
    <x:row r="43" ht="90" customHeight="1">
      <x:c r="A43" s="21" t="str">
        <x:v>SRC-COSRX-042</x:v>
      </x:c>
      <x:c r="B43" s="21" t="str">
        <x:v>KB001</x:v>
      </x:c>
      <x:c r="C43" s="21" t="str">
        <x:v>Competitor — Snail cream</x:v>
      </x:c>
      <x:c r="D43" s="21" t="str">
        <x:v>Peach Slices Snail Rescue Deep Moisture Cream 2.8 oz: $16.99, 4.5 rating and 302 reviews.</x:v>
      </x:c>
      <x:c r="E43" s="21" t="str">
        <x:v>Ulta Beauty</x:v>
      </x:c>
      <x:c r="F43" s="21" t="str">
        <x:v>https://www.ulta.com/p/snail-rescue-all-in-one-deep-moisture-cream-pimprod2033309</x:v>
      </x:c>
      <x:c r="G43" s="21" t="str">
        <x:v>Authorized Retailer</x:v>
      </x:c>
      <x:c r="H43" s="25"/>
      <x:c r="I43" s="25" t="str">
        <x:v>2026-07-29</x:v>
      </x:c>
      <x:c r="J43" s="21" t="str">
        <x:v>Verified Fact</x:v>
      </x:c>
      <x:c r="K43" s="21" t="str">
        <x:v>High</x:v>
      </x:c>
      <x:c r="L43" s="21" t="str">
        <x:v>Yes</x:v>
      </x:c>
      <x:c r="M43" s="21"/>
      <x:c r="N43" s="21" t="str">
        <x:v>Current U.S. competitor benchmark.</x:v>
      </x:c>
      <x:c r="O43" s="21" t="str">
        <x:v>Codex</x:v>
      </x:c>
    </x:row>
    <x:row r="44" ht="90" customHeight="1">
      <x:c r="A44" s="21" t="str">
        <x:v>SRC-COSRX-043</x:v>
      </x:c>
      <x:c r="B44" s="21" t="str">
        <x:v>KB001</x:v>
      </x:c>
      <x:c r="C44" s="21" t="str">
        <x:v>Counterfeit / gray-market consumer risk</x:v>
      </x:c>
      <x:c r="D44" s="21" t="str">
        <x:v>Consumers discuss authenticity anxiety and suspected counterfeit packaging on marketplaces.</x:v>
      </x:c>
      <x:c r="E44" s="21" t="str">
        <x:v>Reddit r/SkincareAddiction</x:v>
      </x:c>
      <x:c r="F44" s="21" t="str">
        <x:v>https://www.reddit.com/r/SkincareAddiction/comments/1btlzcv</x:v>
      </x:c>
      <x:c r="G44" s="21" t="str">
        <x:v>Consumer Forum</x:v>
      </x:c>
      <x:c r="H44" s="25"/>
      <x:c r="I44" s="25" t="str">
        <x:v>2026-07-29</x:v>
      </x:c>
      <x:c r="J44" s="21" t="str">
        <x:v>Anecdotal Risk Signal</x:v>
      </x:c>
      <x:c r="K44" s="21" t="str">
        <x:v>Low-Medium</x:v>
      </x:c>
      <x:c r="L44" s="21" t="str">
        <x:v>Yes</x:v>
      </x:c>
      <x:c r="M44" s="21"/>
      <x:c r="N44" s="21" t="str">
        <x:v>Official authorization list (SRC-COSRX-007) controls; forum claims are not proof of counterfeiting.</x:v>
      </x:c>
      <x:c r="O44" s="21" t="str">
        <x:v>Codex</x:v>
      </x:c>
    </x:row>
    <x:row r="45" ht="90" customHeight="1">
      <x:c r="A45" s="21" t="str">
        <x:v>SRC-COSRX-044</x:v>
      </x:c>
      <x:c r="B45" s="21" t="str">
        <x:v>KB001</x:v>
      </x:c>
      <x:c r="C45" s="21" t="str">
        <x:v>MoCRA registration/listing</x:v>
      </x:c>
      <x:c r="D45" s="21" t="str">
        <x:v>FDA describes facility registration/renewal and responsible-person product listing/update requirements under MoCRA.</x:v>
      </x:c>
      <x:c r="E45" s="21" t="str">
        <x:v>U.S. FDA</x:v>
      </x:c>
      <x:c r="F45" s="21" t="str">
        <x:v>https://www.fda.gov/cosmetics/cosmetics-news-events/fda-issues-compliance-policy-cosmetic-product-facility-registration-and-cosmetic-product-listing</x:v>
      </x:c>
      <x:c r="G45" s="21" t="str">
        <x:v>Regulator</x:v>
      </x:c>
      <x:c r="H45" s="25"/>
      <x:c r="I45" s="25" t="str">
        <x:v>2026-07-29</x:v>
      </x:c>
      <x:c r="J45" s="21" t="str">
        <x:v>Verified Regulatory Requirement</x:v>
      </x:c>
      <x:c r="K45" s="21" t="str">
        <x:v>High</x:v>
      </x:c>
      <x:c r="L45" s="21" t="str">
        <x:v>Yes</x:v>
      </x:c>
      <x:c r="M45" s="21"/>
      <x:c r="N45" s="21" t="str">
        <x:v>Confirm applicability and current compliance with U.S. counsel/responsible person.</x:v>
      </x:c>
      <x:c r="O45" s="21" t="str">
        <x:v>Codex</x:v>
      </x:c>
    </x:row>
    <x:row r="46" ht="90" customHeight="1">
      <x:c r="A46" s="21" t="str">
        <x:v>SRC-COSRX-045</x:v>
      </x:c>
      <x:c r="B46" s="21" t="str">
        <x:v>KB001</x:v>
      </x:c>
      <x:c r="C46" s="21" t="str">
        <x:v>MoCRA implementation / adverse events</x:v>
      </x:c>
      <x:c r="D46" s="21" t="str">
        <x:v>FDA summarizes responsible-person serious-adverse-event reporting, safety substantiation, registration/listing, GMP rulemaking and recall authority.</x:v>
      </x:c>
      <x:c r="E46" s="21" t="str">
        <x:v>U.S. FDA</x:v>
      </x:c>
      <x:c r="F46" s="21" t="str">
        <x:v>https://www.fda.gov/news-events/fda-voices/how-fda-implementing-landmark-cosmetics-legislation-positively-impact-public-health</x:v>
      </x:c>
      <x:c r="G46" s="21" t="str">
        <x:v>Regulator</x:v>
      </x:c>
      <x:c r="H46" s="25"/>
      <x:c r="I46" s="25" t="str">
        <x:v>2026-07-29</x:v>
      </x:c>
      <x:c r="J46" s="21" t="str">
        <x:v>Verified Regulatory Requirement</x:v>
      </x:c>
      <x:c r="K46" s="21" t="str">
        <x:v>High</x:v>
      </x:c>
      <x:c r="L46" s="21" t="str">
        <x:v>Yes</x:v>
      </x:c>
      <x:c r="M46" s="21"/>
      <x:c r="N46" s="21" t="str">
        <x:v>Regulatory pre-screen, not legal advice.</x:v>
      </x:c>
      <x:c r="O46" s="21" t="str">
        <x:v>Codex</x:v>
      </x:c>
    </x:row>
    <x:row r="47" ht="90" customHeight="1">
      <x:c r="A47" s="21" t="str">
        <x:v>SRC-COSRX-046</x:v>
      </x:c>
      <x:c r="B47" s="21" t="str">
        <x:v>KB001</x:v>
      </x:c>
      <x:c r="C47" s="21" t="str">
        <x:v>Cosmetics import data</x:v>
      </x:c>
      <x:c r="D47" s="21" t="str">
        <x:v>FDA import guidance lists entry data and MoCRA registration/listing considerations for imported cosmetics.</x:v>
      </x:c>
      <x:c r="E47" s="21" t="str">
        <x:v>U.S. FDA</x:v>
      </x:c>
      <x:c r="F47" s="21" t="str">
        <x:v>https://www.fda.gov/media/188545/download</x:v>
      </x:c>
      <x:c r="G47" s="21" t="str">
        <x:v>Regulator / PDF</x:v>
      </x:c>
      <x:c r="H47" s="25"/>
      <x:c r="I47" s="25" t="str">
        <x:v>2026-07-29</x:v>
      </x:c>
      <x:c r="J47" s="21" t="str">
        <x:v>Verified Regulatory Requirement</x:v>
      </x:c>
      <x:c r="K47" s="21" t="str">
        <x:v>High</x:v>
      </x:c>
      <x:c r="L47" s="21" t="str">
        <x:v>Yes</x:v>
      </x:c>
      <x:c r="M47" s="21"/>
      <x:c r="N47" s="21" t="str">
        <x:v>Importer-of-record and product file must be confirmed before sourcing.</x:v>
      </x:c>
      <x:c r="O47" s="21" t="str">
        <x:v>Codex</x:v>
      </x:c>
    </x:row>
    <x:row r="48" ht="90" customHeight="1">
      <x:c r="A48" s="21" t="str">
        <x:v>SRC-COSRX-047</x:v>
      </x:c>
      <x:c r="B48" s="21" t="str">
        <x:v>KB001</x:v>
      </x:c>
      <x:c r="C48" s="21" t="str">
        <x:v>Cosmetics labeling</x:v>
      </x:c>
      <x:c r="D48" s="21" t="str">
        <x:v>FDA summary covers U.S. cosmetic labeling requirements.</x:v>
      </x:c>
      <x:c r="E48" s="21" t="str">
        <x:v>U.S. FDA</x:v>
      </x:c>
      <x:c r="F48" s="21" t="str">
        <x:v>https://www.fda.gov/cosmetics/cosmetics-labeling-regulations/summary-cosmetics-labeling-requirements</x:v>
      </x:c>
      <x:c r="G48" s="21" t="str">
        <x:v>Regulator</x:v>
      </x:c>
      <x:c r="H48" s="25"/>
      <x:c r="I48" s="25" t="str">
        <x:v>2026-07-29</x:v>
      </x:c>
      <x:c r="J48" s="21" t="str">
        <x:v>Verified Regulatory Requirement</x:v>
      </x:c>
      <x:c r="K48" s="21" t="str">
        <x:v>High</x:v>
      </x:c>
      <x:c r="L48" s="21" t="str">
        <x:v>Yes</x:v>
      </x:c>
      <x:c r="M48" s="21"/>
      <x:c r="N48" s="21" t="str">
        <x:v>Confirm label review for every U.S. SKU.</x:v>
      </x:c>
      <x:c r="O48" s="21" t="str">
        <x:v>Codex</x:v>
      </x:c>
    </x:row>
    <x:row r="49" ht="90" customHeight="1">
      <x:c r="A49" s="21" t="str">
        <x:v>SRC-COSRX-048</x:v>
      </x:c>
      <x:c r="B49" s="21" t="str">
        <x:v>KB001</x:v>
      </x:c>
      <x:c r="C49" s="21" t="str">
        <x:v>Cosmetic claims</x:v>
      </x:c>
      <x:c r="D49" s="21" t="str">
        <x:v>FDA explains cosmetics labeling claims and that claims can affect product classification.</x:v>
      </x:c>
      <x:c r="E49" s="21" t="str">
        <x:v>U.S. FDA</x:v>
      </x:c>
      <x:c r="F49" s="21" t="str">
        <x:v>https://www.fda.gov/cosmetics/cosmetics-labeling/cosmetics-labeling-claims</x:v>
      </x:c>
      <x:c r="G49" s="21" t="str">
        <x:v>Regulator</x:v>
      </x:c>
      <x:c r="H49" s="25"/>
      <x:c r="I49" s="25" t="str">
        <x:v>2026-07-29</x:v>
      </x:c>
      <x:c r="J49" s="21" t="str">
        <x:v>Verified Regulatory Requirement</x:v>
      </x:c>
      <x:c r="K49" s="21" t="str">
        <x:v>High</x:v>
      </x:c>
      <x:c r="L49" s="21" t="str">
        <x:v>Yes</x:v>
      </x:c>
      <x:c r="M49" s="21"/>
      <x:c r="N49" s="21" t="str">
        <x:v>Review acne, healing, repair and anti-aging wording.</x:v>
      </x:c>
      <x:c r="O49" s="21" t="str">
        <x:v>Codex</x:v>
      </x:c>
    </x:row>
    <x:row r="50" ht="90" customHeight="1">
      <x:c r="A50" s="21" t="str">
        <x:v>SRC-COSRX-049</x:v>
      </x:c>
      <x:c r="B50" s="21" t="str">
        <x:v>KB001</x:v>
      </x:c>
      <x:c r="C50" s="21" t="str">
        <x:v>Cosmetic vs drug classification</x:v>
      </x:c>
      <x:c r="D50" s="21" t="str">
        <x:v>FDA explains when intended use can cause a product to be regulated as a drug as well as a cosmetic.</x:v>
      </x:c>
      <x:c r="E50" s="21" t="str">
        <x:v>U.S. FDA</x:v>
      </x:c>
      <x:c r="F50" s="21" t="str">
        <x:v>https://www.fda.gov/cosmetics/cosmetics-laws-regulations/it-cosmetic-drug-or-both-or-it-soap</x:v>
      </x:c>
      <x:c r="G50" s="21" t="str">
        <x:v>Regulator</x:v>
      </x:c>
      <x:c r="H50" s="25"/>
      <x:c r="I50" s="25" t="str">
        <x:v>2026-07-29</x:v>
      </x:c>
      <x:c r="J50" s="21" t="str">
        <x:v>Verified Regulatory Requirement</x:v>
      </x:c>
      <x:c r="K50" s="21" t="str">
        <x:v>High</x:v>
      </x:c>
      <x:c r="L50" s="21" t="str">
        <x:v>Yes</x:v>
      </x:c>
      <x:c r="M50" s="21"/>
      <x:c r="N50" s="21" t="str">
        <x:v>Expert review required for pimple patches and treatment claims.</x:v>
      </x:c>
      <x:c r="O50" s="21" t="str">
        <x:v>Codex</x:v>
      </x:c>
    </x:row>
    <x:row r="51" ht="90" customHeight="1">
      <x:c r="A51" s="21" t="str">
        <x:v>SRC-COSRX-050</x:v>
      </x:c>
      <x:c r="B51" s="21" t="str">
        <x:v>KB001</x:v>
      </x:c>
      <x:c r="C51" s="21" t="str">
        <x:v>Korea prices — Snail Essence / Cream</x:v>
      </x:c>
      <x:c r="D51" s="21" t="str">
        <x:v>COSRX Korea catalog displayed KRW 23,000 list prices for the 100 mL essence and 100 g cream.</x:v>
      </x:c>
      <x:c r="E51" s="21" t="str">
        <x:v>COSRX Korea Official</x:v>
      </x:c>
      <x:c r="F51" s="21" t="str">
        <x:v>https://cosrx.co.kr/shop/shopbrand.html?page=4&amp;type=O&amp;xcode=019</x:v>
      </x:c>
      <x:c r="G51" s="21" t="str">
        <x:v>Official Product Catalog</x:v>
      </x:c>
      <x:c r="H51" s="25"/>
      <x:c r="I51" s="25" t="str">
        <x:v>2026-07-29</x:v>
      </x:c>
      <x:c r="J51" s="21" t="str">
        <x:v>Verified Product Fact</x:v>
      </x:c>
      <x:c r="K51" s="21" t="str">
        <x:v>High</x:v>
      </x:c>
      <x:c r="L51" s="21" t="str">
        <x:v>Yes</x:v>
      </x:c>
      <x:c r="M51" s="21"/>
      <x:c r="N51" s="21" t="str">
        <x:v>Korea consumer list price; not wholesale cost.</x:v>
      </x:c>
      <x:c r="O51" s="21" t="str">
        <x:v>Codex</x:v>
      </x:c>
    </x:row>
    <x:row r="52" ht="90" customHeight="1">
      <x:c r="A52" s="21" t="str">
        <x:v>SRC-COSRX-051</x:v>
      </x:c>
      <x:c r="B52" s="21" t="str">
        <x:v>KB001</x:v>
      </x:c>
      <x:c r="C52" s="21" t="str">
        <x:v>Korea price — Pimple Patch</x:v>
      </x:c>
      <x:c r="D52" s="21" t="str">
        <x:v>COSRX Korea page displayed KRW 3,500 list and KRW 2,800 sale for 24 patches.</x:v>
      </x:c>
      <x:c r="E52" s="21" t="str">
        <x:v>COSRX Korea Official</x:v>
      </x:c>
      <x:c r="F52" s="21" t="str">
        <x:v>https://www.cosrx.co.kr/shop/shopdetail.html?GfDT=bmx8W18%3D&amp;branduid=207&amp;cur_code=070001011&amp;mcode=001&amp;scode=011&amp;sort=manual&amp;type=Y&amp;xcode=070</x:v>
      </x:c>
      <x:c r="G52" s="21" t="str">
        <x:v>Official Product Page</x:v>
      </x:c>
      <x:c r="H52" s="25"/>
      <x:c r="I52" s="25" t="str">
        <x:v>2026-07-29</x:v>
      </x:c>
      <x:c r="J52" s="21" t="str">
        <x:v>Verified Product Fact</x:v>
      </x:c>
      <x:c r="K52" s="21" t="str">
        <x:v>High</x:v>
      </x:c>
      <x:c r="L52" s="21" t="str">
        <x:v>Yes</x:v>
      </x:c>
      <x:c r="M52" s="21"/>
      <x:c r="N52" s="21" t="str">
        <x:v>Korea consumer price; not wholesale cost.</x:v>
      </x:c>
      <x:c r="O52" s="21" t="str">
        <x:v>Codex</x:v>
      </x:c>
    </x:row>
    <x:row r="53" ht="90" customHeight="1">
      <x:c r="A53" s="21" t="str">
        <x:v>SRC-COSRX-052</x:v>
      </x:c>
      <x:c r="B53" s="21" t="str">
        <x:v>KB001</x:v>
      </x:c>
      <x:c r="C53" s="21" t="str">
        <x:v>Korea price — Low pH Cleanser</x:v>
      </x:c>
      <x:c r="D53" s="21" t="str">
        <x:v>COSRX Korea page displayed KRW 9,900 list and KRW 7,920 sale for 150 mL.</x:v>
      </x:c>
      <x:c r="E53" s="21" t="str">
        <x:v>COSRX Korea Official</x:v>
      </x:c>
      <x:c r="F53" s="21" t="str">
        <x:v>https://www.cosrx.co.kr/shop/shopdetail.html?GfDT=a293Ug%3D%3D&amp;branduid=222&amp;cur_code=023&amp;mcode=000&amp;scode=&amp;sort=order&amp;type=P&amp;xcode=023</x:v>
      </x:c>
      <x:c r="G53" s="21" t="str">
        <x:v>Official Product Page</x:v>
      </x:c>
      <x:c r="H53" s="25"/>
      <x:c r="I53" s="25" t="str">
        <x:v>2026-07-29</x:v>
      </x:c>
      <x:c r="J53" s="21" t="str">
        <x:v>Verified Product Fact</x:v>
      </x:c>
      <x:c r="K53" s="21" t="str">
        <x:v>High</x:v>
      </x:c>
      <x:c r="L53" s="21" t="str">
        <x:v>Yes</x:v>
      </x:c>
      <x:c r="M53" s="21"/>
      <x:c r="N53" s="21" t="str">
        <x:v>Korea consumer price; not wholesale cost.</x:v>
      </x:c>
      <x:c r="O53" s="21" t="str">
        <x:v>Codex</x:v>
      </x:c>
    </x:row>
    <x:row r="54" ht="90" customHeight="1">
      <x:c r="A54" s="21" t="str">
        <x:v>SRC-COSRX-053</x:v>
      </x:c>
      <x:c r="B54" s="21" t="str">
        <x:v>KB001</x:v>
      </x:c>
      <x:c r="C54" s="21" t="str">
        <x:v>Korea price — 6 Peptide</x:v>
      </x:c>
      <x:c r="D54" s="21" t="str">
        <x:v>COSRX Korea page displayed KRW 23,000 list and KRW 20,800 sale for 150 mL.</x:v>
      </x:c>
      <x:c r="E54" s="21" t="str">
        <x:v>COSRX Korea Official</x:v>
      </x:c>
      <x:c r="F54" s="21" t="str">
        <x:v>https://www.cosrx.co.kr/shop/shopdetail.html?GfDT=bmx0W1w%3D&amp;branduid=1177670&amp;mcode=000&amp;scode=&amp;search=&amp;xcode=029</x:v>
      </x:c>
      <x:c r="G54" s="21" t="str">
        <x:v>Official Product Page</x:v>
      </x:c>
      <x:c r="H54" s="25"/>
      <x:c r="I54" s="25" t="str">
        <x:v>2026-07-29</x:v>
      </x:c>
      <x:c r="J54" s="21" t="str">
        <x:v>Verified Product Fact</x:v>
      </x:c>
      <x:c r="K54" s="21" t="str">
        <x:v>High</x:v>
      </x:c>
      <x:c r="L54" s="21" t="str">
        <x:v>Yes</x:v>
      </x:c>
      <x:c r="M54" s="21"/>
      <x:c r="N54" s="21" t="str">
        <x:v>Korea consumer price; not wholesale cost.</x:v>
      </x:c>
      <x:c r="O54" s="21" t="str">
        <x:v>Codex</x:v>
      </x:c>
    </x:row>
    <x:row r="55" ht="90" customHeight="1">
      <x:c r="A55" s="21" t="str">
        <x:v>SRC-COSRX-054</x:v>
      </x:c>
      <x:c r="B55" s="21" t="str">
        <x:v>KB001</x:v>
      </x:c>
      <x:c r="C55" s="21" t="str">
        <x:v>Current parent-company momentum</x:v>
      </x:c>
      <x:c r="D55" s="21" t="str">
        <x:v>Amorepacific Q1 2026 release says COSRX returned to revenue growth driven by RX/PDRN in North America and Amazon promotions; no brand-level units or U.S. revenue were disclosed.</x:v>
      </x:c>
      <x:c r="E55" s="21" t="str">
        <x:v>Amorepacific Q1 2026 Results</x:v>
      </x:c>
      <x:c r="F55" s="21" t="str">
        <x:v>https://www.apgroup.com/int/en/news/2026-04-29-1.html</x:v>
      </x:c>
      <x:c r="G55" s="21" t="str">
        <x:v>Corporate News / IR</x:v>
      </x:c>
      <x:c r="H55" s="25" t="str">
        <x:v>2026-04-29</x:v>
      </x:c>
      <x:c r="I55" s="25" t="str">
        <x:v>2026-07-29</x:v>
      </x:c>
      <x:c r="J55" s="21" t="str">
        <x:v>Verified Corporate Statement</x:v>
      </x:c>
      <x:c r="K55" s="21" t="str">
        <x:v>High</x:v>
      </x:c>
      <x:c r="L55" s="21" t="str">
        <x:v>Yes</x:v>
      </x:c>
      <x:c r="M55" s="21"/>
      <x:c r="N55" s="21" t="str">
        <x:v>Supports current momentum but not a numeric COSRX U.S. sales estimate.</x:v>
      </x:c>
      <x:c r="O55" s="21" t="str">
        <x:v>Codex</x:v>
      </x:c>
    </x:row>
    <x:row r="56" ht="90" customHeight="1">
      <x:c r="A56" s="21" t="str">
        <x:v>SRC-COSRX-055</x:v>
      </x:c>
      <x:c r="B56" s="21" t="str">
        <x:v>KB001</x:v>
      </x:c>
      <x:c r="C56" s="21" t="str">
        <x:v>FDA compliance search limitation</x:v>
      </x:c>
      <x:c r="D56" s="21" t="str">
        <x:v>Scoped public FDA compliance/enforcement pages were checked; no COSRX-specific warning/recall result was found in this pass.</x:v>
      </x:c>
      <x:c r="E56" s="21" t="str">
        <x:v>U.S. FDA — Cosmetics Compliance &amp; Enforcement</x:v>
      </x:c>
      <x:c r="F56" s="21" t="str">
        <x:v>https://www.fda.gov/cosmetics/cosmetics-compliance-enforcement</x:v>
      </x:c>
      <x:c r="G56" s="21" t="str">
        <x:v>Regulator</x:v>
      </x:c>
      <x:c r="H56" s="25"/>
      <x:c r="I56" s="25" t="str">
        <x:v>2026-07-29</x:v>
      </x:c>
      <x:c r="J56" s="21" t="str">
        <x:v>Research Finding / Limitation</x:v>
      </x:c>
      <x:c r="K56" s="21" t="str">
        <x:v>Medium</x:v>
      </x:c>
      <x:c r="L56" s="21" t="str">
        <x:v>Yes</x:v>
      </x:c>
      <x:c r="M56" s="21"/>
      <x:c r="N56" s="21" t="str">
        <x:v>Not an exhaustive legal clearance; formal regulatory due diligence remains required.</x:v>
      </x:c>
      <x:c r="O56" s="21" t="str">
        <x:v>Codex</x:v>
      </x:c>
    </x:row>
    <x:row r="57" ht="90" customHeight="1">
      <x:c r="A57" s="21" t="str">
        <x:v>SRC-COSRX-056</x:v>
      </x:c>
      <x:c r="B57" s="21" t="str">
        <x:v>KB001</x:v>
      </x:c>
      <x:c r="C57" s="21" t="str">
        <x:v>Authenticity verification / contact</x:v>
      </x:c>
      <x:c r="D57" s="21" t="str">
        <x:v>COSRX FAQ provides authenticity guidance and global contact global@cosrx.co.kr.</x:v>
      </x:c>
      <x:c r="E57" s="21" t="str">
        <x:v>COSRX Official FAQ</x:v>
      </x:c>
      <x:c r="F57" s="21" t="str">
        <x:v>https://www.cosrx.com/pages/faq</x:v>
      </x:c>
      <x:c r="G57" s="21" t="str">
        <x:v>Official Brand Site</x:v>
      </x:c>
      <x:c r="H57" s="25"/>
      <x:c r="I57" s="25" t="str">
        <x:v>2026-07-29</x:v>
      </x:c>
      <x:c r="J57" s="21" t="str">
        <x:v>Verified Fact</x:v>
      </x:c>
      <x:c r="K57" s="21" t="str">
        <x:v>High</x:v>
      </x:c>
      <x:c r="L57" s="21" t="str">
        <x:v>Yes</x:v>
      </x:c>
      <x:c r="M57" s="21"/>
      <x:c r="N57" s="21" t="str">
        <x:v>Use official contact for supply and authenticity diligence.</x:v>
      </x:c>
      <x:c r="O57" s="21" t="str">
        <x:v>Codex</x:v>
      </x:c>
    </x:row>
    <x:row r="58" ht="90" customHeight="1">
      <x:c r="A58" s="21" t="str">
        <x:v>SRC-BOJ-001</x:v>
      </x:c>
      <x:c r="B58" s="21" t="str">
        <x:v>KB002</x:v>
      </x:c>
      <x:c r="C58" s="21" t="str">
        <x:v>Core verification — Official Website</x:v>
      </x:c>
      <x:c r="D58" s="21" t="str">
        <x:v>Official global/U.S. Beauty of Joseon store is https://beautyofjoseon.com and is operated by GOODAI GLOBAL INC.</x:v>
      </x:c>
      <x:c r="E58" s="21" t="str">
        <x:v>Beauty of Joseon Official</x:v>
      </x:c>
      <x:c r="F58" s="21" t="str">
        <x:v>https://beautyofjoseon.com</x:v>
      </x:c>
      <x:c r="G58" s="21" t="str">
        <x:v>Official Brand Site</x:v>
      </x:c>
      <x:c r="H58" s="25"/>
      <x:c r="I58" s="25" t="str">
        <x:v>2026-07-29</x:v>
      </x:c>
      <x:c r="J58" s="21" t="str">
        <x:v>Verified Fact</x:v>
      </x:c>
      <x:c r="K58" s="21" t="str">
        <x:v>High</x:v>
      </x:c>
      <x:c r="L58" s="21" t="str">
        <x:v>Yes</x:v>
      </x:c>
      <x:c r="M58" s="21"/>
      <x:c r="N58" s="21" t="str">
        <x:v>Brand-owned global storefront; company footer identifies GOODAI GLOBAL INC.</x:v>
      </x:c>
      <x:c r="O58" s="21" t="str">
        <x:v>Codex</x:v>
      </x:c>
    </x:row>
    <x:row r="59" ht="90" customHeight="1">
      <x:c r="A59" s="21" t="str">
        <x:v>SRC-BOJ-002</x:v>
      </x:c>
      <x:c r="B59" s="21" t="str">
        <x:v>KB002</x:v>
      </x:c>
      <x:c r="C59" s="21" t="str">
        <x:v>Core verification — Primary Category</x:v>
      </x:c>
      <x:c r="D59" s="21" t="str">
        <x:v>Official navigation and product assortment establish a skincare brand spanning sunscreen, cleanser, exfoliator, toner/essence, serum, moisturizer and mask.</x:v>
      </x:c>
      <x:c r="E59" s="21" t="str">
        <x:v>Beauty of Joseon Official — Shop</x:v>
      </x:c>
      <x:c r="F59" s="21" t="str">
        <x:v>https://beautyofjoseon.com/products/</x:v>
      </x:c>
      <x:c r="G59" s="21" t="str">
        <x:v>Official Brand Site</x:v>
      </x:c>
      <x:c r="H59" s="25"/>
      <x:c r="I59" s="25" t="str">
        <x:v>2026-07-29</x:v>
      </x:c>
      <x:c r="J59" s="21" t="str">
        <x:v>Verified Fact</x:v>
      </x:c>
      <x:c r="K59" s="21" t="str">
        <x:v>High</x:v>
      </x:c>
      <x:c r="L59" s="21" t="str">
        <x:v>Yes</x:v>
      </x:c>
      <x:c r="M59" s="21"/>
      <x:c r="N59" s="21" t="str">
        <x:v>Primary category verified as skincare, with sun care as a major subcategory.</x:v>
      </x:c>
      <x:c r="O59" s="21" t="str">
        <x:v>Codex</x:v>
      </x:c>
    </x:row>
    <x:row r="60" ht="90" customHeight="1">
      <x:c r="A60" s="21" t="str">
        <x:v>SRC-BOJ-003</x:v>
      </x:c>
      <x:c r="B60" s="21" t="str">
        <x:v>KB002</x:v>
      </x:c>
      <x:c r="C60" s="21" t="str">
        <x:v>Core verification — Awareness</x:v>
      </x:c>
      <x:c r="D60" s="21" t="str">
        <x:v>Official About page calls Relief Sun iconic and says it changed how consumers thought about sunscreen; it reports 700K Instagram and 220K TikTok followers.</x:v>
      </x:c>
      <x:c r="E60" s="21" t="str">
        <x:v>Beauty of Joseon Official — About Us</x:v>
      </x:c>
      <x:c r="F60" s="21" t="str">
        <x:v>https://beautyofjoseon.com/pages/about-beauty-of-joseon</x:v>
      </x:c>
      <x:c r="G60" s="21" t="str">
        <x:v>Official Brand Site</x:v>
      </x:c>
      <x:c r="H60" s="25"/>
      <x:c r="I60" s="25" t="str">
        <x:v>2026-07-29</x:v>
      </x:c>
      <x:c r="J60" s="21" t="str">
        <x:v>Verified Brand Statement / Platform Totals</x:v>
      </x:c>
      <x:c r="K60" s="21" t="str">
        <x:v>High</x:v>
      </x:c>
      <x:c r="L60" s="21" t="str">
        <x:v>Yes</x:v>
      </x:c>
      <x:c r="M60" s="21"/>
      <x:c r="N60" s="21" t="str">
        <x:v>Follower totals are brand-disclosed snapshots and can change.</x:v>
      </x:c>
      <x:c r="O60" s="21" t="str">
        <x:v>Codex</x:v>
      </x:c>
    </x:row>
    <x:row r="61" ht="90" customHeight="1">
      <x:c r="A61" s="21" t="str">
        <x:v>SRC-BOJ-004</x:v>
      </x:c>
      <x:c r="B61" s="21" t="str">
        <x:v>KB002</x:v>
      </x:c>
      <x:c r="C61" s="21" t="str">
        <x:v>Core verification — Historical Amazon claim</x:v>
      </x:c>
      <x:c r="D61" s="21" t="str">
        <x:v>Goodai's official milestones record Beauty of Joseon achieving #1 in the U.S. Amazon Sunscreen category in November 2022.</x:v>
      </x:c>
      <x:c r="E61" s="21" t="str">
        <x:v>GOODAI GLOBAL — Milestones</x:v>
      </x:c>
      <x:c r="F61" s="21" t="str">
        <x:v>https://www.goodai-global.com/en/company/history</x:v>
      </x:c>
      <x:c r="G61" s="21" t="str">
        <x:v>Official Corporate Site</x:v>
      </x:c>
      <x:c r="H61" s="25"/>
      <x:c r="I61" s="25" t="str">
        <x:v>2026-07-29</x:v>
      </x:c>
      <x:c r="J61" s="21" t="str">
        <x:v>Verified Historical Corporate Statement</x:v>
      </x:c>
      <x:c r="K61" s="21" t="str">
        <x:v>High</x:v>
      </x:c>
      <x:c r="L61" s="21" t="str">
        <x:v>Yes</x:v>
      </x:c>
      <x:c r="M61" s="21"/>
      <x:c r="N61" s="21" t="str">
        <x:v>Historical milestone; not a current rank.</x:v>
      </x:c>
      <x:c r="O61" s="21" t="str">
        <x:v>Codex</x:v>
      </x:c>
    </x:row>
    <x:row r="62" ht="90" customHeight="1">
      <x:c r="A62" s="21" t="str">
        <x:v>SRC-BOJ-005</x:v>
      </x:c>
      <x:c r="B62" s="21" t="str">
        <x:v>KB002</x:v>
      </x:c>
      <x:c r="C62" s="21" t="str">
        <x:v>Company / ownership</x:v>
      </x:c>
      <x:c r="D62" s="21" t="str">
        <x:v>Goodai completed acquisition of Beauty of Joseon in March 2019 after a 2017 exclusive distribution agreement.</x:v>
      </x:c>
      <x:c r="E62" s="21" t="str">
        <x:v>GOODAI GLOBAL — Milestones</x:v>
      </x:c>
      <x:c r="F62" s="21" t="str">
        <x:v>https://www.goodai-global.com/en/company/history</x:v>
      </x:c>
      <x:c r="G62" s="21" t="str">
        <x:v>Official Corporate Site</x:v>
      </x:c>
      <x:c r="H62" s="25"/>
      <x:c r="I62" s="25" t="str">
        <x:v>2026-07-29</x:v>
      </x:c>
      <x:c r="J62" s="21" t="str">
        <x:v>Verified Corporate Fact</x:v>
      </x:c>
      <x:c r="K62" s="21" t="str">
        <x:v>High</x:v>
      </x:c>
      <x:c r="L62" s="21" t="str">
        <x:v>Yes</x:v>
      </x:c>
      <x:c r="M62" s="21"/>
      <x:c r="N62" s="21" t="str">
        <x:v>Parent company and ownership timeline.</x:v>
      </x:c>
      <x:c r="O62" s="21" t="str">
        <x:v>Codex</x:v>
      </x:c>
    </x:row>
    <x:row r="63" ht="90" customHeight="1">
      <x:c r="A63" s="21" t="str">
        <x:v>SRC-BOJ-006</x:v>
      </x:c>
      <x:c r="B63" s="21" t="str">
        <x:v>KB002</x:v>
      </x:c>
      <x:c r="C63" s="21" t="str">
        <x:v>Authorized U.S. channels</x:v>
      </x:c>
      <x:c r="D63" s="21" t="str">
        <x:v>Official U.S. list names Amazon, TikTok, Costco, Sephora and specialty online retailers; offline list includes TJ Maxx, Marshalls, Senti Senti and Sephora.</x:v>
      </x:c>
      <x:c r="E63" s="21" t="str">
        <x:v>Beauty of Joseon — Authorized Online Retailers</x:v>
      </x:c>
      <x:c r="F63" s="21" t="str">
        <x:v>https://beautyofjoseon.com/pages/authorized-online-retailers</x:v>
      </x:c>
      <x:c r="G63" s="21" t="str">
        <x:v>Official Brand Site</x:v>
      </x:c>
      <x:c r="H63" s="25"/>
      <x:c r="I63" s="25" t="str">
        <x:v>2026-07-29</x:v>
      </x:c>
      <x:c r="J63" s="21" t="str">
        <x:v>Verified Fact</x:v>
      </x:c>
      <x:c r="K63" s="21" t="str">
        <x:v>High</x:v>
      </x:c>
      <x:c r="L63" s="21" t="str">
        <x:v>Yes</x:v>
      </x:c>
      <x:c r="M63" s="21"/>
      <x:c r="N63" s="21" t="str">
        <x:v>Authorization and assortment may change; recheck before purchase.</x:v>
      </x:c>
      <x:c r="O63" s="21" t="str">
        <x:v>Codex</x:v>
      </x:c>
    </x:row>
    <x:row r="64" ht="90" customHeight="1">
      <x:c r="A64" s="21" t="str">
        <x:v>SRC-BOJ-007</x:v>
      </x:c>
      <x:c r="B64" s="21" t="str">
        <x:v>KB002</x:v>
      </x:c>
      <x:c r="C64" s="21" t="str">
        <x:v>Amazon sunscreen policy / authenticity</x:v>
      </x:c>
      <x:c r="D64" s="21" t="str">
        <x:v>Official FAQ says that aside from Daily Relief Sunscreen Broad Spectrum SPF 40, other sunscreen products are not available on the official Amazon U.S. store.</x:v>
      </x:c>
      <x:c r="E64" s="21" t="str">
        <x:v>Beauty of Joseon — General FAQ</x:v>
      </x:c>
      <x:c r="F64" s="21" t="str">
        <x:v>https://beautyofjoseon.com/pages/faq-general-inquiries</x:v>
      </x:c>
      <x:c r="G64" s="21" t="str">
        <x:v>Official Brand Site</x:v>
      </x:c>
      <x:c r="H64" s="25"/>
      <x:c r="I64" s="25" t="str">
        <x:v>2026-07-29</x:v>
      </x:c>
      <x:c r="J64" s="21" t="str">
        <x:v>Verified Brand Policy</x:v>
      </x:c>
      <x:c r="K64" s="21" t="str">
        <x:v>High</x:v>
      </x:c>
      <x:c r="L64" s="21" t="str">
        <x:v>Yes</x:v>
      </x:c>
      <x:c r="M64" s="21"/>
      <x:c r="N64" s="21" t="str">
        <x:v>Creates a clear distinction between U.S.-specific SPF and other marketplace listings.</x:v>
      </x:c>
      <x:c r="O64" s="21" t="str">
        <x:v>Codex</x:v>
      </x:c>
    </x:row>
    <x:row r="65" ht="90" customHeight="1">
      <x:c r="A65" s="21" t="str">
        <x:v>SRC-BOJ-008</x:v>
      </x:c>
      <x:c r="B65" s="21" t="str">
        <x:v>KB002</x:v>
      </x:c>
      <x:c r="C65" s="21" t="str">
        <x:v>Official Amazon store</x:v>
      </x:c>
      <x:c r="D65" s="21" t="str">
        <x:v>Beauty of Joseon's Amazon brand store is linked from the official authorized-retailer page.</x:v>
      </x:c>
      <x:c r="E65" s="21" t="str">
        <x:v>Beauty of Joseon Amazon Store</x:v>
      </x:c>
      <x:c r="F65" s="21" t="str">
        <x:v>https://www.amazon.com/stores/BeautyofJoseon/page/F3CC18FE-8850-48E5-A51F-C8C7DD858079</x:v>
      </x:c>
      <x:c r="G65" s="21" t="str">
        <x:v>Marketplace / Official Brand Store</x:v>
      </x:c>
      <x:c r="H65" s="25"/>
      <x:c r="I65" s="25" t="str">
        <x:v>2026-07-29</x:v>
      </x:c>
      <x:c r="J65" s="21" t="str">
        <x:v>Verified Fact</x:v>
      </x:c>
      <x:c r="K65" s="21" t="str">
        <x:v>High</x:v>
      </x:c>
      <x:c r="L65" s="21" t="str">
        <x:v>Yes</x:v>
      </x:c>
      <x:c r="M65" s="21"/>
      <x:c r="N65" s="21" t="str">
        <x:v>Individual offer seller must still be checked at purchase.</x:v>
      </x:c>
      <x:c r="O65" s="21" t="str">
        <x:v>Codex</x:v>
      </x:c>
    </x:row>
    <x:row r="66" ht="90" customHeight="1">
      <x:c r="A66" s="21" t="str">
        <x:v>SRC-BOJ-009</x:v>
      </x:c>
      <x:c r="B66" s="21" t="str">
        <x:v>KB002</x:v>
      </x:c>
      <x:c r="C66" s="21" t="str">
        <x:v>Amazon — Revive Eye Serum</x:v>
      </x:c>
      <x:c r="D66" s="21" t="str">
        <x:v>Official seller listing displayed $17, 20,037 reviews, 4.3 rating, 50K+ bought/month, #235 Beauty &amp; Personal Care and #2 Eye Treatment Serums.</x:v>
      </x:c>
      <x:c r="E66" s="21" t="str">
        <x:v>Amazon U.S.</x:v>
      </x:c>
      <x:c r="F66" s="21" t="str">
        <x:v>https://www.amazon.com/dp/B0B45LL4DD</x:v>
      </x:c>
      <x:c r="G66" s="21" t="str">
        <x:v>Marketplace</x:v>
      </x:c>
      <x:c r="H66" s="25"/>
      <x:c r="I66" s="25" t="str">
        <x:v>2026-07-29</x:v>
      </x:c>
      <x:c r="J66" s="21" t="str">
        <x:v>Verified Platform Display</x:v>
      </x:c>
      <x:c r="K66" s="21" t="str">
        <x:v>High</x:v>
      </x:c>
      <x:c r="L66" s="21" t="str">
        <x:v>Yes</x:v>
      </x:c>
      <x:c r="M66" s="21"/>
      <x:c r="N66" s="21" t="str">
        <x:v>Sold by BEAUTY OF JOSEON OFFICIAL; ASIN B0B45LL4DD.</x:v>
      </x:c>
      <x:c r="O66" s="21" t="str">
        <x:v>Codex</x:v>
      </x:c>
    </x:row>
    <x:row r="67" ht="90" customHeight="1">
      <x:c r="A67" s="21" t="str">
        <x:v>SRC-BOJ-010</x:v>
      </x:c>
      <x:c r="B67" s="21" t="str">
        <x:v>KB002</x:v>
      </x:c>
      <x:c r="C67" s="21" t="str">
        <x:v>Amazon — Glow Serum</x:v>
      </x:c>
      <x:c r="D67" s="21" t="str">
        <x:v>Official seller listing displayed $14.50, 1,571 reviews, 4.6 rating, 6K+ bought/month, #3,193 Beauty &amp; Personal Care and #90 Facial Serums.</x:v>
      </x:c>
      <x:c r="E67" s="21" t="str">
        <x:v>Amazon U.S.</x:v>
      </x:c>
      <x:c r="F67" s="21" t="str">
        <x:v>https://www.amazon.com/dp/B0F8LBX37X</x:v>
      </x:c>
      <x:c r="G67" s="21" t="str">
        <x:v>Marketplace</x:v>
      </x:c>
      <x:c r="H67" s="25"/>
      <x:c r="I67" s="25" t="str">
        <x:v>2026-07-29</x:v>
      </x:c>
      <x:c r="J67" s="21" t="str">
        <x:v>Verified Platform Display</x:v>
      </x:c>
      <x:c r="K67" s="21" t="str">
        <x:v>High</x:v>
      </x:c>
      <x:c r="L67" s="21" t="str">
        <x:v>Yes</x:v>
      </x:c>
      <x:c r="M67" s="21"/>
      <x:c r="N67" s="21" t="str">
        <x:v>Sold by BEAUTY OF JOSEON OFFICIAL; ASIN B0F8LBX37X.</x:v>
      </x:c>
      <x:c r="O67" s="21" t="str">
        <x:v>Codex</x:v>
      </x:c>
    </x:row>
    <x:row r="68" ht="90" customHeight="1">
      <x:c r="A68" s="21" t="str">
        <x:v>SRC-BOJ-011</x:v>
      </x:c>
      <x:c r="B68" s="21" t="str">
        <x:v>KB002</x:v>
      </x:c>
      <x:c r="C68" s="21" t="str">
        <x:v>Amazon — Dynasty Cream</x:v>
      </x:c>
      <x:c r="D68" s="21" t="str">
        <x:v>Official seller 50 mL listing displayed $24, 7,719 reviews, 4.5 rating, 6K+ bought/month, #1,839 Beauty &amp; Personal Care and #54 Face Moisturizers.</x:v>
      </x:c>
      <x:c r="E68" s="21" t="str">
        <x:v>Amazon U.S.</x:v>
      </x:c>
      <x:c r="F68" s="21" t="str">
        <x:v>https://www.amazon.com/dp/B08WJQ3XJD</x:v>
      </x:c>
      <x:c r="G68" s="21" t="str">
        <x:v>Marketplace</x:v>
      </x:c>
      <x:c r="H68" s="25"/>
      <x:c r="I68" s="25" t="str">
        <x:v>2026-07-29</x:v>
      </x:c>
      <x:c r="J68" s="21" t="str">
        <x:v>Verified Platform Display</x:v>
      </x:c>
      <x:c r="K68" s="21" t="str">
        <x:v>High</x:v>
      </x:c>
      <x:c r="L68" s="21" t="str">
        <x:v>Yes</x:v>
      </x:c>
      <x:c r="M68" s="21"/>
      <x:c r="N68" s="21" t="str">
        <x:v>Sold by BEAUTY OF JOSEON OFFICIAL; ASIN B08WJQ3XJD.</x:v>
      </x:c>
      <x:c r="O68" s="21" t="str">
        <x:v>Codex</x:v>
      </x:c>
    </x:row>
    <x:row r="69" ht="90" customHeight="1">
      <x:c r="A69" s="21" t="str">
        <x:v>SRC-BOJ-012</x:v>
      </x:c>
      <x:c r="B69" s="21" t="str">
        <x:v>KB002</x:v>
      </x:c>
      <x:c r="C69" s="21" t="str">
        <x:v>Amazon — Green Plum Cleanser</x:v>
      </x:c>
      <x:c r="D69" s="21" t="str">
        <x:v>Official seller 100 mL listing displayed $13, 6,406 reviews, 4.6 rating, 10K+ bought/month, #837 Beauty &amp; Personal Care and #21 Facial Cleansing Washes.</x:v>
      </x:c>
      <x:c r="E69" s="21" t="str">
        <x:v>Amazon U.S.</x:v>
      </x:c>
      <x:c r="F69" s="21" t="str">
        <x:v>https://www.amazon.com/dp/B09N919SS5</x:v>
      </x:c>
      <x:c r="G69" s="21" t="str">
        <x:v>Marketplace</x:v>
      </x:c>
      <x:c r="H69" s="25"/>
      <x:c r="I69" s="25" t="str">
        <x:v>2026-07-29</x:v>
      </x:c>
      <x:c r="J69" s="21" t="str">
        <x:v>Verified Platform Display</x:v>
      </x:c>
      <x:c r="K69" s="21" t="str">
        <x:v>High</x:v>
      </x:c>
      <x:c r="L69" s="21" t="str">
        <x:v>Yes</x:v>
      </x:c>
      <x:c r="M69" s="21"/>
      <x:c r="N69" s="21" t="str">
        <x:v>Sold by BEAUTY OF JOSEON OFFICIAL; ASIN B09N919SS5.</x:v>
      </x:c>
      <x:c r="O69" s="21" t="str">
        <x:v>Codex</x:v>
      </x:c>
    </x:row>
    <x:row r="70" ht="90" customHeight="1">
      <x:c r="A70" s="21" t="str">
        <x:v>SRC-BOJ-013</x:v>
      </x:c>
      <x:c r="B70" s="21" t="str">
        <x:v>KB002</x:v>
      </x:c>
      <x:c r="C70" s="21" t="str">
        <x:v>Amazon sunscreen search / gray-market signal</x:v>
      </x:c>
      <x:c r="D70" s="21" t="str">
        <x:v>Sampled search for Daily Relief Sunscreen returned many ambiguous Relief Sun-style listings and no clearly identified Daily Relief SPF 40 official result.</x:v>
      </x:c>
      <x:c r="E70" s="21" t="str">
        <x:v>Amazon U.S. Search</x:v>
      </x:c>
      <x:c r="F70" s="21" t="str">
        <x:v>https://www.amazon.com/s?k=%22Daily+Relief+Sunscreen%22+%22Beauty+of+Joseon%22</x:v>
      </x:c>
      <x:c r="G70" s="21" t="str">
        <x:v>Marketplace Search</x:v>
      </x:c>
      <x:c r="H70" s="25"/>
      <x:c r="I70" s="25" t="str">
        <x:v>2026-07-29</x:v>
      </x:c>
      <x:c r="J70" s="21" t="str">
        <x:v>Verified Search Snapshot / Risk Signal</x:v>
      </x:c>
      <x:c r="K70" s="21" t="str">
        <x:v>Medium</x:v>
      </x:c>
      <x:c r="L70" s="21" t="str">
        <x:v>Yes</x:v>
      </x:c>
      <x:c r="M70" s="21"/>
      <x:c r="N70" s="21" t="str">
        <x:v>Search changes rapidly; supports verification risk, not a counterfeit determination.</x:v>
      </x:c>
      <x:c r="O70" s="21" t="str">
        <x:v>Codex</x:v>
      </x:c>
    </x:row>
    <x:row r="71" ht="90" customHeight="1">
      <x:c r="A71" s="21" t="str">
        <x:v>SRC-BOJ-014</x:v>
      </x:c>
      <x:c r="B71" s="21" t="str">
        <x:v>KB002</x:v>
      </x:c>
      <x:c r="C71" s="21" t="str">
        <x:v>Hero SKU — Daily Relief Sunscreen</x:v>
      </x:c>
      <x:c r="D71" s="21" t="str">
        <x:v>Official page displayed 50 mL SPF 40, $18 list/$14.40 observed sale, 4.7 rating, 487 reviews, 92% recommendation, sold-out status and active-ingredient percentages.</x:v>
      </x:c>
      <x:c r="E71" s="21" t="str">
        <x:v>Beauty of Joseon — Daily Relief Sunscreen</x:v>
      </x:c>
      <x:c r="F71" s="21" t="str">
        <x:v>https://beautyofjoseon.com/products/daily-relief-sunscreen</x:v>
      </x:c>
      <x:c r="G71" s="21" t="str">
        <x:v>Official Product Page</x:v>
      </x:c>
      <x:c r="H71" s="25"/>
      <x:c r="I71" s="25" t="str">
        <x:v>2026-07-29</x:v>
      </x:c>
      <x:c r="J71" s="21" t="str">
        <x:v>Verified Product Fact</x:v>
      </x:c>
      <x:c r="K71" s="21" t="str">
        <x:v>High</x:v>
      </x:c>
      <x:c r="L71" s="21" t="str">
        <x:v>Yes</x:v>
      </x:c>
      <x:c r="M71" s="21"/>
      <x:c r="N71" s="21" t="str">
        <x:v>U.S.-specific OTC sunscreen; exact label and drug file still require vendor diligence.</x:v>
      </x:c>
      <x:c r="O71" s="21" t="str">
        <x:v>Codex</x:v>
      </x:c>
    </x:row>
    <x:row r="72" ht="90" customHeight="1">
      <x:c r="A72" s="21" t="str">
        <x:v>SRC-BOJ-015</x:v>
      </x:c>
      <x:c r="B72" s="21" t="str">
        <x:v>KB002</x:v>
      </x:c>
      <x:c r="C72" s="21" t="str">
        <x:v>Hero SKU — Revive Eye Serum</x:v>
      </x:c>
      <x:c r="D72" s="21" t="str">
        <x:v>Official page displayed 30 mL, $17 list, retinal/ginseng positioning, gradual-use/patch-test guidance and pregnancy/breastfeeding caution.</x:v>
      </x:c>
      <x:c r="E72" s="21" t="str">
        <x:v>Beauty of Joseon — Revive Eye Serum</x:v>
      </x:c>
      <x:c r="F72" s="21" t="str">
        <x:v>https://beautyofjoseon.com/products/revive-eye-serum-ginseng-retinal</x:v>
      </x:c>
      <x:c r="G72" s="21" t="str">
        <x:v>Official Product Page</x:v>
      </x:c>
      <x:c r="H72" s="25"/>
      <x:c r="I72" s="25" t="str">
        <x:v>2026-07-29</x:v>
      </x:c>
      <x:c r="J72" s="21" t="str">
        <x:v>Verified Product Fact / Brand Claim</x:v>
      </x:c>
      <x:c r="K72" s="21" t="str">
        <x:v>High</x:v>
      </x:c>
      <x:c r="L72" s="21" t="str">
        <x:v>Yes</x:v>
      </x:c>
      <x:c r="M72" s="21"/>
      <x:c r="N72" s="21" t="str">
        <x:v>Clinical and efficacy claims require underlying substantiation file for distributor use.</x:v>
      </x:c>
      <x:c r="O72" s="21" t="str">
        <x:v>Codex</x:v>
      </x:c>
    </x:row>
    <x:row r="73" ht="90" customHeight="1">
      <x:c r="A73" s="21" t="str">
        <x:v>SRC-BOJ-016</x:v>
      </x:c>
      <x:c r="B73" s="21" t="str">
        <x:v>KB002</x:v>
      </x:c>
      <x:c r="C73" s="21" t="str">
        <x:v>Hero SKU — Glow Serum</x:v>
      </x:c>
      <x:c r="D73" s="21" t="str">
        <x:v>Official page displayed 30 mL, $17 list, 60% propolis extract, 2% niacinamide, BHA and current promotional pricing.</x:v>
      </x:c>
      <x:c r="E73" s="21" t="str">
        <x:v>Beauty of Joseon — Glow Serum</x:v>
      </x:c>
      <x:c r="F73" s="21" t="str">
        <x:v>https://beautyofjoseon.com/products/glow-serum-propolis-niacinamide</x:v>
      </x:c>
      <x:c r="G73" s="21" t="str">
        <x:v>Official Product Page</x:v>
      </x:c>
      <x:c r="H73" s="25"/>
      <x:c r="I73" s="25" t="str">
        <x:v>2026-07-29</x:v>
      </x:c>
      <x:c r="J73" s="21" t="str">
        <x:v>Verified Product Fact / Brand Claim</x:v>
      </x:c>
      <x:c r="K73" s="21" t="str">
        <x:v>High</x:v>
      </x:c>
      <x:c r="L73" s="21" t="str">
        <x:v>Yes</x:v>
      </x:c>
      <x:c r="M73" s="21"/>
      <x:c r="N73" s="21" t="str">
        <x:v>Propolis is animal-derived; BHA/efficacy claims require label review.</x:v>
      </x:c>
      <x:c r="O73" s="21" t="str">
        <x:v>Codex</x:v>
      </x:c>
    </x:row>
    <x:row r="74" ht="90" customHeight="1">
      <x:c r="A74" s="21" t="str">
        <x:v>SRC-BOJ-017</x:v>
      </x:c>
      <x:c r="B74" s="21" t="str">
        <x:v>KB002</x:v>
      </x:c>
      <x:c r="C74" s="21" t="str">
        <x:v>Hero SKU — Dynasty Cream</x:v>
      </x:c>
      <x:c r="D74" s="21" t="str">
        <x:v>Official page identifies Dynasty Cream as the brand's first-ever launch; 50 mL variant and $24 market price were cross-checked on Amazon/Sephora.</x:v>
      </x:c>
      <x:c r="E74" s="21" t="str">
        <x:v>Beauty of Joseon — Dynasty Cream</x:v>
      </x:c>
      <x:c r="F74" s="21" t="str">
        <x:v>https://beautyofjoseon.com/products/dynasty-cream</x:v>
      </x:c>
      <x:c r="G74" s="21" t="str">
        <x:v>Official Product Page</x:v>
      </x:c>
      <x:c r="H74" s="25"/>
      <x:c r="I74" s="25" t="str">
        <x:v>2026-07-29</x:v>
      </x:c>
      <x:c r="J74" s="21" t="str">
        <x:v>Verified Product Fact / Brand Claim</x:v>
      </x:c>
      <x:c r="K74" s="21" t="str">
        <x:v>High</x:v>
      </x:c>
      <x:c r="L74" s="21" t="str">
        <x:v>Yes</x:v>
      </x:c>
      <x:c r="M74" s="21"/>
      <x:c r="N74" s="21" t="str">
        <x:v>Official page defaulted to 30 mL; hero analysis uses 50 mL current U.S. retail variant.</x:v>
      </x:c>
      <x:c r="O74" s="21" t="str">
        <x:v>Codex</x:v>
      </x:c>
    </x:row>
    <x:row r="75" ht="90" customHeight="1">
      <x:c r="A75" s="21" t="str">
        <x:v>SRC-BOJ-018</x:v>
      </x:c>
      <x:c r="B75" s="21" t="str">
        <x:v>KB002</x:v>
      </x:c>
      <x:c r="C75" s="21" t="str">
        <x:v>Hero SKU — Green Plum Cleanser</x:v>
      </x:c>
      <x:c r="D75" s="21" t="str">
        <x:v>Official page displayed 100 mL, $13 list, pH-balanced plum/mung-bean cleanser positioning and stated it is not intended to remove makeup alone.</x:v>
      </x:c>
      <x:c r="E75" s="21" t="str">
        <x:v>Beauty of Joseon — Green Plum Refreshing Cleanser</x:v>
      </x:c>
      <x:c r="F75" s="21" t="str">
        <x:v>https://beautyofjoseon.com/products/green-plum-refreshing-cleanser</x:v>
      </x:c>
      <x:c r="G75" s="21" t="str">
        <x:v>Official Product Page</x:v>
      </x:c>
      <x:c r="H75" s="25"/>
      <x:c r="I75" s="25" t="str">
        <x:v>2026-07-29</x:v>
      </x:c>
      <x:c r="J75" s="21" t="str">
        <x:v>Verified Product Fact / Brand Claim</x:v>
      </x:c>
      <x:c r="K75" s="21" t="str">
        <x:v>High</x:v>
      </x:c>
      <x:c r="L75" s="21" t="str">
        <x:v>Yes</x:v>
      </x:c>
      <x:c r="M75" s="21"/>
      <x:c r="N75" s="21" t="str">
        <x:v>Official product facts and use instructions.</x:v>
      </x:c>
      <x:c r="O75" s="21" t="str">
        <x:v>Codex</x:v>
      </x:c>
    </x:row>
    <x:row r="76" ht="90" customHeight="1">
      <x:c r="A76" s="21" t="str">
        <x:v>SRC-BOJ-019</x:v>
      </x:c>
      <x:c r="B76" s="21" t="str">
        <x:v>KB002</x:v>
      </x:c>
      <x:c r="C76" s="21" t="str">
        <x:v>Sephora presence</x:v>
      </x:c>
      <x:c r="D76" s="21" t="str">
        <x:v>Sephora U.S. brand page displayed 22 products including Revive Eye Serum, Green Plum Cleanser, Dynasty Cream and U.S.-market sunscreens.</x:v>
      </x:c>
      <x:c r="E76" s="21" t="str">
        <x:v>Sephora U.S. — Beauty of Joseon</x:v>
      </x:c>
      <x:c r="F76" s="21" t="str">
        <x:v>https://www.sephora.com/brand/beauty-of-joseon</x:v>
      </x:c>
      <x:c r="G76" s="21" t="str">
        <x:v>Authorized Retailer</x:v>
      </x:c>
      <x:c r="H76" s="25"/>
      <x:c r="I76" s="25" t="str">
        <x:v>2026-07-29</x:v>
      </x:c>
      <x:c r="J76" s="21" t="str">
        <x:v>Verified Fact</x:v>
      </x:c>
      <x:c r="K76" s="21" t="str">
        <x:v>High</x:v>
      </x:c>
      <x:c r="L76" s="21" t="str">
        <x:v>Yes</x:v>
      </x:c>
      <x:c r="M76" s="21"/>
      <x:c r="N76" s="21" t="str">
        <x:v>Mainstream online/offline specialty-retail validation.</x:v>
      </x:c>
      <x:c r="O76" s="21" t="str">
        <x:v>Codex</x:v>
      </x:c>
    </x:row>
    <x:row r="77" ht="90" customHeight="1">
      <x:c r="A77" s="21" t="str">
        <x:v>SRC-BOJ-020</x:v>
      </x:c>
      <x:c r="B77" s="21" t="str">
        <x:v>KB002</x:v>
      </x:c>
      <x:c r="C77" s="21" t="str">
        <x:v>Sephora — Revive Eye Serum</x:v>
      </x:c>
      <x:c r="D77" s="21" t="str">
        <x:v>Sephora displayed $17, 181 reviews, 60.9K loves and customer highlights for satisfaction, texture and price.</x:v>
      </x:c>
      <x:c r="E77" s="21" t="str">
        <x:v>Sephora U.S. — Revive Eye Serum</x:v>
      </x:c>
      <x:c r="F77" s="21" t="str">
        <x:v>https://www.sephora.com/product/revive-eye-serum-30ml-P517642?skuId=2896223</x:v>
      </x:c>
      <x:c r="G77" s="21" t="str">
        <x:v>Authorized Retailer</x:v>
      </x:c>
      <x:c r="H77" s="25"/>
      <x:c r="I77" s="25" t="str">
        <x:v>2026-07-29</x:v>
      </x:c>
      <x:c r="J77" s="21" t="str">
        <x:v>Verified Fact / Consumer Evidence</x:v>
      </x:c>
      <x:c r="K77" s="21" t="str">
        <x:v>High</x:v>
      </x:c>
      <x:c r="L77" s="21" t="str">
        <x:v>Yes</x:v>
      </x:c>
      <x:c r="M77" s="21"/>
      <x:c r="N77" s="21" t="str">
        <x:v>Retailer snapshot; counts change over time.</x:v>
      </x:c>
      <x:c r="O77" s="21" t="str">
        <x:v>Codex</x:v>
      </x:c>
    </x:row>
    <x:row r="78" ht="90" customHeight="1">
      <x:c r="A78" s="21" t="str">
        <x:v>SRC-BOJ-021</x:v>
      </x:c>
      <x:c r="B78" s="21" t="str">
        <x:v>KB002</x:v>
      </x:c>
      <x:c r="C78" s="21" t="str">
        <x:v>Walmart marketplace / authorization risk</x:v>
      </x:c>
      <x:c r="D78" s="21" t="str">
        <x:v>Walmart displayed Revive Eye Serum at $17, 3.9/75 ratings, sold by Premium Beauty US and fulfilled by Walmart.</x:v>
      </x:c>
      <x:c r="E78" s="21" t="str">
        <x:v>Walmart U.S.</x:v>
      </x:c>
      <x:c r="F78" s="21" t="str">
        <x:v>https://www.walmart.com/ip/1952260118</x:v>
      </x:c>
      <x:c r="G78" s="21" t="str">
        <x:v>Marketplace</x:v>
      </x:c>
      <x:c r="H78" s="25"/>
      <x:c r="I78" s="25" t="str">
        <x:v>2026-07-29</x:v>
      </x:c>
      <x:c r="J78" s="21" t="str">
        <x:v>Verified Platform Display / Risk Signal</x:v>
      </x:c>
      <x:c r="K78" s="21" t="str">
        <x:v>High</x:v>
      </x:c>
      <x:c r="L78" s="21" t="str">
        <x:v>Yes</x:v>
      </x:c>
      <x:c r="M78" s="21"/>
      <x:c r="N78" s="21" t="str">
        <x:v>Seller is third party and not confirmed on official U.S. authorized list.</x:v>
      </x:c>
      <x:c r="O78" s="21" t="str">
        <x:v>Codex</x:v>
      </x:c>
    </x:row>
    <x:row r="79" ht="90" customHeight="1">
      <x:c r="A79" s="21" t="str">
        <x:v>SRC-BOJ-022</x:v>
      </x:c>
      <x:c r="B79" s="21" t="str">
        <x:v>KB002</x:v>
      </x:c>
      <x:c r="C79" s="21" t="str">
        <x:v>TikTok Shop official product</x:v>
      </x:c>
      <x:c r="D79" s="21" t="str">
        <x:v>TikTok Shop product page identifies Beauty of Joseon US as an official shop for Revive Eye Serum.</x:v>
      </x:c>
      <x:c r="E79" s="21" t="str">
        <x:v>TikTok Shop — Revive Eye Serum</x:v>
      </x:c>
      <x:c r="F79" s="21" t="str">
        <x:v>https://shop.tiktok.com/view/product/1729546073963794865?region=US</x:v>
      </x:c>
      <x:c r="G79" s="21" t="str">
        <x:v>Social Commerce Marketplace</x:v>
      </x:c>
      <x:c r="H79" s="25"/>
      <x:c r="I79" s="25" t="str">
        <x:v>2026-07-29</x:v>
      </x:c>
      <x:c r="J79" s="21" t="str">
        <x:v>Verified Platform Display</x:v>
      </x:c>
      <x:c r="K79" s="21" t="str">
        <x:v>Medium-High</x:v>
      </x:c>
      <x:c r="L79" s="21" t="str">
        <x:v>Yes</x:v>
      </x:c>
      <x:c r="M79" s="21"/>
      <x:c r="N79" s="21" t="str">
        <x:v>Dynamic shop data and promotions can change.</x:v>
      </x:c>
      <x:c r="O79" s="21" t="str">
        <x:v>Codex</x:v>
      </x:c>
    </x:row>
    <x:row r="80" ht="90" customHeight="1">
      <x:c r="A80" s="21" t="str">
        <x:v>SRC-BOJ-023</x:v>
      </x:c>
      <x:c r="B80" s="21" t="str">
        <x:v>KB002</x:v>
      </x:c>
      <x:c r="C80" s="21" t="str">
        <x:v>TikTok Shop store scale</x:v>
      </x:c>
      <x:c r="D80" s="21" t="str">
        <x:v>Public TikTok Shop results displayed Beauty of Joseon US with 84.6K+ followers and 657.2K sold; Green Plum Cleanser displayed 8.0K sold and Revive Under Eye Patch 8.2K sold.</x:v>
      </x:c>
      <x:c r="E80" s="21" t="str">
        <x:v>TikTok Shop — Beauty of Joseon US</x:v>
      </x:c>
      <x:c r="F80" s="21" t="str">
        <x:v>https://shop.tiktok.com/us/k/beautyofjoseon-us</x:v>
      </x:c>
      <x:c r="G80" s="21" t="str">
        <x:v>Social Commerce Marketplace</x:v>
      </x:c>
      <x:c r="H80" s="25"/>
      <x:c r="I80" s="25" t="str">
        <x:v>2026-07-29</x:v>
      </x:c>
      <x:c r="J80" s="21" t="str">
        <x:v>Verified Platform Display</x:v>
      </x:c>
      <x:c r="K80" s="21" t="str">
        <x:v>Medium-High</x:v>
      </x:c>
      <x:c r="L80" s="21" t="str">
        <x:v>Yes</x:v>
      </x:c>
      <x:c r="M80" s="21"/>
      <x:c r="N80" s="21" t="str">
        <x:v>Cumulative display; not audited U.S. revenue or period sell-through.</x:v>
      </x:c>
      <x:c r="O80" s="21" t="str">
        <x:v>Codex</x:v>
      </x:c>
    </x:row>
    <x:row r="81" ht="90" customHeight="1">
      <x:c r="A81" s="21" t="str">
        <x:v>SRC-BOJ-024</x:v>
      </x:c>
      <x:c r="B81" s="21" t="str">
        <x:v>KB002</x:v>
      </x:c>
      <x:c r="C81" s="21" t="str">
        <x:v>Korea consumer prices</x:v>
      </x:c>
      <x:c r="D81" s="21" t="str">
        <x:v>Official Korea catalog displayed Revive Eye Serum KRW 17,000, Glow Serum KRW 17,000, Dynasty Cream KRW 24,000 and Green Plum Cleanser KRW 13,000.</x:v>
      </x:c>
      <x:c r="E81" s="21" t="str">
        <x:v>Beauty of Joseon Korea — Shop All</x:v>
      </x:c>
      <x:c r="F81" s="21" t="str">
        <x:v>https://beautyofjoseon.co.kr/product/list.html?cate_no=118&amp;sort_method=3</x:v>
      </x:c>
      <x:c r="G81" s="21" t="str">
        <x:v>Official Korea Catalog</x:v>
      </x:c>
      <x:c r="H81" s="25"/>
      <x:c r="I81" s="25" t="str">
        <x:v>2026-07-29</x:v>
      </x:c>
      <x:c r="J81" s="21" t="str">
        <x:v>Verified Product Fact</x:v>
      </x:c>
      <x:c r="K81" s="21" t="str">
        <x:v>High</x:v>
      </x:c>
      <x:c r="L81" s="21" t="str">
        <x:v>Yes</x:v>
      </x:c>
      <x:c r="M81" s="21"/>
      <x:c r="N81" s="21" t="str">
        <x:v>Korea consumer list prices; not wholesale cost.</x:v>
      </x:c>
      <x:c r="O81" s="21" t="str">
        <x:v>Codex</x:v>
      </x:c>
    </x:row>
    <x:row r="82" ht="90" customHeight="1">
      <x:c r="A82" s="21" t="str">
        <x:v>SRC-BOJ-025</x:v>
      </x:c>
      <x:c r="B82" s="21" t="str">
        <x:v>KB002</x:v>
      </x:c>
      <x:c r="C82" s="21" t="str">
        <x:v>U.S. corporate infrastructure</x:v>
      </x:c>
      <x:c r="D82" s="21" t="str">
        <x:v>Goodai's milestones show acquisition of Hansung USA in February 2026 and establishment of GOODAI GLOBAL USA in April 2026.</x:v>
      </x:c>
      <x:c r="E82" s="21" t="str">
        <x:v>GOODAI GLOBAL — Milestones</x:v>
      </x:c>
      <x:c r="F82" s="21" t="str">
        <x:v>https://www.goodai-global.com/en/company/history</x:v>
      </x:c>
      <x:c r="G82" s="21" t="str">
        <x:v>Official Corporate Site</x:v>
      </x:c>
      <x:c r="H82" s="25"/>
      <x:c r="I82" s="25" t="str">
        <x:v>2026-07-29</x:v>
      </x:c>
      <x:c r="J82" s="21" t="str">
        <x:v>Verified Corporate Fact</x:v>
      </x:c>
      <x:c r="K82" s="21" t="str">
        <x:v>High</x:v>
      </x:c>
      <x:c r="L82" s="21" t="str">
        <x:v>Yes</x:v>
      </x:c>
      <x:c r="M82" s="21"/>
      <x:c r="N82" s="21" t="str">
        <x:v>Suggests direct U.S. infrastructure; exact entity roles and distributor rights require confirmation.</x:v>
      </x:c>
      <x:c r="O82" s="21" t="str">
        <x:v>Codex</x:v>
      </x:c>
    </x:row>
    <x:row r="83" ht="90" customHeight="1">
      <x:c r="A83" s="21" t="str">
        <x:v>SRC-BOJ-026</x:v>
      </x:c>
      <x:c r="B83" s="21" t="str">
        <x:v>KB002</x:v>
      </x:c>
      <x:c r="C83" s="21" t="str">
        <x:v>Reddit — Revive Eye Serum</x:v>
      </x:c>
      <x:c r="D83" s="21" t="str">
        <x:v>Large consumer thread reports strong smoothing/value experiences alongside repeated stinging, redness, peeling, swelling and other irritation concerns.</x:v>
      </x:c>
      <x:c r="E83" s="21" t="str">
        <x:v>Reddit r/AsianBeauty</x:v>
      </x:c>
      <x:c r="F83" s="21" t="str">
        <x:v>https://www.reddit.com/r/AsianBeauty/comments/wpxtyd/beauty_of_joseon_revive_eye_serum_review/</x:v>
      </x:c>
      <x:c r="G83" s="21" t="str">
        <x:v>Consumer Forum</x:v>
      </x:c>
      <x:c r="H83" s="25" t="str">
        <x:v>2022-08-16</x:v>
      </x:c>
      <x:c r="I83" s="25" t="str">
        <x:v>2026-07-29</x:v>
      </x:c>
      <x:c r="J83" s="21" t="str">
        <x:v>Anecdotal Consumer Evidence</x:v>
      </x:c>
      <x:c r="K83" s="21" t="str">
        <x:v>Medium</x:v>
      </x:c>
      <x:c r="L83" s="21" t="str">
        <x:v>Yes</x:v>
      </x:c>
      <x:c r="M83" s="21"/>
      <x:c r="N83" s="21" t="str">
        <x:v>No medical conclusion; self-selected and non-representative.</x:v>
      </x:c>
      <x:c r="O83" s="21" t="str">
        <x:v>Codex</x:v>
      </x:c>
    </x:row>
    <x:row r="84" ht="90" customHeight="1">
      <x:c r="A84" s="21" t="str">
        <x:v>SRC-BOJ-027</x:v>
      </x:c>
      <x:c r="B84" s="21" t="str">
        <x:v>KB002</x:v>
      </x:c>
      <x:c r="C84" s="21" t="str">
        <x:v>Reddit — Relief Sun negative</x:v>
      </x:c>
      <x:c r="D84" s="21" t="str">
        <x:v>Consumer thread describes a poor Relief Sun experience and pilling; discussion notes routine compatibility can affect sunscreen behavior.</x:v>
      </x:c>
      <x:c r="E84" s="21" t="str">
        <x:v>Reddit r/SkincareAddiction</x:v>
      </x:c>
      <x:c r="F84" s="21" t="str">
        <x:v>https://www.reddit.com/r/SkincareAddiction/comments/1l8zk2j/review_beauty_of_joseon_relief_sun_is_terrible/</x:v>
      </x:c>
      <x:c r="G84" s="21" t="str">
        <x:v>Consumer Forum</x:v>
      </x:c>
      <x:c r="H84" s="25" t="str">
        <x:v>2025-06-01</x:v>
      </x:c>
      <x:c r="I84" s="25" t="str">
        <x:v>2026-07-29</x:v>
      </x:c>
      <x:c r="J84" s="21" t="str">
        <x:v>Anecdotal Consumer Evidence</x:v>
      </x:c>
      <x:c r="K84" s="21" t="str">
        <x:v>Low-Medium</x:v>
      </x:c>
      <x:c r="L84" s="21" t="str">
        <x:v>Yes</x:v>
      </x:c>
      <x:c r="M84" s="21"/>
      <x:c r="N84" s="21" t="str">
        <x:v>Global/Korean Relief Sun discussion; not Daily Relief U.S. SPF 40.</x:v>
      </x:c>
      <x:c r="O84" s="21" t="str">
        <x:v>Codex</x:v>
      </x:c>
    </x:row>
    <x:row r="85" ht="90" customHeight="1">
      <x:c r="A85" s="21" t="str">
        <x:v>SRC-BOJ-028</x:v>
      </x:c>
      <x:c r="B85" s="21" t="str">
        <x:v>KB002</x:v>
      </x:c>
      <x:c r="C85" s="21" t="str">
        <x:v>Reddit — Relief Sun positive</x:v>
      </x:c>
      <x:c r="D85" s="21" t="str">
        <x:v>Recent sunscreen review reports no white cast and good layering under makeup for Relief Sun.</x:v>
      </x:c>
      <x:c r="E85" s="21" t="str">
        <x:v>Reddit r/AsianBeauty</x:v>
      </x:c>
      <x:c r="F85" s="21" t="str">
        <x:v>https://www.reddit.com/r/AsianBeauty/comments/1rywndi/review_my_top_5_korean_sunscreens_tested_over_6/</x:v>
      </x:c>
      <x:c r="G85" s="21" t="str">
        <x:v>Consumer Forum</x:v>
      </x:c>
      <x:c r="H85" s="25" t="str">
        <x:v>2026-03-01</x:v>
      </x:c>
      <x:c r="I85" s="25" t="str">
        <x:v>2026-07-29</x:v>
      </x:c>
      <x:c r="J85" s="21" t="str">
        <x:v>Anecdotal Consumer Evidence</x:v>
      </x:c>
      <x:c r="K85" s="21" t="str">
        <x:v>Low-Medium</x:v>
      </x:c>
      <x:c r="L85" s="21" t="str">
        <x:v>Yes</x:v>
      </x:c>
      <x:c r="M85" s="21"/>
      <x:c r="N85" s="21" t="str">
        <x:v>Single-user report and non-U.S. product-version ambiguity.</x:v>
      </x:c>
      <x:c r="O85" s="21" t="str">
        <x:v>Codex</x:v>
      </x:c>
    </x:row>
    <x:row r="86" ht="90" customHeight="1">
      <x:c r="A86" s="21" t="str">
        <x:v>SRC-BOJ-029</x:v>
      </x:c>
      <x:c r="B86" s="21" t="str">
        <x:v>KB002</x:v>
      </x:c>
      <x:c r="C86" s="21" t="str">
        <x:v>Reddit — Relief Sun pilling</x:v>
      </x:c>
      <x:c r="D86" s="21" t="str">
        <x:v>Consumer thread discusses pilling around the eyes/beard and when layered with skincare or makeup.</x:v>
      </x:c>
      <x:c r="E86" s="21" t="str">
        <x:v>Reddit r/AsianBeauty</x:v>
      </x:c>
      <x:c r="F86" s="21" t="str">
        <x:v>https://www.reddit.com/r/AsianBeauty/comments/xv5nra/has_anyone_else_experienced_pilling_with_the/</x:v>
      </x:c>
      <x:c r="G86" s="21" t="str">
        <x:v>Consumer Forum</x:v>
      </x:c>
      <x:c r="H86" s="25" t="str">
        <x:v>2022-10-04</x:v>
      </x:c>
      <x:c r="I86" s="25" t="str">
        <x:v>2026-07-29</x:v>
      </x:c>
      <x:c r="J86" s="21" t="str">
        <x:v>Anecdotal Consumer Evidence</x:v>
      </x:c>
      <x:c r="K86" s="21" t="str">
        <x:v>Low-Medium</x:v>
      </x:c>
      <x:c r="L86" s="21" t="str">
        <x:v>Yes</x:v>
      </x:c>
      <x:c r="M86" s="21"/>
      <x:c r="N86" s="21" t="str">
        <x:v>Global/Korean Relief Sun; market-version distinction applies.</x:v>
      </x:c>
      <x:c r="O86" s="21" t="str">
        <x:v>Codex</x:v>
      </x:c>
    </x:row>
    <x:row r="87" ht="90" customHeight="1">
      <x:c r="A87" s="21" t="str">
        <x:v>SRC-BOJ-030</x:v>
      </x:c>
      <x:c r="B87" s="21" t="str">
        <x:v>KB002</x:v>
      </x:c>
      <x:c r="C87" s="21" t="str">
        <x:v>Reddit — Glow Serum</x:v>
      </x:c>
      <x:c r="D87" s="21" t="str">
        <x:v>Consumer discussion characterizes Glow Serum as slightly sticky while noting hydration/glow benefits.</x:v>
      </x:c>
      <x:c r="E87" s="21" t="str">
        <x:v>Reddit r/AsianBeauty</x:v>
      </x:c>
      <x:c r="F87" s="21" t="str">
        <x:v>https://www.reddit.com/r/AsianBeauty/comments/vnyygr/best_worst_of_beauty_of_joseon/</x:v>
      </x:c>
      <x:c r="G87" s="21" t="str">
        <x:v>Consumer Forum</x:v>
      </x:c>
      <x:c r="H87" s="25" t="str">
        <x:v>2022-06-29</x:v>
      </x:c>
      <x:c r="I87" s="25" t="str">
        <x:v>2026-07-29</x:v>
      </x:c>
      <x:c r="J87" s="21" t="str">
        <x:v>Anecdotal Consumer Evidence</x:v>
      </x:c>
      <x:c r="K87" s="21" t="str">
        <x:v>Low-Medium</x:v>
      </x:c>
      <x:c r="L87" s="21" t="str">
        <x:v>Yes</x:v>
      </x:c>
      <x:c r="M87" s="21"/>
      <x:c r="N87" s="21" t="str">
        <x:v>Formula and consumer experience may vary.</x:v>
      </x:c>
      <x:c r="O87" s="21" t="str">
        <x:v>Codex</x:v>
      </x:c>
    </x:row>
    <x:row r="88" ht="90" customHeight="1">
      <x:c r="A88" s="21" t="str">
        <x:v>SRC-BOJ-031</x:v>
      </x:c>
      <x:c r="B88" s="21" t="str">
        <x:v>KB002</x:v>
      </x:c>
      <x:c r="C88" s="21" t="str">
        <x:v>Reddit — U.S. formula/channel perception</x:v>
      </x:c>
      <x:c r="D88" s="21" t="str">
        <x:v>2026 consumer discussion shows confusion and skepticism about U.S.-specific formulas, ownership and pricing differences.</x:v>
      </x:c>
      <x:c r="E88" s="21" t="str">
        <x:v>Reddit r/kbeauty</x:v>
      </x:c>
      <x:c r="F88" s="21" t="str">
        <x:v>https://www.reddit.com/r/kbeauty/comments/1u1jj5l/what_happened/</x:v>
      </x:c>
      <x:c r="G88" s="21" t="str">
        <x:v>Consumer Forum</x:v>
      </x:c>
      <x:c r="H88" s="25" t="str">
        <x:v>2026-06-09</x:v>
      </x:c>
      <x:c r="I88" s="25" t="str">
        <x:v>2026-07-29</x:v>
      </x:c>
      <x:c r="J88" s="21" t="str">
        <x:v>Anecdotal Risk Signal</x:v>
      </x:c>
      <x:c r="K88" s="21" t="str">
        <x:v>Medium</x:v>
      </x:c>
      <x:c r="L88" s="21" t="str">
        <x:v>Yes</x:v>
      </x:c>
      <x:c r="M88" s="21"/>
      <x:c r="N88" s="21" t="str">
        <x:v>Use official sources for facts; forum provides consumer-perception evidence.</x:v>
      </x:c>
      <x:c r="O88" s="21" t="str">
        <x:v>Codex</x:v>
      </x:c>
    </x:row>
    <x:row r="89" ht="90" customHeight="1">
      <x:c r="A89" s="21" t="str">
        <x:v>SRC-BOJ-032</x:v>
      </x:c>
      <x:c r="B89" s="21" t="str">
        <x:v>KB002</x:v>
      </x:c>
      <x:c r="C89" s="21" t="str">
        <x:v>Competitor — U.S. sunscreen</x:v>
      </x:c>
      <x:c r="D89" s="21" t="str">
        <x:v>e.l.f. Suntouchable Invisible Sunscreen SPF 35: 1.7 oz, $15, 4.6 rating and 11,794 Ulta reviews.</x:v>
      </x:c>
      <x:c r="E89" s="21" t="str">
        <x:v>Ulta Beauty</x:v>
      </x:c>
      <x:c r="F89" s="21" t="str">
        <x:v>https://www.ulta.com/p/suntouchable-invisible-sunscreen-spf-35-pimprod2039942?sku=2611369</x:v>
      </x:c>
      <x:c r="G89" s="21" t="str">
        <x:v>Authorized Retailer</x:v>
      </x:c>
      <x:c r="H89" s="25"/>
      <x:c r="I89" s="25" t="str">
        <x:v>2026-07-29</x:v>
      </x:c>
      <x:c r="J89" s="21" t="str">
        <x:v>Verified Competitor Fact</x:v>
      </x:c>
      <x:c r="K89" s="21" t="str">
        <x:v>High</x:v>
      </x:c>
      <x:c r="L89" s="21" t="str">
        <x:v>Yes</x:v>
      </x:c>
      <x:c r="M89" s="21"/>
      <x:c r="N89" s="21" t="str">
        <x:v>Current U.S. mass/value benchmark.</x:v>
      </x:c>
      <x:c r="O89" s="21" t="str">
        <x:v>Codex</x:v>
      </x:c>
    </x:row>
    <x:row r="90" ht="90" customHeight="1">
      <x:c r="A90" s="21" t="str">
        <x:v>SRC-BOJ-033</x:v>
      </x:c>
      <x:c r="B90" s="21" t="str">
        <x:v>KB002</x:v>
      </x:c>
      <x:c r="C90" s="21" t="str">
        <x:v>Competitor — retinol eye cream</x:v>
      </x:c>
      <x:c r="D90" s="21" t="str">
        <x:v>RoC Retinol Line Smoothing Eye Cream: 0.5 oz, $29.99, 4.5 rating and 5,142 Ulta reviews.</x:v>
      </x:c>
      <x:c r="E90" s="21" t="str">
        <x:v>Ulta Beauty</x:v>
      </x:c>
      <x:c r="F90" s="21" t="str">
        <x:v>https://www.ulta.com/p/retinol-correxion-anti-wrinkle-firming-eye-cream-dark-circles-puffy-eyes-pimprod2033457</x:v>
      </x:c>
      <x:c r="G90" s="21" t="str">
        <x:v>Authorized Retailer</x:v>
      </x:c>
      <x:c r="H90" s="25"/>
      <x:c r="I90" s="25" t="str">
        <x:v>2026-07-29</x:v>
      </x:c>
      <x:c r="J90" s="21" t="str">
        <x:v>Verified Competitor Fact</x:v>
      </x:c>
      <x:c r="K90" s="21" t="str">
        <x:v>High</x:v>
      </x:c>
      <x:c r="L90" s="21" t="str">
        <x:v>Yes</x:v>
      </x:c>
      <x:c r="M90" s="21"/>
      <x:c r="N90" s="21" t="str">
        <x:v>Current U.S. retinol-eye benchmark.</x:v>
      </x:c>
      <x:c r="O90" s="21" t="str">
        <x:v>Codex</x:v>
      </x:c>
    </x:row>
    <x:row r="91" ht="90" customHeight="1">
      <x:c r="A91" s="21" t="str">
        <x:v>SRC-BOJ-034</x:v>
      </x:c>
      <x:c r="B91" s="21" t="str">
        <x:v>KB002</x:v>
      </x:c>
      <x:c r="C91" s="21" t="str">
        <x:v>Competitor — brightening serum</x:v>
      </x:c>
      <x:c r="D91" s="21" t="str">
        <x:v>Anua Niacinamide 10 + TXA 4 Serum displayed $21.85, 16.3K reviews, 4.5 rating and 30K+ bought/month on Amazon.</x:v>
      </x:c>
      <x:c r="E91" s="21" t="str">
        <x:v>Amazon U.S.</x:v>
      </x:c>
      <x:c r="F91" s="21" t="str">
        <x:v>https://www.amazon.com/dp/B0CLLV2T1P</x:v>
      </x:c>
      <x:c r="G91" s="21" t="str">
        <x:v>Marketplace</x:v>
      </x:c>
      <x:c r="H91" s="25"/>
      <x:c r="I91" s="25" t="str">
        <x:v>2026-07-29</x:v>
      </x:c>
      <x:c r="J91" s="21" t="str">
        <x:v>Verified Competitor Platform Display</x:v>
      </x:c>
      <x:c r="K91" s="21" t="str">
        <x:v>High</x:v>
      </x:c>
      <x:c r="L91" s="21" t="str">
        <x:v>Yes</x:v>
      </x:c>
      <x:c r="M91" s="21"/>
      <x:c r="N91" s="21" t="str">
        <x:v>Current high-velocity K-Beauty serum benchmark.</x:v>
      </x:c>
      <x:c r="O91" s="21" t="str">
        <x:v>Codex</x:v>
      </x:c>
    </x:row>
    <x:row r="92" ht="90" customHeight="1">
      <x:c r="A92" s="21" t="str">
        <x:v>SRC-BOJ-035</x:v>
      </x:c>
      <x:c r="B92" s="21" t="str">
        <x:v>KB002</x:v>
      </x:c>
      <x:c r="C92" s="21" t="str">
        <x:v>Competitor — moisturizer</x:v>
      </x:c>
      <x:c r="D92" s="21" t="str">
        <x:v>COSRX Advanced Snail 92 Cream displayed $19.99, 61.5K reviews, 4.5 rating and 10K+ bought/month on Amazon.</x:v>
      </x:c>
      <x:c r="E92" s="21" t="str">
        <x:v>Amazon U.S.</x:v>
      </x:c>
      <x:c r="F92" s="21" t="str">
        <x:v>https://www.amazon.com/dp/B01LEJ5MSK</x:v>
      </x:c>
      <x:c r="G92" s="21" t="str">
        <x:v>Marketplace</x:v>
      </x:c>
      <x:c r="H92" s="25"/>
      <x:c r="I92" s="25" t="str">
        <x:v>2026-07-29</x:v>
      </x:c>
      <x:c r="J92" s="21" t="str">
        <x:v>Verified Competitor Platform Display</x:v>
      </x:c>
      <x:c r="K92" s="21" t="str">
        <x:v>High</x:v>
      </x:c>
      <x:c r="L92" s="21" t="str">
        <x:v>Yes</x:v>
      </x:c>
      <x:c r="M92" s="21"/>
      <x:c r="N92" s="21" t="str">
        <x:v>Current high-awareness K-Beauty moisturizer benchmark.</x:v>
      </x:c>
      <x:c r="O92" s="21" t="str">
        <x:v>Codex</x:v>
      </x:c>
    </x:row>
    <x:row r="93" ht="90" customHeight="1">
      <x:c r="A93" s="21" t="str">
        <x:v>SRC-BOJ-036</x:v>
      </x:c>
      <x:c r="B93" s="21" t="str">
        <x:v>KB002</x:v>
      </x:c>
      <x:c r="C93" s="21" t="str">
        <x:v>Competitor — cleanser</x:v>
      </x:c>
      <x:c r="D93" s="21" t="str">
        <x:v>COSRX Low pH Good Morning Gel Cleanser displayed $11.90, 21.1K reviews, 4.5 rating and 10K+ bought/month on Amazon.</x:v>
      </x:c>
      <x:c r="E93" s="21" t="str">
        <x:v>Amazon U.S.</x:v>
      </x:c>
      <x:c r="F93" s="21" t="str">
        <x:v>https://www.amazon.com/dp/B016NRXO06</x:v>
      </x:c>
      <x:c r="G93" s="21" t="str">
        <x:v>Marketplace</x:v>
      </x:c>
      <x:c r="H93" s="25"/>
      <x:c r="I93" s="25" t="str">
        <x:v>2026-07-29</x:v>
      </x:c>
      <x:c r="J93" s="21" t="str">
        <x:v>Verified Competitor Platform Display</x:v>
      </x:c>
      <x:c r="K93" s="21" t="str">
        <x:v>High</x:v>
      </x:c>
      <x:c r="L93" s="21" t="str">
        <x:v>Yes</x:v>
      </x:c>
      <x:c r="M93" s="21"/>
      <x:c r="N93" s="21" t="str">
        <x:v>Current iconic low-pH cleanser benchmark.</x:v>
      </x:c>
      <x:c r="O93" s="21" t="str">
        <x:v>Codex</x:v>
      </x:c>
    </x:row>
    <x:row r="94" ht="90" customHeight="1">
      <x:c r="A94" s="21" t="str">
        <x:v>SRC-BOJ-037</x:v>
      </x:c>
      <x:c r="B94" s="21" t="str">
        <x:v>KB002</x:v>
      </x:c>
      <x:c r="C94" s="21" t="str">
        <x:v>Cosmetics MoCRA registration/listing</x:v>
      </x:c>
      <x:c r="D94" s="21" t="str">
        <x:v>FDA states responsible persons must list marketed cosmetic products including ingredients and update annually; facilities have registration obligations, subject to exemptions.</x:v>
      </x:c>
      <x:c r="E94" s="21" t="str">
        <x:v>U.S. FDA</x:v>
      </x:c>
      <x:c r="F94" s="21" t="str">
        <x:v>https://www.fda.gov/cosmetics/registration-listing-cosmetic-product-facilities-and-products</x:v>
      </x:c>
      <x:c r="G94" s="21" t="str">
        <x:v>Regulator</x:v>
      </x:c>
      <x:c r="H94" s="25"/>
      <x:c r="I94" s="25" t="str">
        <x:v>2026-07-29</x:v>
      </x:c>
      <x:c r="J94" s="21" t="str">
        <x:v>Verified Regulatory Requirement</x:v>
      </x:c>
      <x:c r="K94" s="21" t="str">
        <x:v>High</x:v>
      </x:c>
      <x:c r="L94" s="21" t="str">
        <x:v>Yes</x:v>
      </x:c>
      <x:c r="M94" s="21"/>
      <x:c r="N94" s="21" t="str">
        <x:v>Registration/listing is not FDA approval; confirm current applicability and records.</x:v>
      </x:c>
      <x:c r="O94" s="21" t="str">
        <x:v>Codex</x:v>
      </x:c>
    </x:row>
    <x:row r="95" ht="90" customHeight="1">
      <x:c r="A95" s="21" t="str">
        <x:v>SRC-BOJ-038</x:v>
      </x:c>
      <x:c r="B95" s="21" t="str">
        <x:v>KB002</x:v>
      </x:c>
      <x:c r="C95" s="21" t="str">
        <x:v>OTC sunscreen active-ingredient limits</x:v>
      </x:c>
      <x:c r="D95" s="21" t="str">
        <x:v>FDA OTC Monograph M020 lists ceilings including avobenzone 3%, homosalate 15%, octisalate 5% and octocrylene 10%.</x:v>
      </x:c>
      <x:c r="E95" s="21" t="str">
        <x:v>U.S. FDA — OTC Monograph M020</x:v>
      </x:c>
      <x:c r="F95" s="21" t="str">
        <x:v>https://www.accessdata.fda.gov/drugsatfda_docs/omuf/monographs/OTCMonograph_M020-SunscreenDrugProductsforOTCHumanUse09242021.pdf</x:v>
      </x:c>
      <x:c r="G95" s="21" t="str">
        <x:v>Regulator / PDF</x:v>
      </x:c>
      <x:c r="H95" s="25" t="str">
        <x:v>2021-09-24</x:v>
      </x:c>
      <x:c r="I95" s="25" t="str">
        <x:v>2026-07-29</x:v>
      </x:c>
      <x:c r="J95" s="21" t="str">
        <x:v>Verified Regulatory Requirement</x:v>
      </x:c>
      <x:c r="K95" s="21" t="str">
        <x:v>High</x:v>
      </x:c>
      <x:c r="L95" s="21" t="str">
        <x:v>Yes</x:v>
      </x:c>
      <x:c r="M95" s="21"/>
      <x:c r="N95" s="21" t="str">
        <x:v>Daily Relief listed percentages are within these concentration ceilings; full compliance still requires much more.</x:v>
      </x:c>
      <x:c r="O95" s="21" t="str">
        <x:v>Codex</x:v>
      </x:c>
    </x:row>
    <x:row r="96" ht="90" customHeight="1">
      <x:c r="A96" s="21" t="str">
        <x:v>SRC-BOJ-039</x:v>
      </x:c>
      <x:c r="B96" s="21" t="str">
        <x:v>KB002</x:v>
      </x:c>
      <x:c r="C96" s="21" t="str">
        <x:v>OTC sunscreen labeling/testing</x:v>
      </x:c>
      <x:c r="D96" s="21" t="str">
        <x:v>FDA guidance describes required principal-display and Drug Facts labeling plus SPF and broad-spectrum effectiveness testing.</x:v>
      </x:c>
      <x:c r="E96" s="21" t="str">
        <x:v>U.S. FDA</x:v>
      </x:c>
      <x:c r="F96" s="21" t="str">
        <x:v>https://www.fda.gov/regulatory-information/search-fda-guidance-documents/labeling-and-effectiveness-testing-sunscreen-drug-products-over-counter-human-use-small-entity</x:v>
      </x:c>
      <x:c r="G96" s="21" t="str">
        <x:v>Regulator</x:v>
      </x:c>
      <x:c r="H96" s="25"/>
      <x:c r="I96" s="25" t="str">
        <x:v>2026-07-29</x:v>
      </x:c>
      <x:c r="J96" s="21" t="str">
        <x:v>Verified Regulatory Requirement</x:v>
      </x:c>
      <x:c r="K96" s="21" t="str">
        <x:v>High</x:v>
      </x:c>
      <x:c r="L96" s="21" t="str">
        <x:v>Yes</x:v>
      </x:c>
      <x:c r="M96" s="21"/>
      <x:c r="N96" s="21" t="str">
        <x:v>Obtain exact sellable label and test substantiation from vendor.</x:v>
      </x:c>
      <x:c r="O96" s="21" t="str">
        <x:v>Codex</x:v>
      </x:c>
    </x:row>
    <x:row r="97" ht="90" customHeight="1">
      <x:c r="A97" s="21" t="str">
        <x:v>SRC-BOJ-040</x:v>
      </x:c>
      <x:c r="B97" s="21" t="str">
        <x:v>KB002</x:v>
      </x:c>
      <x:c r="C97" s="21" t="str">
        <x:v>OTC Drug Facts</x:v>
      </x:c>
      <x:c r="D97" s="21" t="str">
        <x:v>FDA requires standardized Drug Facts information for OTC medicines including sunscreen.</x:v>
      </x:c>
      <x:c r="E97" s="21" t="str">
        <x:v>U.S. FDA — OTC Drug Facts Label</x:v>
      </x:c>
      <x:c r="F97" s="21" t="str">
        <x:v>https://www.fda.gov/drugs/understanding-over-counter-medicines/over-counter-drug-facts-label</x:v>
      </x:c>
      <x:c r="G97" s="21" t="str">
        <x:v>Regulator</x:v>
      </x:c>
      <x:c r="H97" s="25"/>
      <x:c r="I97" s="25" t="str">
        <x:v>2026-07-29</x:v>
      </x:c>
      <x:c r="J97" s="21" t="str">
        <x:v>Verified Regulatory Requirement</x:v>
      </x:c>
      <x:c r="K97" s="21" t="str">
        <x:v>High</x:v>
      </x:c>
      <x:c r="L97" s="21" t="str">
        <x:v>Yes</x:v>
      </x:c>
      <x:c r="M97" s="21"/>
      <x:c r="N97" s="21" t="str">
        <x:v>Confirm carton/tube layout and required warnings/directions.</x:v>
      </x:c>
      <x:c r="O97" s="21" t="str">
        <x:v>Codex</x:v>
      </x:c>
    </x:row>
    <x:row r="98" ht="90" customHeight="1">
      <x:c r="A98" s="21" t="str">
        <x:v>SRC-BOJ-041</x:v>
      </x:c>
      <x:c r="B98" s="21" t="str">
        <x:v>KB002</x:v>
      </x:c>
      <x:c r="C98" s="21" t="str">
        <x:v>Cosmetics import entry</x:v>
      </x:c>
      <x:c r="D98" s="21" t="str">
        <x:v>FDA's cosmetic import-entry material identifies facility registration and product-listing considerations for imported cosmetics.</x:v>
      </x:c>
      <x:c r="E98" s="21" t="str">
        <x:v>U.S. FDA</x:v>
      </x:c>
      <x:c r="F98" s="21" t="str">
        <x:v>https://www.fda.gov/media/188545/download</x:v>
      </x:c>
      <x:c r="G98" s="21" t="str">
        <x:v>Regulator / PDF</x:v>
      </x:c>
      <x:c r="H98" s="25"/>
      <x:c r="I98" s="25" t="str">
        <x:v>2026-07-29</x:v>
      </x:c>
      <x:c r="J98" s="21" t="str">
        <x:v>Verified Regulatory Requirement</x:v>
      </x:c>
      <x:c r="K98" s="21" t="str">
        <x:v>High</x:v>
      </x:c>
      <x:c r="L98" s="21" t="str">
        <x:v>Yes</x:v>
      </x:c>
      <x:c r="M98" s="21"/>
      <x:c r="N98" s="21" t="str">
        <x:v>Importer of record, entry data and product classification require confirmation.</x:v>
      </x:c>
      <x:c r="O98" s="21" t="str">
        <x:v>Codex</x:v>
      </x:c>
    </x:row>
    <x:row r="99" ht="90" customHeight="1">
      <x:c r="A99" s="21" t="str">
        <x:v>SRC-BOJ-042</x:v>
      </x:c>
      <x:c r="B99" s="21" t="str">
        <x:v>KB002</x:v>
      </x:c>
      <x:c r="C99" s="21" t="str">
        <x:v>Cosmetic claims / classification</x:v>
      </x:c>
      <x:c r="D99" s="21" t="str">
        <x:v>FDA explains that intended-use claims can make a product a drug as well as a cosmetic.</x:v>
      </x:c>
      <x:c r="E99" s="21" t="str">
        <x:v>U.S. FDA</x:v>
      </x:c>
      <x:c r="F99" s="21" t="str">
        <x:v>https://www.fda.gov/cosmetics/cosmetics-laws-regulations/it-cosmetic-drug-or-both-or-it-soap</x:v>
      </x:c>
      <x:c r="G99" s="21" t="str">
        <x:v>Regulator</x:v>
      </x:c>
      <x:c r="H99" s="25"/>
      <x:c r="I99" s="25" t="str">
        <x:v>2026-07-29</x:v>
      </x:c>
      <x:c r="J99" s="21" t="str">
        <x:v>Verified Regulatory Requirement</x:v>
      </x:c>
      <x:c r="K99" s="21" t="str">
        <x:v>High</x:v>
      </x:c>
      <x:c r="L99" s="21" t="str">
        <x:v>Yes</x:v>
      </x:c>
      <x:c r="M99" s="21"/>
      <x:c r="N99" s="21" t="str">
        <x:v>Review wrinkle, acne, healing and treatment claims with U.S. counsel.</x:v>
      </x:c>
      <x:c r="O99" s="21" t="str">
        <x:v>Codex</x:v>
      </x:c>
    </x:row>
    <x:row r="100" ht="90" customHeight="1">
      <x:c r="A100" s="21" t="str">
        <x:v>SRC-BOJ-043</x:v>
      </x:c>
      <x:c r="B100" s="21" t="str">
        <x:v>KB002</x:v>
      </x:c>
      <x:c r="C100" s="21" t="str">
        <x:v>Mall operator / legal entity</x:v>
      </x:c>
      <x:c r="D100" s="21" t="str">
        <x:v>Official terms identify the Beauty of Joseon mall as operated by Goodai-Global.</x:v>
      </x:c>
      <x:c r="E100" s="21" t="str">
        <x:v>Beauty of Joseon — Terms &amp; Conditions</x:v>
      </x:c>
      <x:c r="F100" s="21" t="str">
        <x:v>https://beautyofjoseon.com/pages/terms-and-conditions</x:v>
      </x:c>
      <x:c r="G100" s="21" t="str">
        <x:v>Official Legal Page</x:v>
      </x:c>
      <x:c r="H100" s="25"/>
      <x:c r="I100" s="25" t="str">
        <x:v>2026-07-29</x:v>
      </x:c>
      <x:c r="J100" s="21" t="str">
        <x:v>Verified Fact</x:v>
      </x:c>
      <x:c r="K100" s="21" t="str">
        <x:v>High</x:v>
      </x:c>
      <x:c r="L100" s="21" t="str">
        <x:v>Yes</x:v>
      </x:c>
      <x:c r="M100" s="21"/>
      <x:c r="N100" s="21" t="str">
        <x:v>Online mall terms do not establish the distributor's contracting/importing entity.</x:v>
      </x:c>
      <x:c r="O100" s="21" t="str">
        <x:v>Codex</x:v>
      </x:c>
    </x:row>
    <x:row r="101" ht="90" customHeight="1">
      <x:c r="A101" s="21" t="str">
        <x:v>SRC-BOJ-044</x:v>
      </x:c>
      <x:c r="B101" s="21" t="str">
        <x:v>KB002</x:v>
      </x:c>
      <x:c r="C101" s="21" t="str">
        <x:v>Korean company registration</x:v>
      </x:c>
      <x:c r="D101" s="21" t="str">
        <x:v>Official Korea site identifies Goodai Global Inc., business registration 151-87-00589 and Korean customer contact.</x:v>
      </x:c>
      <x:c r="E101" s="21" t="str">
        <x:v>Beauty of Joseon Korea — Company</x:v>
      </x:c>
      <x:c r="F101" s="21" t="str">
        <x:v>https://beautyofjoseon.co.kr/shopinfo/company.html</x:v>
      </x:c>
      <x:c r="G101" s="21" t="str">
        <x:v>Official Company Page</x:v>
      </x:c>
      <x:c r="H101" s="25"/>
      <x:c r="I101" s="25" t="str">
        <x:v>2026-07-29</x:v>
      </x:c>
      <x:c r="J101" s="21" t="str">
        <x:v>Verified Fact</x:v>
      </x:c>
      <x:c r="K101" s="21" t="str">
        <x:v>High</x:v>
      </x:c>
      <x:c r="L101" s="21" t="str">
        <x:v>Yes</x:v>
      </x:c>
      <x:c r="M101" s="21"/>
      <x:c r="N101" s="21" t="str">
        <x:v>Use for entity diligence; request English corporate/contract documents.</x:v>
      </x:c>
      <x:c r="O101" s="21" t="str">
        <x:v>Codex</x:v>
      </x:c>
    </x:row>
    <x:row r="102" ht="90" customHeight="1">
      <x:c r="A102" s="21" t="str">
        <x:v>SRC-BOJ-045</x:v>
      </x:c>
      <x:c r="B102" s="21" t="str">
        <x:v>KB002</x:v>
      </x:c>
      <x:c r="C102" s="21" t="str">
        <x:v>Authenticity policy</x:v>
      </x:c>
      <x:c r="D102" s="21" t="str">
        <x:v>Official FAQ says authenticity is assured only through the official mall or authorized retailers and cannot be guaranteed for unauthorized retailers; QR authentication was suspended.</x:v>
      </x:c>
      <x:c r="E102" s="21" t="str">
        <x:v>Beauty of Joseon — Product FAQ</x:v>
      </x:c>
      <x:c r="F102" s="21" t="str">
        <x:v>https://beautyofjoseon.com/pages/faq-products</x:v>
      </x:c>
      <x:c r="G102" s="21" t="str">
        <x:v>Official Brand Site</x:v>
      </x:c>
      <x:c r="H102" s="25"/>
      <x:c r="I102" s="25" t="str">
        <x:v>2026-07-29</x:v>
      </x:c>
      <x:c r="J102" s="21" t="str">
        <x:v>Verified Brand Policy</x:v>
      </x:c>
      <x:c r="K102" s="21" t="str">
        <x:v>High</x:v>
      </x:c>
      <x:c r="L102" s="21" t="str">
        <x:v>Yes</x:v>
      </x:c>
      <x:c r="M102" s="21"/>
      <x:c r="N102" s="21" t="str">
        <x:v>Supports strict authorized-supply and batch-traceability controls.</x:v>
      </x:c>
      <x:c r="O102" s="21" t="str">
        <x:v>Codex</x:v>
      </x:c>
    </x:row>
    <x:row r="103" ht="90" customHeight="1">
      <x:c r="A103" s="21" t="str">
        <x:v>SRC-BOJ-046</x:v>
      </x:c>
      <x:c r="B103" s="21" t="str">
        <x:v>KB002</x:v>
      </x:c>
      <x:c r="C103" s="21" t="str">
        <x:v>FDA compliance search limitation</x:v>
      </x:c>
      <x:c r="D103" s="21" t="str">
        <x:v>Scoped public FDA search did not surface a Beauty of Joseon-specific warning/recall in this pass.</x:v>
      </x:c>
      <x:c r="E103" s="21" t="str">
        <x:v>U.S. FDA — Cosmetics Compliance &amp; Enforcement</x:v>
      </x:c>
      <x:c r="F103" s="21" t="str">
        <x:v>https://www.fda.gov/cosmetics/cosmetics-compliance-enforcement</x:v>
      </x:c>
      <x:c r="G103" s="21" t="str">
        <x:v>Regulator</x:v>
      </x:c>
      <x:c r="H103" s="25"/>
      <x:c r="I103" s="25" t="str">
        <x:v>2026-07-29</x:v>
      </x:c>
      <x:c r="J103" s="21" t="str">
        <x:v>Research Finding / Limitation</x:v>
      </x:c>
      <x:c r="K103" s="21" t="str">
        <x:v>Medium</x:v>
      </x:c>
      <x:c r="L103" s="21" t="str">
        <x:v>Yes</x:v>
      </x:c>
      <x:c r="M103" s="21"/>
      <x:c r="N103" s="21" t="str">
        <x:v>Not an exhaustive legal clearance; formal regulatory diligence remains required.</x:v>
      </x:c>
      <x:c r="O103" s="21" t="str">
        <x:v>Codex</x:v>
      </x:c>
    </x:row>
    <x:row r="104" ht="92" customHeight="1">
      <x:c r="A104" s="21" t="str">
        <x:v>SRC-ANUA-001</x:v>
      </x:c>
      <x:c r="B104" s="21" t="str">
        <x:v>KB003</x:v>
      </x:c>
      <x:c r="C104" s="21" t="str">
        <x:v>Core verification — Official Website</x:v>
      </x:c>
      <x:c r="D104" s="21" t="str">
        <x:v>Official U.S. Anua storefront is https://anua.com; footer/contact material provides U.S. service and an El Segundo, California address.</x:v>
      </x:c>
      <x:c r="E104" s="21" t="str">
        <x:v>Anua Official U.S.</x:v>
      </x:c>
      <x:c r="F104" s="21" t="str">
        <x:v>https://anua.com</x:v>
      </x:c>
      <x:c r="G104" s="21" t="str">
        <x:v>Official Brand Site</x:v>
      </x:c>
      <x:c r="H104" s="25"/>
      <x:c r="I104" s="25" t="str">
        <x:v>2026-07-29</x:v>
      </x:c>
      <x:c r="J104" s="21" t="str">
        <x:v>Verified Fact</x:v>
      </x:c>
      <x:c r="K104" s="21" t="str">
        <x:v>High</x:v>
      </x:c>
      <x:c r="L104" s="21" t="str">
        <x:v>Yes</x:v>
      </x:c>
      <x:c r="M104" s="21"/>
      <x:c r="N104" s="21" t="str">
        <x:v>Official U.S. DTC domain; exact legal entity roles require contract diligence.</x:v>
      </x:c>
      <x:c r="O104" s="21" t="str">
        <x:v>Codex</x:v>
      </x:c>
    </x:row>
    <x:row r="105" ht="92" customHeight="1">
      <x:c r="A105" s="21" t="str">
        <x:v>SRC-ANUA-002</x:v>
      </x:c>
      <x:c r="B105" s="21" t="str">
        <x:v>KB003</x:v>
      </x:c>
      <x:c r="C105" s="21" t="str">
        <x:v>Core verification — Primary Category</x:v>
      </x:c>
      <x:c r="D105" s="21" t="str">
        <x:v>Official navigation shows cleansers, toners/pads, serums, moisturizers, masks, sunscreen, spot care and exfoliation.</x:v>
      </x:c>
      <x:c r="E105" s="21" t="str">
        <x:v>Anua Official U.S. — Shop</x:v>
      </x:c>
      <x:c r="F105" s="21" t="str">
        <x:v>https://anua.com/collections/all</x:v>
      </x:c>
      <x:c r="G105" s="21" t="str">
        <x:v>Official Brand Site</x:v>
      </x:c>
      <x:c r="H105" s="25"/>
      <x:c r="I105" s="25" t="str">
        <x:v>2026-07-29</x:v>
      </x:c>
      <x:c r="J105" s="21" t="str">
        <x:v>Verified Fact</x:v>
      </x:c>
      <x:c r="K105" s="21" t="str">
        <x:v>High</x:v>
      </x:c>
      <x:c r="L105" s="21" t="str">
        <x:v>Yes</x:v>
      </x:c>
      <x:c r="M105" s="21"/>
      <x:c r="N105" s="21" t="str">
        <x:v>Primary category verified as facial skincare.</x:v>
      </x:c>
      <x:c r="O105" s="21" t="str">
        <x:v>Codex</x:v>
      </x:c>
    </x:row>
    <x:row r="106" ht="92" customHeight="1">
      <x:c r="A106" s="21" t="str">
        <x:v>SRC-ANUA-003</x:v>
      </x:c>
      <x:c r="B106" s="21" t="str">
        <x:v>KB003</x:v>
      </x:c>
      <x:c r="C106" s="21" t="str">
        <x:v>Core verification — Awareness origin</x:v>
      </x:c>
      <x:c r="D106" s="21" t="str">
        <x:v>Official About page positions Anua as gentle-yet-effective skincare built around focused ingredients; heartleaf remains the signature franchise.</x:v>
      </x:c>
      <x:c r="E106" s="21" t="str">
        <x:v>Anua Official — About</x:v>
      </x:c>
      <x:c r="F106" s="21" t="str">
        <x:v>https://anua.com/pages/about</x:v>
      </x:c>
      <x:c r="G106" s="21" t="str">
        <x:v>Official Brand Site</x:v>
      </x:c>
      <x:c r="H106" s="25"/>
      <x:c r="I106" s="25" t="str">
        <x:v>2026-07-29</x:v>
      </x:c>
      <x:c r="J106" s="21" t="str">
        <x:v>Verified Brand Statement</x:v>
      </x:c>
      <x:c r="K106" s="21" t="str">
        <x:v>High</x:v>
      </x:c>
      <x:c r="L106" s="21" t="str">
        <x:v>Yes</x:v>
      </x:c>
      <x:c r="M106" s="21"/>
      <x:c r="N106" s="21" t="str">
        <x:v>Brand-owned positioning statement.</x:v>
      </x:c>
      <x:c r="O106" s="21" t="str">
        <x:v>Codex</x:v>
      </x:c>
    </x:row>
    <x:row r="107" ht="92" customHeight="1">
      <x:c r="A107" s="21" t="str">
        <x:v>SRC-ANUA-004</x:v>
      </x:c>
      <x:c r="B107" s="21" t="str">
        <x:v>KB003</x:v>
      </x:c>
      <x:c r="C107" s="21" t="str">
        <x:v>Awareness — Global ambassador</x:v>
      </x:c>
      <x:c r="D107" s="21" t="str">
        <x:v>Anua named Kendall Jenner its first global brand ambassador in June 2026.</x:v>
      </x:c>
      <x:c r="E107" s="21" t="str">
        <x:v>Anua / PR Newswire</x:v>
      </x:c>
      <x:c r="F107" s="21" t="str">
        <x:v>https://www.prnewswire.com/news-releases/anua-names-kendall-jenner-as-first-ever-global-brand-ambassador-302787254.html</x:v>
      </x:c>
      <x:c r="G107" s="21" t="str">
        <x:v>Company Press Release</x:v>
      </x:c>
      <x:c r="H107" s="25" t="str">
        <x:v>2026-06-01</x:v>
      </x:c>
      <x:c r="I107" s="25" t="str">
        <x:v>2026-07-29</x:v>
      </x:c>
      <x:c r="J107" s="21" t="str">
        <x:v>Verified Corporate Announcement</x:v>
      </x:c>
      <x:c r="K107" s="21" t="str">
        <x:v>High</x:v>
      </x:c>
      <x:c r="L107" s="21" t="str">
        <x:v>Yes</x:v>
      </x:c>
      <x:c r="M107" s="21"/>
      <x:c r="N107" s="21" t="str">
        <x:v>Press release; campaign effectiveness not independently measured.</x:v>
      </x:c>
      <x:c r="O107" s="21" t="str">
        <x:v>Codex</x:v>
      </x:c>
    </x:row>
    <x:row r="108" ht="92" customHeight="1">
      <x:c r="A108" s="21" t="str">
        <x:v>SRC-ANUA-005</x:v>
      </x:c>
      <x:c r="B108" s="21" t="str">
        <x:v>KB003</x:v>
      </x:c>
      <x:c r="C108" s="21" t="str">
        <x:v>Awareness — U.S. retail scale</x:v>
      </x:c>
      <x:c r="D108" s="21" t="str">
        <x:v>The Founders/Anua executive said Anua was sold in all 1,500 Ulta stores in the U.S. and on Amazon, Ulta and Anua DTC.</x:v>
      </x:c>
      <x:c r="E108" s="21" t="str">
        <x:v>The Korea Times</x:v>
      </x:c>
      <x:c r="F108" s="21" t="str">
        <x:v>https://www.koreatimes.co.kr/business/companies/20260724/anua-believes-k-beauty-is-replacing-french-luxury</x:v>
      </x:c>
      <x:c r="G108" s="21" t="str">
        <x:v>News / Executive Interview</x:v>
      </x:c>
      <x:c r="H108" s="25" t="str">
        <x:v>2026-07-24</x:v>
      </x:c>
      <x:c r="I108" s="25" t="str">
        <x:v>2026-07-29</x:v>
      </x:c>
      <x:c r="J108" s="21" t="str">
        <x:v>Verified Reported Corporate Fact</x:v>
      </x:c>
      <x:c r="K108" s="21" t="str">
        <x:v>High</x:v>
      </x:c>
      <x:c r="L108" s="21" t="str">
        <x:v>Yes</x:v>
      </x:c>
      <x:c r="M108" s="21"/>
      <x:c r="N108" s="21" t="str">
        <x:v>Store count is company-reported through a current interview.</x:v>
      </x:c>
      <x:c r="O108" s="21" t="str">
        <x:v>Codex</x:v>
      </x:c>
    </x:row>
    <x:row r="109" ht="92" customHeight="1">
      <x:c r="A109" s="21" t="str">
        <x:v>SRC-ANUA-006</x:v>
      </x:c>
      <x:c r="B109" s="21" t="str">
        <x:v>KB003</x:v>
      </x:c>
      <x:c r="C109" s="21" t="str">
        <x:v>Company / scale</x:v>
      </x:c>
      <x:c r="D109" s="21" t="str">
        <x:v>The Founders identifies itself as founded in 2017 and publicly reports Anua distribution and global scale; exact audited brand revenue was not obtained.</x:v>
      </x:c>
      <x:c r="E109" s="21" t="str">
        <x:v>The Founders</x:v>
      </x:c>
      <x:c r="F109" s="21" t="str">
        <x:v>https://thefounders.kr/en</x:v>
      </x:c>
      <x:c r="G109" s="21" t="str">
        <x:v>Official Corporate Site</x:v>
      </x:c>
      <x:c r="H109" s="25"/>
      <x:c r="I109" s="25" t="str">
        <x:v>2026-07-29</x:v>
      </x:c>
      <x:c r="J109" s="21" t="str">
        <x:v>Verified Corporate Statement</x:v>
      </x:c>
      <x:c r="K109" s="21" t="str">
        <x:v>High</x:v>
      </x:c>
      <x:c r="L109" s="21" t="str">
        <x:v>Yes</x:v>
      </x:c>
      <x:c r="M109" s="21"/>
      <x:c r="N109" s="21" t="str">
        <x:v>Company-disclosed scale, not audited in this workbook.</x:v>
      </x:c>
      <x:c r="O109" s="21" t="str">
        <x:v>Codex</x:v>
      </x:c>
    </x:row>
    <x:row r="110" ht="92" customHeight="1">
      <x:c r="A110" s="21" t="str">
        <x:v>SRC-ANUA-007</x:v>
      </x:c>
      <x:c r="B110" s="21" t="str">
        <x:v>KB003</x:v>
      </x:c>
      <x:c r="C110" s="21" t="str">
        <x:v>Core verification — Amazon cleansing foam</x:v>
      </x:c>
      <x:c r="D110" s="21" t="str">
        <x:v>Listing displayed $13, 20,358 reviews, 4.6 rating, 60K+ bought/month, #126 Beauty &amp; Personal Care and #7 Facial Cleansing Washes.</x:v>
      </x:c>
      <x:c r="E110" s="21" t="str">
        <x:v>Amazon U.S.</x:v>
      </x:c>
      <x:c r="F110" s="21" t="str">
        <x:v>https://www.amazon.com/dp/B0BVV8BNYJ</x:v>
      </x:c>
      <x:c r="G110" s="21" t="str">
        <x:v>Marketplace</x:v>
      </x:c>
      <x:c r="H110" s="25"/>
      <x:c r="I110" s="25" t="str">
        <x:v>2026-07-29</x:v>
      </x:c>
      <x:c r="J110" s="21" t="str">
        <x:v>Verified Platform Display</x:v>
      </x:c>
      <x:c r="K110" s="21" t="str">
        <x:v>High</x:v>
      </x:c>
      <x:c r="L110" s="21" t="str">
        <x:v>Yes</x:v>
      </x:c>
      <x:c r="M110" s="21"/>
      <x:c r="N110" s="21" t="str">
        <x:v>Ships from Amazon; sold by Anua; ASIN B0BVV8BNYJ.</x:v>
      </x:c>
      <x:c r="O110" s="21" t="str">
        <x:v>Codex</x:v>
      </x:c>
    </x:row>
    <x:row r="111" ht="92" customHeight="1">
      <x:c r="A111" s="21" t="str">
        <x:v>SRC-ANUA-008</x:v>
      </x:c>
      <x:c r="B111" s="21" t="str">
        <x:v>KB003</x:v>
      </x:c>
      <x:c r="C111" s="21" t="str">
        <x:v>Core verification — Amazon azelaic serum</x:v>
      </x:c>
      <x:c r="D111" s="21" t="str">
        <x:v>Listing displayed $22, 5,623 reviews, 4.6 rating, 70K+ bought/month, #85 Beauty &amp; Personal Care and #6 Facial Serums.</x:v>
      </x:c>
      <x:c r="E111" s="21" t="str">
        <x:v>Amazon U.S.</x:v>
      </x:c>
      <x:c r="F111" s="21" t="str">
        <x:v>https://www.amazon.com/dp/B0DG1DQ2S7</x:v>
      </x:c>
      <x:c r="G111" s="21" t="str">
        <x:v>Marketplace</x:v>
      </x:c>
      <x:c r="H111" s="25"/>
      <x:c r="I111" s="25" t="str">
        <x:v>2026-07-29</x:v>
      </x:c>
      <x:c r="J111" s="21" t="str">
        <x:v>Verified Platform Display</x:v>
      </x:c>
      <x:c r="K111" s="21" t="str">
        <x:v>High</x:v>
      </x:c>
      <x:c r="L111" s="21" t="str">
        <x:v>Yes</x:v>
      </x:c>
      <x:c r="M111" s="21"/>
      <x:c r="N111" s="21" t="str">
        <x:v>Ships from Amazon; sold by Anua; ASIN B0DG1DQ2S7.</x:v>
      </x:c>
      <x:c r="O111" s="21" t="str">
        <x:v>Codex</x:v>
      </x:c>
    </x:row>
    <x:row r="112" ht="92" customHeight="1">
      <x:c r="A112" s="21" t="str">
        <x:v>SRC-ANUA-009</x:v>
      </x:c>
      <x:c r="B112" s="21" t="str">
        <x:v>KB003</x:v>
      </x:c>
      <x:c r="C112" s="21" t="str">
        <x:v>Core verification — Amazon cleansing oil</x:v>
      </x:c>
      <x:c r="D112" s="21" t="str">
        <x:v>Listing displayed $17, 28,272 reviews, 4.4 rating, 50K+ bought/month, #251 Beauty &amp; Personal Care and #1 Makeup Cleansing Oils.</x:v>
      </x:c>
      <x:c r="E112" s="21" t="str">
        <x:v>Amazon U.S.</x:v>
      </x:c>
      <x:c r="F112" s="21" t="str">
        <x:v>https://www.amazon.com/dp/B0BN2PX8V3</x:v>
      </x:c>
      <x:c r="G112" s="21" t="str">
        <x:v>Marketplace</x:v>
      </x:c>
      <x:c r="H112" s="25"/>
      <x:c r="I112" s="25" t="str">
        <x:v>2026-07-29</x:v>
      </x:c>
      <x:c r="J112" s="21" t="str">
        <x:v>Verified Platform Display</x:v>
      </x:c>
      <x:c r="K112" s="21" t="str">
        <x:v>High</x:v>
      </x:c>
      <x:c r="L112" s="21" t="str">
        <x:v>Yes</x:v>
      </x:c>
      <x:c r="M112" s="21"/>
      <x:c r="N112" s="21" t="str">
        <x:v>Ships from Amazon; sold by Anua; ASIN B0BN2PX8V3.</x:v>
      </x:c>
      <x:c r="O112" s="21" t="str">
        <x:v>Codex</x:v>
      </x:c>
    </x:row>
    <x:row r="113" ht="92" customHeight="1">
      <x:c r="A113" s="21" t="str">
        <x:v>SRC-ANUA-010</x:v>
      </x:c>
      <x:c r="B113" s="21" t="str">
        <x:v>KB003</x:v>
      </x:c>
      <x:c r="C113" s="21" t="str">
        <x:v>Core verification — Amazon niacinamide/TXA</x:v>
      </x:c>
      <x:c r="D113" s="21" t="str">
        <x:v>Listing displayed $21.85, 16,354 reviews, 4.5 rating, 30K+ bought/month, #316 Beauty &amp; Personal Care and #16 Facial Serums.</x:v>
      </x:c>
      <x:c r="E113" s="21" t="str">
        <x:v>Amazon U.S.</x:v>
      </x:c>
      <x:c r="F113" s="21" t="str">
        <x:v>https://www.amazon.com/dp/B0CLLV2T1P</x:v>
      </x:c>
      <x:c r="G113" s="21" t="str">
        <x:v>Marketplace</x:v>
      </x:c>
      <x:c r="H113" s="25"/>
      <x:c r="I113" s="25" t="str">
        <x:v>2026-07-29</x:v>
      </x:c>
      <x:c r="J113" s="21" t="str">
        <x:v>Verified Platform Display</x:v>
      </x:c>
      <x:c r="K113" s="21" t="str">
        <x:v>High</x:v>
      </x:c>
      <x:c r="L113" s="21" t="str">
        <x:v>Yes</x:v>
      </x:c>
      <x:c r="M113" s="21"/>
      <x:c r="N113" s="21" t="str">
        <x:v>Ships from Amazon; sold by Anua; ASIN B0CLLV2T1P.</x:v>
      </x:c>
      <x:c r="O113" s="21" t="str">
        <x:v>Codex</x:v>
      </x:c>
    </x:row>
    <x:row r="114" ht="92" customHeight="1">
      <x:c r="A114" s="21" t="str">
        <x:v>SRC-ANUA-011</x:v>
      </x:c>
      <x:c r="B114" s="21" t="str">
        <x:v>KB003</x:v>
      </x:c>
      <x:c r="C114" s="21" t="str">
        <x:v>Core verification — Amazon toner</x:v>
      </x:c>
      <x:c r="D114" s="21" t="str">
        <x:v>Listing displayed $19.69, 14,779 reviews, 4.5 rating, 10K+ bought/month, #1,502 Beauty &amp; Personal Care and #16 Facial Toners &amp; Astringents.</x:v>
      </x:c>
      <x:c r="E114" s="21" t="str">
        <x:v>Amazon U.S.</x:v>
      </x:c>
      <x:c r="F114" s="21" t="str">
        <x:v>https://www.amazon.com/dp/B08CMS8P67</x:v>
      </x:c>
      <x:c r="G114" s="21" t="str">
        <x:v>Marketplace</x:v>
      </x:c>
      <x:c r="H114" s="25"/>
      <x:c r="I114" s="25" t="str">
        <x:v>2026-07-29</x:v>
      </x:c>
      <x:c r="J114" s="21" t="str">
        <x:v>Verified Platform Display</x:v>
      </x:c>
      <x:c r="K114" s="21" t="str">
        <x:v>High</x:v>
      </x:c>
      <x:c r="L114" s="21" t="str">
        <x:v>Yes</x:v>
      </x:c>
      <x:c r="M114" s="21"/>
      <x:c r="N114" s="21" t="str">
        <x:v>Ships from Amazon; sold by Anua; current rank does not support the undated #1 claim.</x:v>
      </x:c>
      <x:c r="O114" s="21" t="str">
        <x:v>Codex</x:v>
      </x:c>
    </x:row>
    <x:row r="115" ht="92" customHeight="1">
      <x:c r="A115" s="21" t="str">
        <x:v>SRC-ANUA-012</x:v>
      </x:c>
      <x:c r="B115" s="21" t="str">
        <x:v>KB003</x:v>
      </x:c>
      <x:c r="C115" s="21" t="str">
        <x:v>Amazon — PDRN Serum</x:v>
      </x:c>
      <x:c r="D115" s="21" t="str">
        <x:v>Listing displayed $27.37, 1,383 reviews, 4.6 rating, 8K+ bought/month, #2,859 Beauty &amp; Personal Care and #81 Facial Serums.</x:v>
      </x:c>
      <x:c r="E115" s="21" t="str">
        <x:v>Amazon U.S.</x:v>
      </x:c>
      <x:c r="F115" s="21" t="str">
        <x:v>https://www.amazon.com/dp/B0DLB58CWR</x:v>
      </x:c>
      <x:c r="G115" s="21" t="str">
        <x:v>Marketplace</x:v>
      </x:c>
      <x:c r="H115" s="25"/>
      <x:c r="I115" s="25" t="str">
        <x:v>2026-07-29</x:v>
      </x:c>
      <x:c r="J115" s="21" t="str">
        <x:v>Verified Platform Display</x:v>
      </x:c>
      <x:c r="K115" s="21" t="str">
        <x:v>High</x:v>
      </x:c>
      <x:c r="L115" s="21" t="str">
        <x:v>Yes</x:v>
      </x:c>
      <x:c r="M115" s="21"/>
      <x:c r="N115" s="21" t="str">
        <x:v>Ships from Amazon; sold by Anua; emerging growth SKU.</x:v>
      </x:c>
      <x:c r="O115" s="21" t="str">
        <x:v>Codex</x:v>
      </x:c>
    </x:row>
    <x:row r="116" ht="92" customHeight="1">
      <x:c r="A116" s="21" t="str">
        <x:v>SRC-ANUA-013</x:v>
      </x:c>
      <x:c r="B116" s="21" t="str">
        <x:v>KB003</x:v>
      </x:c>
      <x:c r="C116" s="21" t="str">
        <x:v>Hero SKU — Cleansing Foam</x:v>
      </x:c>
      <x:c r="D116" s="21" t="str">
        <x:v>Official page verified 150 mL format, $20 list price and heartleaf/quercetinol pore-cleansing positioning.</x:v>
      </x:c>
      <x:c r="E116" s="21" t="str">
        <x:v>Anua — Heartleaf Quercetinol Foam</x:v>
      </x:c>
      <x:c r="F116" s="21" t="str">
        <x:v>https://anua.com/products/heartleaf-quercetinol-pore-deep-cleansing-foam</x:v>
      </x:c>
      <x:c r="G116" s="21" t="str">
        <x:v>Official Product Page</x:v>
      </x:c>
      <x:c r="H116" s="25"/>
      <x:c r="I116" s="25" t="str">
        <x:v>2026-07-29</x:v>
      </x:c>
      <x:c r="J116" s="21" t="str">
        <x:v>Verified Product Fact / Brand Claim</x:v>
      </x:c>
      <x:c r="K116" s="21" t="str">
        <x:v>High</x:v>
      </x:c>
      <x:c r="L116" s="21" t="str">
        <x:v>Yes</x:v>
      </x:c>
      <x:c r="M116" s="21"/>
      <x:c r="N116" s="21" t="str">
        <x:v>Pore/oil/blemish claims require substantiation review.</x:v>
      </x:c>
      <x:c r="O116" s="21" t="str">
        <x:v>Codex</x:v>
      </x:c>
    </x:row>
    <x:row r="117" ht="92" customHeight="1">
      <x:c r="A117" s="21" t="str">
        <x:v>SRC-ANUA-014</x:v>
      </x:c>
      <x:c r="B117" s="21" t="str">
        <x:v>KB003</x:v>
      </x:c>
      <x:c r="C117" s="21" t="str">
        <x:v>Hero SKU — Azelaic Serum</x:v>
      </x:c>
      <x:c r="D117" s="21" t="str">
        <x:v>Official page verified 30 mL format, $24 regular/$23 observed promotional price, 4.8 rating and 117 reviews.</x:v>
      </x:c>
      <x:c r="E117" s="21" t="str">
        <x:v>Anua — Azelaic Acid 10 Serum</x:v>
      </x:c>
      <x:c r="F117" s="21" t="str">
        <x:v>https://anua.com/products/azelaic-acid-10-hyaluron-redness-soothing-serum</x:v>
      </x:c>
      <x:c r="G117" s="21" t="str">
        <x:v>Official Product Page</x:v>
      </x:c>
      <x:c r="H117" s="25"/>
      <x:c r="I117" s="25" t="str">
        <x:v>2026-07-29</x:v>
      </x:c>
      <x:c r="J117" s="21" t="str">
        <x:v>Verified Product Fact / Brand Claim</x:v>
      </x:c>
      <x:c r="K117" s="21" t="str">
        <x:v>High</x:v>
      </x:c>
      <x:c r="L117" s="21" t="str">
        <x:v>Yes</x:v>
      </x:c>
      <x:c r="M117" s="21"/>
      <x:c r="N117" s="21" t="str">
        <x:v>Redness/acne/blemish wording needs U.S. intended-use review.</x:v>
      </x:c>
      <x:c r="O117" s="21" t="str">
        <x:v>Codex</x:v>
      </x:c>
    </x:row>
    <x:row r="118" ht="92" customHeight="1">
      <x:c r="A118" s="21" t="str">
        <x:v>SRC-ANUA-015</x:v>
      </x:c>
      <x:c r="B118" s="21" t="str">
        <x:v>KB003</x:v>
      </x:c>
      <x:c r="C118" s="21" t="str">
        <x:v>Hero SKU — Cleansing Oil</x:v>
      </x:c>
      <x:c r="D118" s="21" t="str">
        <x:v>Official page verified 200 mL, $22 list price, 4.7 rating, 678 reviews and 97% recommendation.</x:v>
      </x:c>
      <x:c r="E118" s="21" t="str">
        <x:v>Anua — Heartleaf Cleansing Oil</x:v>
      </x:c>
      <x:c r="F118" s="21" t="str">
        <x:v>https://anua.com/products/heartleaf-pore-control-cleansing-oil-200ml</x:v>
      </x:c>
      <x:c r="G118" s="21" t="str">
        <x:v>Official Product Page</x:v>
      </x:c>
      <x:c r="H118" s="25"/>
      <x:c r="I118" s="25" t="str">
        <x:v>2026-07-29</x:v>
      </x:c>
      <x:c r="J118" s="21" t="str">
        <x:v>Verified Product Fact / Brand Claim</x:v>
      </x:c>
      <x:c r="K118" s="21" t="str">
        <x:v>High</x:v>
      </x:c>
      <x:c r="L118" s="21" t="str">
        <x:v>Yes</x:v>
      </x:c>
      <x:c r="M118" s="21"/>
      <x:c r="N118" s="21" t="str">
        <x:v>Brand-owned review environment.</x:v>
      </x:c>
      <x:c r="O118" s="21" t="str">
        <x:v>Codex</x:v>
      </x:c>
    </x:row>
    <x:row r="119" ht="92" customHeight="1">
      <x:c r="A119" s="21" t="str">
        <x:v>SRC-ANUA-016</x:v>
      </x:c>
      <x:c r="B119" s="21" t="str">
        <x:v>KB003</x:v>
      </x:c>
      <x:c r="C119" s="21" t="str">
        <x:v>Hero SKU — Niacinamide/TXA</x:v>
      </x:c>
      <x:c r="D119" s="21" t="str">
        <x:v>Official page verified 30 mL, $24 price, 10% niacinamide, 4% TXA, 2% arbutin and approximately 4.7/607 reviews.</x:v>
      </x:c>
      <x:c r="E119" s="21" t="str">
        <x:v>Anua — Niacinamide 10 TXA 4</x:v>
      </x:c>
      <x:c r="F119" s="21" t="str">
        <x:v>https://anua.com/products/niacinamide-10-txa-4-serum-2</x:v>
      </x:c>
      <x:c r="G119" s="21" t="str">
        <x:v>Official Product Page</x:v>
      </x:c>
      <x:c r="H119" s="25"/>
      <x:c r="I119" s="25" t="str">
        <x:v>2026-07-29</x:v>
      </x:c>
      <x:c r="J119" s="21" t="str">
        <x:v>Verified Product Fact / Brand Claim</x:v>
      </x:c>
      <x:c r="K119" s="21" t="str">
        <x:v>High</x:v>
      </x:c>
      <x:c r="L119" s="21" t="str">
        <x:v>Yes</x:v>
      </x:c>
      <x:c r="M119" s="21"/>
      <x:c r="N119" s="21" t="str">
        <x:v>Claims and current review counts change; strong-active tolerance varies.</x:v>
      </x:c>
      <x:c r="O119" s="21" t="str">
        <x:v>Codex</x:v>
      </x:c>
    </x:row>
    <x:row r="120" ht="92" customHeight="1">
      <x:c r="A120" s="21" t="str">
        <x:v>SRC-ANUA-017</x:v>
      </x:c>
      <x:c r="B120" s="21" t="str">
        <x:v>KB003</x:v>
      </x:c>
      <x:c r="C120" s="21" t="str">
        <x:v>Hero SKU — Heartleaf Toner</x:v>
      </x:c>
      <x:c r="D120" s="21" t="str">
        <x:v>Official page verified 250 mL, $23 list, 4.7/455 and 98% recommendation; it also states #1 Amazon facial toner.</x:v>
      </x:c>
      <x:c r="E120" s="21" t="str">
        <x:v>Anua — Heartleaf 77 Toner</x:v>
      </x:c>
      <x:c r="F120" s="21" t="str">
        <x:v>https://anua.com/products/heartleaf-77-soothing-toner</x:v>
      </x:c>
      <x:c r="G120" s="21" t="str">
        <x:v>Official Product Page</x:v>
      </x:c>
      <x:c r="H120" s="25"/>
      <x:c r="I120" s="25" t="str">
        <x:v>2026-07-29</x:v>
      </x:c>
      <x:c r="J120" s="21" t="str">
        <x:v>Verified Product Fact / Claim Discrepancy</x:v>
      </x:c>
      <x:c r="K120" s="21" t="str">
        <x:v>High</x:v>
      </x:c>
      <x:c r="L120" s="21" t="str">
        <x:v>Yes</x:v>
      </x:c>
      <x:c r="M120" s="21"/>
      <x:c r="N120" s="21" t="str">
        <x:v>Direct Amazon check showed current #16, so #1 is not recorded as current.</x:v>
      </x:c>
      <x:c r="O120" s="21" t="str">
        <x:v>Codex</x:v>
      </x:c>
    </x:row>
    <x:row r="121" ht="92" customHeight="1">
      <x:c r="A121" s="21" t="str">
        <x:v>SRC-ANUA-018</x:v>
      </x:c>
      <x:c r="B121" s="21" t="str">
        <x:v>KB003</x:v>
      </x:c>
      <x:c r="C121" s="21" t="str">
        <x:v>Official Amazon brand store</x:v>
      </x:c>
      <x:c r="D121" s="21" t="str">
        <x:v>Anua maintains an Amazon U.S. brand store; individual offer seller was checked on sampled ASINs.</x:v>
      </x:c>
      <x:c r="E121" s="21" t="str">
        <x:v>Anua Amazon Store</x:v>
      </x:c>
      <x:c r="F121" s="21" t="str">
        <x:v>https://www.amazon.com/stores/Anua/page/D1BEFB29-D065-44FC-81A2-E5A8526E1651</x:v>
      </x:c>
      <x:c r="G121" s="21" t="str">
        <x:v>Marketplace / Official Brand Store</x:v>
      </x:c>
      <x:c r="H121" s="25"/>
      <x:c r="I121" s="25" t="str">
        <x:v>2026-07-29</x:v>
      </x:c>
      <x:c r="J121" s="21" t="str">
        <x:v>Verified Fact</x:v>
      </x:c>
      <x:c r="K121" s="21" t="str">
        <x:v>High</x:v>
      </x:c>
      <x:c r="L121" s="21" t="str">
        <x:v>Yes</x:v>
      </x:c>
      <x:c r="M121" s="21"/>
      <x:c r="N121" s="21" t="str">
        <x:v>Seller must be rechecked at purchase.</x:v>
      </x:c>
      <x:c r="O121" s="21" t="str">
        <x:v>Codex</x:v>
      </x:c>
    </x:row>
    <x:row r="122" ht="92" customHeight="1">
      <x:c r="A122" s="21" t="str">
        <x:v>SRC-ANUA-019</x:v>
      </x:c>
      <x:c r="B122" s="21" t="str">
        <x:v>KB003</x:v>
      </x:c>
      <x:c r="C122" s="21" t="str">
        <x:v>PDRN product / emerging innovation</x:v>
      </x:c>
      <x:c r="D122" s="21" t="str">
        <x:v>Official page verified 30 mL PDRN Hyaluronic Acid Capsule 100 Serum, $30 list and 4.7/48 reviews.</x:v>
      </x:c>
      <x:c r="E122" s="21" t="str">
        <x:v>Anua — PDRN Serum</x:v>
      </x:c>
      <x:c r="F122" s="21" t="str">
        <x:v>https://anua.com/products/pdrn-hyaluronic-acid-capsule-100-serum</x:v>
      </x:c>
      <x:c r="G122" s="21" t="str">
        <x:v>Official Product Page</x:v>
      </x:c>
      <x:c r="H122" s="25"/>
      <x:c r="I122" s="25" t="str">
        <x:v>2026-07-29</x:v>
      </x:c>
      <x:c r="J122" s="21" t="str">
        <x:v>Verified Product Fact / Brand Claim</x:v>
      </x:c>
      <x:c r="K122" s="21" t="str">
        <x:v>High</x:v>
      </x:c>
      <x:c r="L122" s="21" t="str">
        <x:v>Yes</x:v>
      </x:c>
      <x:c r="M122" s="21"/>
      <x:c r="N122" s="21" t="str">
        <x:v>Firming/plumping language requires cosmetic-claims review.</x:v>
      </x:c>
      <x:c r="O122" s="21" t="str">
        <x:v>Codex</x:v>
      </x:c>
    </x:row>
    <x:row r="123" ht="92" customHeight="1">
      <x:c r="A123" s="21" t="str">
        <x:v>SRC-ANUA-020</x:v>
      </x:c>
      <x:c r="B123" s="21" t="str">
        <x:v>KB003</x:v>
      </x:c>
      <x:c r="C123" s="21" t="str">
        <x:v>U.S. sunscreen product</x:v>
      </x:c>
      <x:c r="D123" s="21" t="str">
        <x:v>Official U.S. Zero-Cast Moisturizing Finish Sunscreen page displayed SPF 40, $18 and 4.7/85.</x:v>
      </x:c>
      <x:c r="E123" s="21" t="str">
        <x:v>Anua — Zero-Cast Sunscreen</x:v>
      </x:c>
      <x:c r="F123" s="21" t="str">
        <x:v>https://pages.anua.com/products/zero-cast-moisturizing-finish-sunscreen</x:v>
      </x:c>
      <x:c r="G123" s="21" t="str">
        <x:v>Official Product Page</x:v>
      </x:c>
      <x:c r="H123" s="25"/>
      <x:c r="I123" s="25" t="str">
        <x:v>2026-07-29</x:v>
      </x:c>
      <x:c r="J123" s="21" t="str">
        <x:v>Verified Product Fact / OTC Drug</x:v>
      </x:c>
      <x:c r="K123" s="21" t="str">
        <x:v>High</x:v>
      </x:c>
      <x:c r="L123" s="21" t="str">
        <x:v>Yes</x:v>
      </x:c>
      <x:c r="M123" s="21"/>
      <x:c r="N123" s="21" t="str">
        <x:v>Exact current Drug Facts/NDC and supply file must be confirmed.</x:v>
      </x:c>
      <x:c r="O123" s="21" t="str">
        <x:v>Codex</x:v>
      </x:c>
    </x:row>
    <x:row r="124" ht="92" customHeight="1">
      <x:c r="A124" s="21" t="str">
        <x:v>SRC-ANUA-021</x:v>
      </x:c>
      <x:c r="B124" s="21" t="str">
        <x:v>KB003</x:v>
      </x:c>
      <x:c r="C124" s="21" t="str">
        <x:v>TikTok Shop U.S. scale</x:v>
      </x:c>
      <x:c r="D124" s="21" t="str">
        <x:v>Public official Anua Store US displayed 171.1K+ followers and 1.3M sold; sampled product/routine displays ranged from 21K to 96.4K sold.</x:v>
      </x:c>
      <x:c r="E124" s="21" t="str">
        <x:v>TikTok Shop — Anua Store US</x:v>
      </x:c>
      <x:c r="F124" s="21" t="str">
        <x:v>https://shop.tiktok.com/us/k/anua-store-us</x:v>
      </x:c>
      <x:c r="G124" s="21" t="str">
        <x:v>Social Commerce Marketplace</x:v>
      </x:c>
      <x:c r="H124" s="25"/>
      <x:c r="I124" s="25" t="str">
        <x:v>2026-07-29</x:v>
      </x:c>
      <x:c r="J124" s="21" t="str">
        <x:v>Verified Platform Display</x:v>
      </x:c>
      <x:c r="K124" s="21" t="str">
        <x:v>Medium-High</x:v>
      </x:c>
      <x:c r="L124" s="21" t="str">
        <x:v>Yes</x:v>
      </x:c>
      <x:c r="M124" s="21"/>
      <x:c r="N124" s="21" t="str">
        <x:v>Cumulative dynamic display, not audited period revenue.</x:v>
      </x:c>
      <x:c r="O124" s="21" t="str">
        <x:v>Codex</x:v>
      </x:c>
    </x:row>
    <x:row r="125" ht="92" customHeight="1">
      <x:c r="A125" s="21" t="str">
        <x:v>SRC-ANUA-022</x:v>
      </x:c>
      <x:c r="B125" s="21" t="str">
        <x:v>KB003</x:v>
      </x:c>
      <x:c r="C125" s="21" t="str">
        <x:v>Instagram awareness</x:v>
      </x:c>
      <x:c r="D125" s="21" t="str">
        <x:v>Public tracking for official @anua_global showed approximately 0.64M followers.</x:v>
      </x:c>
      <x:c r="E125" s="21" t="str">
        <x:v>Instagram / Public Profile Tracking</x:v>
      </x:c>
      <x:c r="F125" s="21" t="str">
        <x:v>https://www.instagram.com/anua_global/</x:v>
      </x:c>
      <x:c r="G125" s="21" t="str">
        <x:v>Social Platform</x:v>
      </x:c>
      <x:c r="H125" s="25"/>
      <x:c r="I125" s="25" t="str">
        <x:v>2026-07-29</x:v>
      </x:c>
      <x:c r="J125" s="21" t="str">
        <x:v>Verified Platform Snapshot</x:v>
      </x:c>
      <x:c r="K125" s="21" t="str">
        <x:v>Medium</x:v>
      </x:c>
      <x:c r="L125" s="21" t="str">
        <x:v>Yes</x:v>
      </x:c>
      <x:c r="M125" s="21"/>
      <x:c r="N125" s="21" t="str">
        <x:v>Follower count is dynamic and not a sales measure.</x:v>
      </x:c>
      <x:c r="O125" s="21" t="str">
        <x:v>Codex</x:v>
      </x:c>
    </x:row>
    <x:row r="126" ht="92" customHeight="1">
      <x:c r="A126" s="21" t="str">
        <x:v>SRC-ANUA-023</x:v>
      </x:c>
      <x:c r="B126" s="21" t="str">
        <x:v>KB003</x:v>
      </x:c>
      <x:c r="C126" s="21" t="str">
        <x:v>Ulta presence / toner</x:v>
      </x:c>
      <x:c r="D126" s="21" t="str">
        <x:v>Ulta listed Heartleaf 77 Toner around $21 with approximately 4.4/144 reviews; broad Anua assortment and national store availability were visible.</x:v>
      </x:c>
      <x:c r="E126" s="21" t="str">
        <x:v>Ulta Beauty</x:v>
      </x:c>
      <x:c r="F126" s="21" t="str">
        <x:v>https://www.ulta.com/p/heartleaf-77-soothing-toner-pimprod2048929</x:v>
      </x:c>
      <x:c r="G126" s="21" t="str">
        <x:v>Authorized Retailer</x:v>
      </x:c>
      <x:c r="H126" s="25"/>
      <x:c r="I126" s="25" t="str">
        <x:v>2026-07-29</x:v>
      </x:c>
      <x:c r="J126" s="21" t="str">
        <x:v>Verified Retailer Fact / Consumer Evidence</x:v>
      </x:c>
      <x:c r="K126" s="21" t="str">
        <x:v>High</x:v>
      </x:c>
      <x:c r="L126" s="21" t="str">
        <x:v>Yes</x:v>
      </x:c>
      <x:c r="M126" s="21"/>
      <x:c r="N126" s="21" t="str">
        <x:v>Counts and promotions change.</x:v>
      </x:c>
      <x:c r="O126" s="21" t="str">
        <x:v>Codex</x:v>
      </x:c>
    </x:row>
    <x:row r="127" ht="92" customHeight="1">
      <x:c r="A127" s="21" t="str">
        <x:v>SRC-ANUA-024</x:v>
      </x:c>
      <x:c r="B127" s="21" t="str">
        <x:v>KB003</x:v>
      </x:c>
      <x:c r="C127" s="21" t="str">
        <x:v>Sephora market distinction</x:v>
      </x:c>
      <x:c r="D127" s="21" t="str">
        <x:v>A Sephora Canada brand page was visible, but a U.S. Sephora Anua brand page was not verified in this pass.</x:v>
      </x:c>
      <x:c r="E127" s="21" t="str">
        <x:v>Sephora Canada</x:v>
      </x:c>
      <x:c r="F127" s="21" t="str">
        <x:v>https://www.sephora.com/ca/en/brand/anua</x:v>
      </x:c>
      <x:c r="G127" s="21" t="str">
        <x:v>Authorized Retailer — Canada</x:v>
      </x:c>
      <x:c r="H127" s="25"/>
      <x:c r="I127" s="25" t="str">
        <x:v>2026-07-29</x:v>
      </x:c>
      <x:c r="J127" s="21" t="str">
        <x:v>Verified Market-Specific Finding</x:v>
      </x:c>
      <x:c r="K127" s="21" t="str">
        <x:v>Medium-High</x:v>
      </x:c>
      <x:c r="L127" s="21" t="str">
        <x:v>Yes</x:v>
      </x:c>
      <x:c r="M127" s="21"/>
      <x:c r="N127" s="21" t="str">
        <x:v>Do not count Canada availability as U.S. distribution.</x:v>
      </x:c>
      <x:c r="O127" s="21" t="str">
        <x:v>Codex</x:v>
      </x:c>
    </x:row>
    <x:row r="128" ht="92" customHeight="1">
      <x:c r="A128" s="21" t="str">
        <x:v>SRC-ANUA-025</x:v>
      </x:c>
      <x:c r="B128" s="21" t="str">
        <x:v>KB003</x:v>
      </x:c>
      <x:c r="C128" s="21" t="str">
        <x:v>Olive Young USA</x:v>
      </x:c>
      <x:c r="D128" s="21" t="str">
        <x:v>The Founders said Anua is a key brand in Olive Young's first U.S. store in Pasadena, opened May 29, 2026.</x:v>
      </x:c>
      <x:c r="E128" s="21" t="str">
        <x:v>The Founders / Corporate News</x:v>
      </x:c>
      <x:c r="F128" s="21" t="str">
        <x:v>https://thefounders.kr/en</x:v>
      </x:c>
      <x:c r="G128" s="21" t="str">
        <x:v>Official Corporate Site</x:v>
      </x:c>
      <x:c r="H128" s="25"/>
      <x:c r="I128" s="25" t="str">
        <x:v>2026-07-29</x:v>
      </x:c>
      <x:c r="J128" s="21" t="str">
        <x:v>Verified Corporate Statement</x:v>
      </x:c>
      <x:c r="K128" s="21" t="str">
        <x:v>Medium-High</x:v>
      </x:c>
      <x:c r="L128" s="21" t="str">
        <x:v>Yes</x:v>
      </x:c>
      <x:c r="M128" s="21"/>
      <x:c r="N128" s="21" t="str">
        <x:v>Exact SKU assortment and sell-through not audited.</x:v>
      </x:c>
      <x:c r="O128" s="21" t="str">
        <x:v>Codex</x:v>
      </x:c>
    </x:row>
    <x:row r="129" ht="92" customHeight="1">
      <x:c r="A129" s="21" t="str">
        <x:v>SRC-ANUA-026</x:v>
      </x:c>
      <x:c r="B129" s="21" t="str">
        <x:v>KB003</x:v>
      </x:c>
      <x:c r="C129" s="21" t="str">
        <x:v>Target listing</x:v>
      </x:c>
      <x:c r="D129" s="21" t="str">
        <x:v>Target category results showed a limited Anua cleansing-oil listing around $19.50.</x:v>
      </x:c>
      <x:c r="E129" s="21" t="str">
        <x:v>Target U.S.</x:v>
      </x:c>
      <x:c r="F129" s="21" t="str">
        <x:v>https://www.target.com/c/makeup-removers-beauty/anua/-/N-cjmwvZq643len6gt9</x:v>
      </x:c>
      <x:c r="G129" s="21" t="str">
        <x:v>Retailer / Marketplace</x:v>
      </x:c>
      <x:c r="H129" s="25"/>
      <x:c r="I129" s="25" t="str">
        <x:v>2026-07-29</x:v>
      </x:c>
      <x:c r="J129" s="21" t="str">
        <x:v>Verified Retailer Display</x:v>
      </x:c>
      <x:c r="K129" s="21" t="str">
        <x:v>Medium</x:v>
      </x:c>
      <x:c r="L129" s="21" t="str">
        <x:v>Yes</x:v>
      </x:c>
      <x:c r="M129" s="21"/>
      <x:c r="N129" s="21" t="str">
        <x:v>Authorization and seller/fulfillment require confirmation.</x:v>
      </x:c>
      <x:c r="O129" s="21" t="str">
        <x:v>Codex</x:v>
      </x:c>
    </x:row>
    <x:row r="130" ht="92" customHeight="1">
      <x:c r="A130" s="21" t="str">
        <x:v>SRC-ANUA-027</x:v>
      </x:c>
      <x:c r="B130" s="21" t="str">
        <x:v>KB003</x:v>
      </x:c>
      <x:c r="C130" s="21" t="str">
        <x:v>Walmart marketplace risk</x:v>
      </x:c>
      <x:c r="D130" s="21" t="str">
        <x:v>Walmart toner offer showed approximately $19.68, 3.7/23, Walmart fulfillment and third-party seller history.</x:v>
      </x:c>
      <x:c r="E130" s="21" t="str">
        <x:v>Walmart U.S.</x:v>
      </x:c>
      <x:c r="F130" s="21" t="str">
        <x:v>https://www.walmart.com/ip/5067473736</x:v>
      </x:c>
      <x:c r="G130" s="21" t="str">
        <x:v>Marketplace</x:v>
      </x:c>
      <x:c r="H130" s="25"/>
      <x:c r="I130" s="25" t="str">
        <x:v>2026-07-29</x:v>
      </x:c>
      <x:c r="J130" s="21" t="str">
        <x:v>Verified Platform Display / Risk Signal</x:v>
      </x:c>
      <x:c r="K130" s="21" t="str">
        <x:v>High</x:v>
      </x:c>
      <x:c r="L130" s="21" t="str">
        <x:v>Yes</x:v>
      </x:c>
      <x:c r="M130" s="21"/>
      <x:c r="N130" s="21" t="str">
        <x:v>Not proof of counterfeit; authorization unconfirmed.</x:v>
      </x:c>
      <x:c r="O130" s="21" t="str">
        <x:v>Codex</x:v>
      </x:c>
    </x:row>
    <x:row r="131" ht="92" customHeight="1">
      <x:c r="A131" s="21" t="str">
        <x:v>SRC-ANUA-028</x:v>
      </x:c>
      <x:c r="B131" s="21" t="str">
        <x:v>KB003</x:v>
      </x:c>
      <x:c r="C131" s="21" t="str">
        <x:v>Reddit — toner positive</x:v>
      </x:c>
      <x:c r="D131" s="21" t="str">
        <x:v>Consumer review reports smoother-feeling skin, less-looking redness/oil, hydration and soothing from Heartleaf toner.</x:v>
      </x:c>
      <x:c r="E131" s="21" t="str">
        <x:v>Reddit r/AsianBeauty</x:v>
      </x:c>
      <x:c r="F131" s="21" t="str">
        <x:v>https://www.reddit.com/r/AsianBeauty/comments/hxgl3r</x:v>
      </x:c>
      <x:c r="G131" s="21" t="str">
        <x:v>Consumer Forum</x:v>
      </x:c>
      <x:c r="H131" s="25"/>
      <x:c r="I131" s="25" t="str">
        <x:v>2026-07-29</x:v>
      </x:c>
      <x:c r="J131" s="21" t="str">
        <x:v>Anecdotal Consumer Evidence</x:v>
      </x:c>
      <x:c r="K131" s="21" t="str">
        <x:v>Low-Medium</x:v>
      </x:c>
      <x:c r="L131" s="21" t="str">
        <x:v>Yes</x:v>
      </x:c>
      <x:c r="M131" s="21"/>
      <x:c r="N131" s="21" t="str">
        <x:v>Single-user/non-representative.</x:v>
      </x:c>
      <x:c r="O131" s="21" t="str">
        <x:v>Codex</x:v>
      </x:c>
    </x:row>
    <x:row r="132" ht="92" customHeight="1">
      <x:c r="A132" s="21" t="str">
        <x:v>SRC-ANUA-029</x:v>
      </x:c>
      <x:c r="B132" s="21" t="str">
        <x:v>KB003</x:v>
      </x:c>
      <x:c r="C132" s="21" t="str">
        <x:v>Reddit — toner breakout</x:v>
      </x:c>
      <x:c r="D132" s="21" t="str">
        <x:v>Thread discusses breakouts/closed comedones after Heartleaf toner, with mixed tolerance experiences.</x:v>
      </x:c>
      <x:c r="E132" s="21" t="str">
        <x:v>Reddit r/KoreanBeauty</x:v>
      </x:c>
      <x:c r="F132" s="21" t="str">
        <x:v>https://www.reddit.com/r/KoreanBeauty/comments/12s8j8d/anua_heartleaf_toner_breakout/</x:v>
      </x:c>
      <x:c r="G132" s="21" t="str">
        <x:v>Consumer Forum</x:v>
      </x:c>
      <x:c r="H132" s="25" t="str">
        <x:v>2023-04-19</x:v>
      </x:c>
      <x:c r="I132" s="25" t="str">
        <x:v>2026-07-29</x:v>
      </x:c>
      <x:c r="J132" s="21" t="str">
        <x:v>Anecdotal Consumer Evidence</x:v>
      </x:c>
      <x:c r="K132" s="21" t="str">
        <x:v>Low-Medium</x:v>
      </x:c>
      <x:c r="L132" s="21" t="str">
        <x:v>Yes</x:v>
      </x:c>
      <x:c r="M132" s="21"/>
      <x:c r="N132" s="21" t="str">
        <x:v>No causation established.</x:v>
      </x:c>
      <x:c r="O132" s="21" t="str">
        <x:v>Codex</x:v>
      </x:c>
    </x:row>
    <x:row r="133" ht="92" customHeight="1">
      <x:c r="A133" s="21" t="str">
        <x:v>SRC-ANUA-030</x:v>
      </x:c>
      <x:c r="B133" s="21" t="str">
        <x:v>KB003</x:v>
      </x:c>
      <x:c r="C133" s="21" t="str">
        <x:v>Reddit — toner mixed</x:v>
      </x:c>
      <x:c r="D133" s="21" t="str">
        <x:v>Oily-skin discussion is polarized between soothing benefits and no effect/poor fit.</x:v>
      </x:c>
      <x:c r="E133" s="21" t="str">
        <x:v>Reddit r/KoreanBeauty</x:v>
      </x:c>
      <x:c r="F133" s="21" t="str">
        <x:v>https://www.reddit.com/r/KoreanBeauty/comments/1hsy3h0/is_anua_heartleaf_77_soothing_toner_good_for_oily/</x:v>
      </x:c>
      <x:c r="G133" s="21" t="str">
        <x:v>Consumer Forum</x:v>
      </x:c>
      <x:c r="H133" s="25" t="str">
        <x:v>2025-01-01</x:v>
      </x:c>
      <x:c r="I133" s="25" t="str">
        <x:v>2026-07-29</x:v>
      </x:c>
      <x:c r="J133" s="21" t="str">
        <x:v>Anecdotal Consumer Evidence</x:v>
      </x:c>
      <x:c r="K133" s="21" t="str">
        <x:v>Low-Medium</x:v>
      </x:c>
      <x:c r="L133" s="21" t="str">
        <x:v>Yes</x:v>
      </x:c>
      <x:c r="M133" s="21"/>
      <x:c r="N133" s="21" t="str">
        <x:v>Self-selected discussion.</x:v>
      </x:c>
      <x:c r="O133" s="21" t="str">
        <x:v>Codex</x:v>
      </x:c>
    </x:row>
    <x:row r="134" ht="92" customHeight="1">
      <x:c r="A134" s="21" t="str">
        <x:v>SRC-ANUA-031</x:v>
      </x:c>
      <x:c r="B134" s="21" t="str">
        <x:v>KB003</x:v>
      </x:c>
      <x:c r="C134" s="21" t="str">
        <x:v>Reddit — niacinamide/TXA results</x:v>
      </x:c>
      <x:c r="D134" s="21" t="str">
        <x:v>Users report brightening/even-tone benefits while noting sensitivity risk from 10% niacinamide/4% TXA.</x:v>
      </x:c>
      <x:c r="E134" s="21" t="str">
        <x:v>Reddit r/KoreanBeauty</x:v>
      </x:c>
      <x:c r="F134" s="21" t="str">
        <x:v>https://www.reddit.com/r/KoreanBeauty/comments/1h8ra7h/review_anua_10_niacinamide_serum/</x:v>
      </x:c>
      <x:c r="G134" s="21" t="str">
        <x:v>Consumer Forum</x:v>
      </x:c>
      <x:c r="H134" s="25" t="str">
        <x:v>2024-12-06</x:v>
      </x:c>
      <x:c r="I134" s="25" t="str">
        <x:v>2026-07-29</x:v>
      </x:c>
      <x:c r="J134" s="21" t="str">
        <x:v>Anecdotal Consumer Evidence</x:v>
      </x:c>
      <x:c r="K134" s="21" t="str">
        <x:v>Low-Medium</x:v>
      </x:c>
      <x:c r="L134" s="21" t="str">
        <x:v>Yes</x:v>
      </x:c>
      <x:c r="M134" s="21"/>
      <x:c r="N134" s="21" t="str">
        <x:v>No clinical conclusion.</x:v>
      </x:c>
      <x:c r="O134" s="21" t="str">
        <x:v>Codex</x:v>
      </x:c>
    </x:row>
    <x:row r="135" ht="92" customHeight="1">
      <x:c r="A135" s="21" t="str">
        <x:v>SRC-ANUA-032</x:v>
      </x:c>
      <x:c r="B135" s="21" t="str">
        <x:v>KB003</x:v>
      </x:c>
      <x:c r="C135" s="21" t="str">
        <x:v>Reddit — niacinamide/TXA texture</x:v>
      </x:c>
      <x:c r="D135" s="21" t="str">
        <x:v>Consumer thread reports sticky/tacky texture and application-amount sensitivity.</x:v>
      </x:c>
      <x:c r="E135" s="21" t="str">
        <x:v>Reddit r/KoreanBeauty</x:v>
      </x:c>
      <x:c r="F135" s="21" t="str">
        <x:v>https://www.reddit.com/r/KoreanBeauty/comments/1dkhmbk/is_the_anua_niacinamide_10_txa_4_serum_supposed/</x:v>
      </x:c>
      <x:c r="G135" s="21" t="str">
        <x:v>Consumer Forum</x:v>
      </x:c>
      <x:c r="H135" s="25" t="str">
        <x:v>2024-06-20</x:v>
      </x:c>
      <x:c r="I135" s="25" t="str">
        <x:v>2026-07-29</x:v>
      </x:c>
      <x:c r="J135" s="21" t="str">
        <x:v>Anecdotal Consumer Evidence</x:v>
      </x:c>
      <x:c r="K135" s="21" t="str">
        <x:v>Low-Medium</x:v>
      </x:c>
      <x:c r="L135" s="21" t="str">
        <x:v>Yes</x:v>
      </x:c>
      <x:c r="M135" s="21"/>
      <x:c r="N135" s="21" t="str">
        <x:v>Formula experience varies.</x:v>
      </x:c>
      <x:c r="O135" s="21" t="str">
        <x:v>Codex</x:v>
      </x:c>
    </x:row>
    <x:row r="136" ht="92" customHeight="1">
      <x:c r="A136" s="21" t="str">
        <x:v>SRC-ANUA-033</x:v>
      </x:c>
      <x:c r="B136" s="21" t="str">
        <x:v>KB003</x:v>
      </x:c>
      <x:c r="C136" s="21" t="str">
        <x:v>Reddit — cleansing oil / promotion risk</x:v>
      </x:c>
      <x:c r="D136" s="21" t="str">
        <x:v>Acne-prone cleansing-oil thread shows mixed product fit; community note flags paid/gifted promotion and account-manipulation concerns tied to Anua marketing.</x:v>
      </x:c>
      <x:c r="E136" s="21" t="str">
        <x:v>Reddit r/AsianBeauty</x:v>
      </x:c>
      <x:c r="F136" s="21" t="str">
        <x:v>https://www.reddit.com/r/AsianBeauty/comments/1r8t12f/acne_prone_people_which_oil_cleanser_worked_best/</x:v>
      </x:c>
      <x:c r="G136" s="21" t="str">
        <x:v>Consumer Forum</x:v>
      </x:c>
      <x:c r="H136" s="25"/>
      <x:c r="I136" s="25" t="str">
        <x:v>2026-07-29</x:v>
      </x:c>
      <x:c r="J136" s="21" t="str">
        <x:v>Anecdotal Consumer / Sponsorship Risk</x:v>
      </x:c>
      <x:c r="K136" s="21" t="str">
        <x:v>Medium</x:v>
      </x:c>
      <x:c r="L136" s="21" t="str">
        <x:v>Yes</x:v>
      </x:c>
      <x:c r="M136" s="21"/>
      <x:c r="N136" s="21" t="str">
        <x:v>Perception/risk evidence, not proof about every review.</x:v>
      </x:c>
      <x:c r="O136" s="21" t="str">
        <x:v>Codex</x:v>
      </x:c>
    </x:row>
    <x:row r="137" ht="92" customHeight="1">
      <x:c r="A137" s="21" t="str">
        <x:v>SRC-ANUA-034</x:v>
      </x:c>
      <x:c r="B137" s="21" t="str">
        <x:v>KB003</x:v>
      </x:c>
      <x:c r="C137" s="21" t="str">
        <x:v>Reddit — azelaic serum</x:v>
      </x:c>
      <x:c r="D137" s="21" t="str">
        <x:v>Consumer describes a watery serum with possible stickiness if overapplied and repeat-use interest.</x:v>
      </x:c>
      <x:c r="E137" s="21" t="str">
        <x:v>Reddit r/Rosacea</x:v>
      </x:c>
      <x:c r="F137" s="21" t="str">
        <x:v>https://www.reddit.com/r/Rosacea/comments/1smiuze/best_nonprescription_azelaic_acid/</x:v>
      </x:c>
      <x:c r="G137" s="21" t="str">
        <x:v>Consumer Forum</x:v>
      </x:c>
      <x:c r="H137" s="25"/>
      <x:c r="I137" s="25" t="str">
        <x:v>2026-07-29</x:v>
      </x:c>
      <x:c r="J137" s="21" t="str">
        <x:v>Anecdotal Consumer Evidence</x:v>
      </x:c>
      <x:c r="K137" s="21" t="str">
        <x:v>Low-Medium</x:v>
      </x:c>
      <x:c r="L137" s="21" t="str">
        <x:v>Yes</x:v>
      </x:c>
      <x:c r="M137" s="21"/>
      <x:c r="N137" s="21" t="str">
        <x:v>Not medical advice.</x:v>
      </x:c>
      <x:c r="O137" s="21" t="str">
        <x:v>Codex</x:v>
      </x:c>
    </x:row>
    <x:row r="138" ht="92" customHeight="1">
      <x:c r="A138" s="21" t="str">
        <x:v>SRC-ANUA-035</x:v>
      </x:c>
      <x:c r="B138" s="21" t="str">
        <x:v>KB003</x:v>
      </x:c>
      <x:c r="C138" s="21" t="str">
        <x:v>Reddit — azelaic results variability</x:v>
      </x:c>
      <x:c r="D138" s="21" t="str">
        <x:v>Consumer empties review describes early benefit followed by less-noticeable effect.</x:v>
      </x:c>
      <x:c r="E138" s="21" t="str">
        <x:v>Reddit r/AsianBeauty</x:v>
      </x:c>
      <x:c r="F138" s="21" t="str">
        <x:v>https://www.reddit.com/r/AsianBeauty/comments/1tqa562/skincare_empties_reviews/</x:v>
      </x:c>
      <x:c r="G138" s="21" t="str">
        <x:v>Consumer Forum</x:v>
      </x:c>
      <x:c r="H138" s="25"/>
      <x:c r="I138" s="25" t="str">
        <x:v>2026-07-29</x:v>
      </x:c>
      <x:c r="J138" s="21" t="str">
        <x:v>Anecdotal Consumer Evidence</x:v>
      </x:c>
      <x:c r="K138" s="21" t="str">
        <x:v>Low-Medium</x:v>
      </x:c>
      <x:c r="L138" s="21" t="str">
        <x:v>Yes</x:v>
      </x:c>
      <x:c r="M138" s="21"/>
      <x:c r="N138" s="21" t="str">
        <x:v>Single-user and non-representative.</x:v>
      </x:c>
      <x:c r="O138" s="21" t="str">
        <x:v>Codex</x:v>
      </x:c>
    </x:row>
    <x:row r="139" ht="92" customHeight="1">
      <x:c r="A139" s="21" t="str">
        <x:v>SRC-ANUA-036</x:v>
      </x:c>
      <x:c r="B139" s="21" t="str">
        <x:v>KB003</x:v>
      </x:c>
      <x:c r="C139" s="21" t="str">
        <x:v>Reddit — packaging/authenticity</x:v>
      </x:c>
      <x:c r="D139" s="21" t="str">
        <x:v>Consumers question whether packaging changes indicate counterfeit product.</x:v>
      </x:c>
      <x:c r="E139" s="21" t="str">
        <x:v>Reddit r/koreanskincare</x:v>
      </x:c>
      <x:c r="F139" s="21" t="str">
        <x:v>https://www.reddit.com/r/koreanskincare/comments/1gy265p/did_anua_get_new_packaging_or_did_i_buy_a_fake/</x:v>
      </x:c>
      <x:c r="G139" s="21" t="str">
        <x:v>Consumer Forum</x:v>
      </x:c>
      <x:c r="H139" s="25" t="str">
        <x:v>2024-11-24</x:v>
      </x:c>
      <x:c r="I139" s="25" t="str">
        <x:v>2026-07-29</x:v>
      </x:c>
      <x:c r="J139" s="21" t="str">
        <x:v>Anecdotal Risk Signal</x:v>
      </x:c>
      <x:c r="K139" s="21" t="str">
        <x:v>Medium</x:v>
      </x:c>
      <x:c r="L139" s="21" t="str">
        <x:v>Yes</x:v>
      </x:c>
      <x:c r="M139" s="21"/>
      <x:c r="N139" s="21" t="str">
        <x:v>Thread cannot authenticate stock.</x:v>
      </x:c>
      <x:c r="O139" s="21" t="str">
        <x:v>Codex</x:v>
      </x:c>
    </x:row>
    <x:row r="140" ht="92" customHeight="1">
      <x:c r="A140" s="21" t="str">
        <x:v>SRC-ANUA-037</x:v>
      </x:c>
      <x:c r="B140" s="21" t="str">
        <x:v>KB003</x:v>
      </x:c>
      <x:c r="C140" s="21" t="str">
        <x:v>Reddit — Rice toner authenticity</x:v>
      </x:c>
      <x:c r="D140" s="21" t="str">
        <x:v>Consumers question whether a Rice 70 Milky Toner is authentic based on packaging/product differences.</x:v>
      </x:c>
      <x:c r="E140" s="21" t="str">
        <x:v>Reddit r/koreanskincare</x:v>
      </x:c>
      <x:c r="F140" s="21" t="str">
        <x:v>https://www.reddit.com/r/koreanskincare/comments/1uhazb6/anua_rice_70_milky_toner_is_it_fake/</x:v>
      </x:c>
      <x:c r="G140" s="21" t="str">
        <x:v>Consumer Forum</x:v>
      </x:c>
      <x:c r="H140" s="25"/>
      <x:c r="I140" s="25" t="str">
        <x:v>2026-07-29</x:v>
      </x:c>
      <x:c r="J140" s="21" t="str">
        <x:v>Anecdotal Risk Signal</x:v>
      </x:c>
      <x:c r="K140" s="21" t="str">
        <x:v>Low-Medium</x:v>
      </x:c>
      <x:c r="L140" s="21" t="str">
        <x:v>Yes</x:v>
      </x:c>
      <x:c r="M140" s="21"/>
      <x:c r="N140" s="21" t="str">
        <x:v>Use official traceability process.</x:v>
      </x:c>
      <x:c r="O140" s="21" t="str">
        <x:v>Codex</x:v>
      </x:c>
    </x:row>
    <x:row r="141" ht="92" customHeight="1">
      <x:c r="A141" s="21" t="str">
        <x:v>SRC-ANUA-038</x:v>
      </x:c>
      <x:c r="B141" s="21" t="str">
        <x:v>KB003</x:v>
      </x:c>
      <x:c r="C141" s="21" t="str">
        <x:v>Authenticity / authorized purchasing</x:v>
      </x:c>
      <x:c r="D141" s="21" t="str">
        <x:v>Official Anua guidance recommends official/authorized channels and describes holographic QR HiddenTag authentication.</x:v>
      </x:c>
      <x:c r="E141" s="21" t="str">
        <x:v>Anua — Where to Buy / Authenticity</x:v>
      </x:c>
      <x:c r="F141" s="21" t="str">
        <x:v>https://pages.anua.com/where-to-buy-anua/official-store-vs-amazon-ulta-sephora</x:v>
      </x:c>
      <x:c r="G141" s="21" t="str">
        <x:v>Official Brand Policy</x:v>
      </x:c>
      <x:c r="H141" s="25"/>
      <x:c r="I141" s="25" t="str">
        <x:v>2026-07-29</x:v>
      </x:c>
      <x:c r="J141" s="21" t="str">
        <x:v>Verified Brand Policy</x:v>
      </x:c>
      <x:c r="K141" s="21" t="str">
        <x:v>High</x:v>
      </x:c>
      <x:c r="L141" s="21" t="str">
        <x:v>Yes</x:v>
      </x:c>
      <x:c r="M141" s="21"/>
      <x:c r="N141" s="21" t="str">
        <x:v>Policy evidence only; request batch traceability and written authorization.</x:v>
      </x:c>
      <x:c r="O141" s="21" t="str">
        <x:v>Codex</x:v>
      </x:c>
    </x:row>
    <x:row r="142" ht="92" customHeight="1">
      <x:c r="A142" s="21" t="str">
        <x:v>SRC-ANUA-039</x:v>
      </x:c>
      <x:c r="B142" s="21" t="str">
        <x:v>KB003</x:v>
      </x:c>
      <x:c r="C142" s="21" t="str">
        <x:v>Official channel links</x:v>
      </x:c>
      <x:c r="D142" s="21" t="str">
        <x:v>Anua U.S. Linktree links official store, Amazon, Ulta, TikTok Shop and Olive Young Global.</x:v>
      </x:c>
      <x:c r="E142" s="21" t="str">
        <x:v>Anua U.S. Official Linktree</x:v>
      </x:c>
      <x:c r="F142" s="21" t="str">
        <x:v>https://linktr.ee/anua_us_official</x:v>
      </x:c>
      <x:c r="G142" s="21" t="str">
        <x:v>Official Link Directory</x:v>
      </x:c>
      <x:c r="H142" s="25"/>
      <x:c r="I142" s="25" t="str">
        <x:v>2026-07-29</x:v>
      </x:c>
      <x:c r="J142" s="21" t="str">
        <x:v>Verified Brand Linkage</x:v>
      </x:c>
      <x:c r="K142" s="21" t="str">
        <x:v>Medium-High</x:v>
      </x:c>
      <x:c r="L142" s="21" t="str">
        <x:v>Yes</x:v>
      </x:c>
      <x:c r="M142" s="21"/>
      <x:c r="N142" s="21" t="str">
        <x:v>Useful for channel linkage; authorization can change.</x:v>
      </x:c>
      <x:c r="O142" s="21" t="str">
        <x:v>Codex</x:v>
      </x:c>
    </x:row>
    <x:row r="143" ht="92" customHeight="1">
      <x:c r="A143" s="21" t="str">
        <x:v>SRC-ANUA-040</x:v>
      </x:c>
      <x:c r="B143" s="21" t="str">
        <x:v>KB003</x:v>
      </x:c>
      <x:c r="C143" s="21" t="str">
        <x:v>Company contact / Korean entity</x:v>
      </x:c>
      <x:c r="D143" s="21" t="str">
        <x:v>Official Korean/corporate materials identify The Founders Inc. and business contacts including global_sales@thefounders.kr and business@anua.kr.</x:v>
      </x:c>
      <x:c r="E143" s="21" t="str">
        <x:v>The Founders / Anua Korea</x:v>
      </x:c>
      <x:c r="F143" s="21" t="str">
        <x:v>https://thefounders.kr/en</x:v>
      </x:c>
      <x:c r="G143" s="21" t="str">
        <x:v>Official Corporate Site</x:v>
      </x:c>
      <x:c r="H143" s="25"/>
      <x:c r="I143" s="25" t="str">
        <x:v>2026-07-29</x:v>
      </x:c>
      <x:c r="J143" s="21" t="str">
        <x:v>Verified Corporate Fact</x:v>
      </x:c>
      <x:c r="K143" s="21" t="str">
        <x:v>High</x:v>
      </x:c>
      <x:c r="L143" s="21" t="str">
        <x:v>Yes</x:v>
      </x:c>
      <x:c r="M143" s="21"/>
      <x:c r="N143" s="21" t="str">
        <x:v>Request U.S. wholesale/entity documentation.</x:v>
      </x:c>
      <x:c r="O143" s="21" t="str">
        <x:v>Codex</x:v>
      </x:c>
    </x:row>
    <x:row r="144" ht="92" customHeight="1">
      <x:c r="A144" s="21" t="str">
        <x:v>SRC-ANUA-041</x:v>
      </x:c>
      <x:c r="B144" s="21" t="str">
        <x:v>KB003</x:v>
      </x:c>
      <x:c r="C144" s="21" t="str">
        <x:v>Competitor — cleanser</x:v>
      </x:c>
      <x:c r="D144" s="21" t="str">
        <x:v>COSRX Low pH Good Morning Gel Cleanser displayed approximately $11.90, 21.1K reviews, 4.5 rating and 10K+ bought/month on Amazon.</x:v>
      </x:c>
      <x:c r="E144" s="21" t="str">
        <x:v>Amazon U.S.</x:v>
      </x:c>
      <x:c r="F144" s="21" t="str">
        <x:v>https://www.amazon.com/dp/B016NRXO06</x:v>
      </x:c>
      <x:c r="G144" s="21" t="str">
        <x:v>Marketplace</x:v>
      </x:c>
      <x:c r="H144" s="25"/>
      <x:c r="I144" s="25" t="str">
        <x:v>2026-07-29</x:v>
      </x:c>
      <x:c r="J144" s="21" t="str">
        <x:v>Verified Competitor Platform Display</x:v>
      </x:c>
      <x:c r="K144" s="21" t="str">
        <x:v>High</x:v>
      </x:c>
      <x:c r="L144" s="21" t="str">
        <x:v>Yes</x:v>
      </x:c>
      <x:c r="M144" s="21"/>
      <x:c r="N144" s="21" t="str">
        <x:v>Current value K-Beauty cleanser benchmark.</x:v>
      </x:c>
      <x:c r="O144" s="21" t="str">
        <x:v>Codex</x:v>
      </x:c>
    </x:row>
    <x:row r="145" ht="92" customHeight="1">
      <x:c r="A145" s="21" t="str">
        <x:v>SRC-ANUA-042</x:v>
      </x:c>
      <x:c r="B145" s="21" t="str">
        <x:v>KB003</x:v>
      </x:c>
      <x:c r="C145" s="21" t="str">
        <x:v>Competitor — azelaic acid</x:v>
      </x:c>
      <x:c r="D145" s="21" t="str">
        <x:v>The Ordinary Azelaic Acid Suspension 10% displayed $12.20, 4.2 rating and 2,511 Ulta reviews.</x:v>
      </x:c>
      <x:c r="E145" s="21" t="str">
        <x:v>Ulta Beauty</x:v>
      </x:c>
      <x:c r="F145" s="21" t="str">
        <x:v>https://www.ulta.com/p/azelaic-acid-suspension-10-cream-redness-blemish-prone-skin-pimprod2007104</x:v>
      </x:c>
      <x:c r="G145" s="21" t="str">
        <x:v>Authorized Retailer</x:v>
      </x:c>
      <x:c r="H145" s="25"/>
      <x:c r="I145" s="25" t="str">
        <x:v>2026-07-29</x:v>
      </x:c>
      <x:c r="J145" s="21" t="str">
        <x:v>Verified Competitor Fact</x:v>
      </x:c>
      <x:c r="K145" s="21" t="str">
        <x:v>High</x:v>
      </x:c>
      <x:c r="L145" s="21" t="str">
        <x:v>Yes</x:v>
      </x:c>
      <x:c r="M145" s="21"/>
      <x:c r="N145" s="21" t="str">
        <x:v>Current global value-active benchmark.</x:v>
      </x:c>
      <x:c r="O145" s="21" t="str">
        <x:v>Codex</x:v>
      </x:c>
    </x:row>
    <x:row r="146" ht="92" customHeight="1">
      <x:c r="A146" s="21" t="str">
        <x:v>SRC-ANUA-043</x:v>
      </x:c>
      <x:c r="B146" s="21" t="str">
        <x:v>KB003</x:v>
      </x:c>
      <x:c r="C146" s="21" t="str">
        <x:v>Competitor — cleansing oil</x:v>
      </x:c>
      <x:c r="D146" s="21" t="str">
        <x:v>SKIN1004 Madagascar Centella Light Cleansing Oil displayed $25, 4.5 rating and 980 Ulta reviews.</x:v>
      </x:c>
      <x:c r="E146" s="21" t="str">
        <x:v>Ulta Beauty</x:v>
      </x:c>
      <x:c r="F146" s="21" t="str">
        <x:v>https://www.ulta.com/p/madagascar-centella-light-cleansing-oil-pimprod2045884</x:v>
      </x:c>
      <x:c r="G146" s="21" t="str">
        <x:v>Authorized Retailer</x:v>
      </x:c>
      <x:c r="H146" s="25"/>
      <x:c r="I146" s="25" t="str">
        <x:v>2026-07-29</x:v>
      </x:c>
      <x:c r="J146" s="21" t="str">
        <x:v>Verified Competitor Fact</x:v>
      </x:c>
      <x:c r="K146" s="21" t="str">
        <x:v>High</x:v>
      </x:c>
      <x:c r="L146" s="21" t="str">
        <x:v>Yes</x:v>
      </x:c>
      <x:c r="M146" s="21"/>
      <x:c r="N146" s="21" t="str">
        <x:v>Current viral K-Beauty cleansing-oil benchmark.</x:v>
      </x:c>
      <x:c r="O146" s="21" t="str">
        <x:v>Codex</x:v>
      </x:c>
    </x:row>
    <x:row r="147" ht="92" customHeight="1">
      <x:c r="A147" s="21" t="str">
        <x:v>SRC-ANUA-044</x:v>
      </x:c>
      <x:c r="B147" s="21" t="str">
        <x:v>KB003</x:v>
      </x:c>
      <x:c r="C147" s="21" t="str">
        <x:v>Competitor — discoloration serum</x:v>
      </x:c>
      <x:c r="D147" s="21" t="str">
        <x:v>Good Molecules Discoloration Correcting Serum displayed $12, 4.2 rating and 4,538 Ulta reviews.</x:v>
      </x:c>
      <x:c r="E147" s="21" t="str">
        <x:v>Ulta Beauty</x:v>
      </x:c>
      <x:c r="F147" s="21" t="str">
        <x:v>https://www.ulta.com/p/discoloration-correcting-serum-pimprod2023928</x:v>
      </x:c>
      <x:c r="G147" s="21" t="str">
        <x:v>Authorized Retailer</x:v>
      </x:c>
      <x:c r="H147" s="25"/>
      <x:c r="I147" s="25" t="str">
        <x:v>2026-07-29</x:v>
      </x:c>
      <x:c r="J147" s="21" t="str">
        <x:v>Verified Competitor Fact</x:v>
      </x:c>
      <x:c r="K147" s="21" t="str">
        <x:v>High</x:v>
      </x:c>
      <x:c r="L147" s="21" t="str">
        <x:v>Yes</x:v>
      </x:c>
      <x:c r="M147" s="21"/>
      <x:c r="N147" s="21" t="str">
        <x:v>Current U.S. value dark-spot benchmark.</x:v>
      </x:c>
      <x:c r="O147" s="21" t="str">
        <x:v>Codex</x:v>
      </x:c>
    </x:row>
    <x:row r="148" ht="92" customHeight="1">
      <x:c r="A148" s="21" t="str">
        <x:v>SRC-ANUA-045</x:v>
      </x:c>
      <x:c r="B148" s="21" t="str">
        <x:v>KB003</x:v>
      </x:c>
      <x:c r="C148" s="21" t="str">
        <x:v>Competitor — toner</x:v>
      </x:c>
      <x:c r="D148" s="21" t="str">
        <x:v>I'm From Rice Toner displayed $28, 4.9 rating and 522 Ulta reviews.</x:v>
      </x:c>
      <x:c r="E148" s="21" t="str">
        <x:v>Ulta Beauty</x:v>
      </x:c>
      <x:c r="F148" s="21" t="str">
        <x:v>https://www.ulta.com/p/rice-toner-pimprod2051769</x:v>
      </x:c>
      <x:c r="G148" s="21" t="str">
        <x:v>Authorized Retailer</x:v>
      </x:c>
      <x:c r="H148" s="25"/>
      <x:c r="I148" s="25" t="str">
        <x:v>2026-07-29</x:v>
      </x:c>
      <x:c r="J148" s="21" t="str">
        <x:v>Verified Competitor Fact</x:v>
      </x:c>
      <x:c r="K148" s="21" t="str">
        <x:v>High</x:v>
      </x:c>
      <x:c r="L148" s="21" t="str">
        <x:v>Yes</x:v>
      </x:c>
      <x:c r="M148" s="21"/>
      <x:c r="N148" s="21" t="str">
        <x:v>Current K-Beauty hydration/brightening toner benchmark.</x:v>
      </x:c>
      <x:c r="O148" s="21" t="str">
        <x:v>Codex</x:v>
      </x:c>
    </x:row>
    <x:row r="149" ht="92" customHeight="1">
      <x:c r="A149" s="21" t="str">
        <x:v>SRC-ANUA-046</x:v>
      </x:c>
      <x:c r="B149" s="21" t="str">
        <x:v>KB003</x:v>
      </x:c>
      <x:c r="C149" s="21" t="str">
        <x:v>Cosmetics MoCRA registration/listing</x:v>
      </x:c>
      <x:c r="D149" s="21" t="str">
        <x:v>FDA states responsible persons must list marketed cosmetic products and update annually; facilities have registration duties, subject to exemptions.</x:v>
      </x:c>
      <x:c r="E149" s="21" t="str">
        <x:v>U.S. FDA</x:v>
      </x:c>
      <x:c r="F149" s="21" t="str">
        <x:v>https://www.fda.gov/cosmetics/registration-listing-cosmetic-product-facilities-and-products</x:v>
      </x:c>
      <x:c r="G149" s="21" t="str">
        <x:v>Regulator</x:v>
      </x:c>
      <x:c r="H149" s="25"/>
      <x:c r="I149" s="25" t="str">
        <x:v>2026-07-29</x:v>
      </x:c>
      <x:c r="J149" s="21" t="str">
        <x:v>Verified Regulatory Requirement</x:v>
      </x:c>
      <x:c r="K149" s="21" t="str">
        <x:v>High</x:v>
      </x:c>
      <x:c r="L149" s="21" t="str">
        <x:v>Yes</x:v>
      </x:c>
      <x:c r="M149" s="21"/>
      <x:c r="N149" s="21" t="str">
        <x:v>Registration/listing is not FDA approval.</x:v>
      </x:c>
      <x:c r="O149" s="21" t="str">
        <x:v>Codex</x:v>
      </x:c>
    </x:row>
    <x:row r="150" ht="92" customHeight="1">
      <x:c r="A150" s="21" t="str">
        <x:v>SRC-ANUA-047</x:v>
      </x:c>
      <x:c r="B150" s="21" t="str">
        <x:v>KB003</x:v>
      </x:c>
      <x:c r="C150" s="21" t="str">
        <x:v>Cosmetic versus drug claims</x:v>
      </x:c>
      <x:c r="D150" s="21" t="str">
        <x:v>FDA explains that intended-use claims can make a product a drug as well as a cosmetic.</x:v>
      </x:c>
      <x:c r="E150" s="21" t="str">
        <x:v>U.S. FDA</x:v>
      </x:c>
      <x:c r="F150" s="21" t="str">
        <x:v>https://www.fda.gov/cosmetics/cosmetics-laws-regulations/it-cosmetic-drug-or-both-or-it-soap</x:v>
      </x:c>
      <x:c r="G150" s="21" t="str">
        <x:v>Regulator</x:v>
      </x:c>
      <x:c r="H150" s="25"/>
      <x:c r="I150" s="25" t="str">
        <x:v>2026-07-29</x:v>
      </x:c>
      <x:c r="J150" s="21" t="str">
        <x:v>Verified Regulatory Requirement</x:v>
      </x:c>
      <x:c r="K150" s="21" t="str">
        <x:v>High</x:v>
      </x:c>
      <x:c r="L150" s="21" t="str">
        <x:v>Yes</x:v>
      </x:c>
      <x:c r="M150" s="21"/>
      <x:c r="N150" s="21" t="str">
        <x:v>Review acne, redness, blemish, healing and structural/firming claims.</x:v>
      </x:c>
      <x:c r="O150" s="21" t="str">
        <x:v>Codex</x:v>
      </x:c>
    </x:row>
    <x:row r="151" ht="92" customHeight="1">
      <x:c r="A151" s="21" t="str">
        <x:v>SRC-ANUA-048</x:v>
      </x:c>
      <x:c r="B151" s="21" t="str">
        <x:v>KB003</x:v>
      </x:c>
      <x:c r="C151" s="21" t="str">
        <x:v>Zero-Cast U.S. drug label</x:v>
      </x:c>
      <x:c r="D151" s="21" t="str">
        <x:v>DailyMed lists Anua Zero-Cast Moisturizing Finish Sunscreen drug facts with avobenzone 3%, homosalate 7%, octisalate 5% and octocrylene 5%; manufacturer Englewood Lab, Inc.</x:v>
      </x:c>
      <x:c r="E151" s="21" t="str">
        <x:v>U.S. National Library of Medicine — DailyMed</x:v>
      </x:c>
      <x:c r="F151" s="21" t="str">
        <x:v>https://dailymed.nlm.nih.gov/dailymed/fda/fdaDrugXsl.cfm?setid=edf07b7f-46fb-4915-b2ea-83d852617f60</x:v>
      </x:c>
      <x:c r="G151" s="21" t="str">
        <x:v>Official Drug Label Repository</x:v>
      </x:c>
      <x:c r="H151" s="25"/>
      <x:c r="I151" s="25" t="str">
        <x:v>2026-07-29</x:v>
      </x:c>
      <x:c r="J151" s="21" t="str">
        <x:v>Verified Label Record</x:v>
      </x:c>
      <x:c r="K151" s="21" t="str">
        <x:v>High</x:v>
      </x:c>
      <x:c r="L151" s="21" t="str">
        <x:v>Yes</x:v>
      </x:c>
      <x:c r="M151" s="21"/>
      <x:c r="N151" s="21" t="str">
        <x:v>Obtain current NDC/labeler, listing, testing and exact sellable artwork from vendor.</x:v>
      </x:c>
      <x:c r="O151" s="21" t="str">
        <x:v>Codex</x:v>
      </x:c>
    </x:row>
    <x:row r="152" ht="92" customHeight="1">
      <x:c r="A152" s="21" t="str">
        <x:v>SRC-ANUA-049</x:v>
      </x:c>
      <x:c r="B152" s="21" t="str">
        <x:v>KB003</x:v>
      </x:c>
      <x:c r="C152" s="21" t="str">
        <x:v>OTC sunscreen monograph</x:v>
      </x:c>
      <x:c r="D152" s="21" t="str">
        <x:v>FDA M020 establishes U.S. OTC sunscreen active-ingredient conditions and concentration ceilings.</x:v>
      </x:c>
      <x:c r="E152" s="21" t="str">
        <x:v>U.S. FDA — OTC Monograph M020</x:v>
      </x:c>
      <x:c r="F152" s="21" t="str">
        <x:v>https://www.accessdata.fda.gov/drugsatfda_docs/omuf/monographs/OTCMonograph_M020-SunscreenDrugProductsforOTCHumanUse09242021.pdf</x:v>
      </x:c>
      <x:c r="G152" s="21" t="str">
        <x:v>Regulator / PDF</x:v>
      </x:c>
      <x:c r="H152" s="25" t="str">
        <x:v>2021-09-24</x:v>
      </x:c>
      <x:c r="I152" s="25" t="str">
        <x:v>2026-07-29</x:v>
      </x:c>
      <x:c r="J152" s="21" t="str">
        <x:v>Verified Regulatory Requirement</x:v>
      </x:c>
      <x:c r="K152" s="21" t="str">
        <x:v>High</x:v>
      </x:c>
      <x:c r="L152" s="21" t="str">
        <x:v>Yes</x:v>
      </x:c>
      <x:c r="M152" s="21"/>
      <x:c r="N152" s="21" t="str">
        <x:v>Active percentages alone do not establish full compliance.</x:v>
      </x:c>
      <x:c r="O152" s="21" t="str">
        <x:v>Codex</x:v>
      </x:c>
    </x:row>
    <x:row r="153" ht="92" customHeight="1">
      <x:c r="A153" s="21" t="str">
        <x:v>SRC-ANUA-050</x:v>
      </x:c>
      <x:c r="B153" s="21" t="str">
        <x:v>KB003</x:v>
      </x:c>
      <x:c r="C153" s="21" t="str">
        <x:v>Sunscreen labeling/testing</x:v>
      </x:c>
      <x:c r="D153" s="21" t="str">
        <x:v>FDA guidance describes required labeling and effectiveness testing for OTC sunscreen drug products.</x:v>
      </x:c>
      <x:c r="E153" s="21" t="str">
        <x:v>U.S. FDA</x:v>
      </x:c>
      <x:c r="F153" s="21" t="str">
        <x:v>https://www.fda.gov/regulatory-information/search-fda-guidance-documents/labeling-and-effectiveness-testing-sunscreen-drug-products-over-counter-human-use-small-entity</x:v>
      </x:c>
      <x:c r="G153" s="21" t="str">
        <x:v>Regulator</x:v>
      </x:c>
      <x:c r="H153" s="25"/>
      <x:c r="I153" s="25" t="str">
        <x:v>2026-07-29</x:v>
      </x:c>
      <x:c r="J153" s="21" t="str">
        <x:v>Verified Regulatory Requirement</x:v>
      </x:c>
      <x:c r="K153" s="21" t="str">
        <x:v>High</x:v>
      </x:c>
      <x:c r="L153" s="21" t="str">
        <x:v>Yes</x:v>
      </x:c>
      <x:c r="M153" s="21"/>
      <x:c r="N153" s="21" t="str">
        <x:v>Request Drug Facts and product-specific test substantiation.</x:v>
      </x:c>
      <x:c r="O153" s="21" t="str">
        <x:v>Codex</x:v>
      </x:c>
    </x:row>
    <x:row r="154" ht="92" customHeight="1">
      <x:c r="A154" s="21" t="str">
        <x:v>SRC-ANUA-051</x:v>
      </x:c>
      <x:c r="B154" s="21" t="str">
        <x:v>KB003</x:v>
      </x:c>
      <x:c r="C154" s="21" t="str">
        <x:v>OTC Drug Facts</x:v>
      </x:c>
      <x:c r="D154" s="21" t="str">
        <x:v>FDA requires standardized Drug Facts information for OTC medicines including sunscreen.</x:v>
      </x:c>
      <x:c r="E154" s="21" t="str">
        <x:v>U.S. FDA</x:v>
      </x:c>
      <x:c r="F154" s="21" t="str">
        <x:v>https://www.fda.gov/drugs/understanding-over-counter-medicines/over-counter-drug-facts-label</x:v>
      </x:c>
      <x:c r="G154" s="21" t="str">
        <x:v>Regulator</x:v>
      </x:c>
      <x:c r="H154" s="25"/>
      <x:c r="I154" s="25" t="str">
        <x:v>2026-07-29</x:v>
      </x:c>
      <x:c r="J154" s="21" t="str">
        <x:v>Verified Regulatory Requirement</x:v>
      </x:c>
      <x:c r="K154" s="21" t="str">
        <x:v>High</x:v>
      </x:c>
      <x:c r="L154" s="21" t="str">
        <x:v>Yes</x:v>
      </x:c>
      <x:c r="M154" s="21"/>
      <x:c r="N154" s="21" t="str">
        <x:v>Confirm exact carton/tube directions and warnings.</x:v>
      </x:c>
      <x:c r="O154" s="21" t="str">
        <x:v>Codex</x:v>
      </x:c>
    </x:row>
    <x:row r="155" ht="92" customHeight="1">
      <x:c r="A155" s="21" t="str">
        <x:v>SRC-ANUA-052</x:v>
      </x:c>
      <x:c r="B155" s="21" t="str">
        <x:v>KB003</x:v>
      </x:c>
      <x:c r="C155" s="21" t="str">
        <x:v>FDA compliance search limitation</x:v>
      </x:c>
      <x:c r="D155" s="21" t="str">
        <x:v>Scoped public FDA search did not surface an Anua-specific warning or recall in this pass.</x:v>
      </x:c>
      <x:c r="E155" s="21" t="str">
        <x:v>U.S. FDA — Cosmetics Compliance &amp; Enforcement</x:v>
      </x:c>
      <x:c r="F155" s="21" t="str">
        <x:v>https://www.fda.gov/cosmetics/cosmetics-compliance-enforcement</x:v>
      </x:c>
      <x:c r="G155" s="21" t="str">
        <x:v>Regulator</x:v>
      </x:c>
      <x:c r="H155" s="25"/>
      <x:c r="I155" s="25" t="str">
        <x:v>2026-07-29</x:v>
      </x:c>
      <x:c r="J155" s="21" t="str">
        <x:v>Research Finding / Limitation</x:v>
      </x:c>
      <x:c r="K155" s="21" t="str">
        <x:v>Medium</x:v>
      </x:c>
      <x:c r="L155" s="21" t="str">
        <x:v>Yes</x:v>
      </x:c>
      <x:c r="M155" s="21"/>
      <x:c r="N155" s="21" t="str">
        <x:v>Not exhaustive legal clearance; formal diligence remains required.</x:v>
      </x:c>
      <x:c r="O155" s="21" t="str">
        <x:v>Codex</x:v>
      </x:c>
    </x:row>
    <x:row r="156" ht="94" customHeight="1">
      <x:c r="A156" s="21" t="str">
        <x:v>SRC-LAN-001</x:v>
      </x:c>
      <x:c r="B156" s="21" t="str">
        <x:v>KB005</x:v>
      </x:c>
      <x:c r="C156" s="21" t="str">
        <x:v>Verified U.S. website and category</x:v>
      </x:c>
      <x:c r="D156" s="21" t="str">
        <x:v>Official U.S. storefront verifies facial skincare and lip-care assortment, U.S. prices, policies and customer service.</x:v>
      </x:c>
      <x:c r="E156" s="21" t="str">
        <x:v>LANEIGE U.S.</x:v>
      </x:c>
      <x:c r="F156" s="21" t="str">
        <x:v>https://us.laneige.com</x:v>
      </x:c>
      <x:c r="G156" s="21" t="str">
        <x:v>Official Brand Site</x:v>
      </x:c>
      <x:c r="H156" s="25"/>
      <x:c r="I156" s="25" t="str">
        <x:v>2026-07-30</x:v>
      </x:c>
      <x:c r="J156" s="21" t="str">
        <x:v>Verified Official Fact</x:v>
      </x:c>
      <x:c r="K156" s="21" t="str">
        <x:v>High</x:v>
      </x:c>
      <x:c r="L156" s="21" t="str">
        <x:v>Yes</x:v>
      </x:c>
      <x:c r="M156" s="21"/>
      <x:c r="N156" s="21" t="str">
        <x:v>Brand-owned source; individual claims still require substantiation.</x:v>
      </x:c>
      <x:c r="O156" s="21" t="str">
        <x:v>Codex</x:v>
      </x:c>
    </x:row>
    <x:row r="157" ht="94" customHeight="1">
      <x:c r="A157" s="21" t="str">
        <x:v>SRC-LAN-002</x:v>
      </x:c>
      <x:c r="B157" s="21" t="str">
        <x:v>KB005</x:v>
      </x:c>
      <x:c r="C157" s="21" t="str">
        <x:v>Brand positioning and category</x:v>
      </x:c>
      <x:c r="D157" s="21" t="str">
        <x:v>Official About page describes Laneige's hydration-focused brand identity and U.S. consumer positioning.</x:v>
      </x:c>
      <x:c r="E157" s="21" t="str">
        <x:v>LANEIGE U.S. — About</x:v>
      </x:c>
      <x:c r="F157" s="21" t="str">
        <x:v>https://us.laneige.com/pages/about-laneige</x:v>
      </x:c>
      <x:c r="G157" s="21" t="str">
        <x:v>Official Brand Site</x:v>
      </x:c>
      <x:c r="H157" s="25"/>
      <x:c r="I157" s="25" t="str">
        <x:v>2026-07-30</x:v>
      </x:c>
      <x:c r="J157" s="21" t="str">
        <x:v>Verified Official Fact</x:v>
      </x:c>
      <x:c r="K157" s="21" t="str">
        <x:v>High</x:v>
      </x:c>
      <x:c r="L157" s="21" t="str">
        <x:v>Yes</x:v>
      </x:c>
      <x:c r="M157" s="21"/>
      <x:c r="N157" s="21" t="str">
        <x:v>Marketing language; no audited sales disclosed.</x:v>
      </x:c>
      <x:c r="O157" s="21" t="str">
        <x:v>Codex</x:v>
      </x:c>
    </x:row>
    <x:row r="158" ht="94" customHeight="1">
      <x:c r="A158" s="21" t="str">
        <x:v>SRC-LAN-003</x:v>
      </x:c>
      <x:c r="B158" s="21" t="str">
        <x:v>KB005</x:v>
      </x:c>
      <x:c r="C158" s="21" t="str">
        <x:v>Launch year and corporate history</x:v>
      </x:c>
      <x:c r="D158" s="21" t="str">
        <x:v>AMOREPACIFIC history identifies Laneige's 1994 launch.</x:v>
      </x:c>
      <x:c r="E158" s="21" t="str">
        <x:v>AMOREPACIFIC Group</x:v>
      </x:c>
      <x:c r="F158" s="21" t="str">
        <x:v>https://www.apgroup.com/int/en/about-us/amorepacific/our-history/our-history.html</x:v>
      </x:c>
      <x:c r="G158" s="21" t="str">
        <x:v>Official Corporate Site</x:v>
      </x:c>
      <x:c r="H158" s="25"/>
      <x:c r="I158" s="25" t="str">
        <x:v>2026-07-30</x:v>
      </x:c>
      <x:c r="J158" s="21" t="str">
        <x:v>Verified Corporate Fact</x:v>
      </x:c>
      <x:c r="K158" s="21" t="str">
        <x:v>High</x:v>
      </x:c>
      <x:c r="L158" s="21" t="str">
        <x:v>No / global</x:v>
      </x:c>
      <x:c r="M158" s="21"/>
      <x:c r="N158" s="21" t="str">
        <x:v>Corporate history, not a current U.S. channel fact.</x:v>
      </x:c>
      <x:c r="O158" s="21" t="str">
        <x:v>Codex</x:v>
      </x:c>
    </x:row>
    <x:row r="159" ht="94" customHeight="1">
      <x:c r="A159" s="21" t="str">
        <x:v>SRC-LAN-004</x:v>
      </x:c>
      <x:c r="B159" s="21" t="str">
        <x:v>KB005</x:v>
      </x:c>
      <x:c r="C159" s="21" t="str">
        <x:v>Lip Sleeping Mask awareness and leadership</x:v>
      </x:c>
      <x:c r="D159" s="21" t="str">
        <x:v>Official page lists $24/20 g, 14 options, Circana-based #1 U.S. lip-treatment brand status for 2022–2025, one sold every two seconds globally in 2025 and current awards.</x:v>
      </x:c>
      <x:c r="E159" s="21" t="str">
        <x:v>LANEIGE U.S.</x:v>
      </x:c>
      <x:c r="F159" s="21" t="str">
        <x:v>https://us.laneige.com/products/lip-sleeping-mask</x:v>
      </x:c>
      <x:c r="G159" s="21" t="str">
        <x:v>Official Product Page</x:v>
      </x:c>
      <x:c r="H159" s="25"/>
      <x:c r="I159" s="25" t="str">
        <x:v>2026-07-30</x:v>
      </x:c>
      <x:c r="J159" s="21" t="str">
        <x:v>Verified Brand Claim / Product Fact</x:v>
      </x:c>
      <x:c r="K159" s="21" t="str">
        <x:v>High</x:v>
      </x:c>
      <x:c r="L159" s="21" t="str">
        <x:v>Yes / claim includes U.S.</x:v>
      </x:c>
      <x:c r="M159" s="21"/>
      <x:c r="N159" s="21" t="str">
        <x:v>Circana scope is prestige skincare lip treatment by brand; global unit claim is brand-reported.</x:v>
      </x:c>
      <x:c r="O159" s="21" t="str">
        <x:v>Codex</x:v>
      </x:c>
    </x:row>
    <x:row r="160" ht="94" customHeight="1">
      <x:c r="A160" s="21" t="str">
        <x:v>SRC-LAN-005</x:v>
      </x:c>
      <x:c r="B160" s="21" t="str">
        <x:v>KB005</x:v>
      </x:c>
      <x:c r="C160" s="21" t="str">
        <x:v>TikTok Shop awareness and sales signals</x:v>
      </x:c>
      <x:c r="D160" s="21" t="str">
        <x:v>Official U.S. shop displayed 1.2M followers, 650.5K sold and 575 videos; sampled product displays ranged from 4.4K to 56.4K sold.</x:v>
      </x:c>
      <x:c r="E160" s="21" t="str">
        <x:v>TikTok Shop U.S.</x:v>
      </x:c>
      <x:c r="F160" s="21" t="str">
        <x:v>https://shop.tiktok.com/us/store/laneige-us/7495286718562273613</x:v>
      </x:c>
      <x:c r="G160" s="21" t="str">
        <x:v>Official Social Commerce</x:v>
      </x:c>
      <x:c r="H160" s="25"/>
      <x:c r="I160" s="25" t="str">
        <x:v>2026-07-30</x:v>
      </x:c>
      <x:c r="J160" s="21" t="str">
        <x:v>Verified Platform Display</x:v>
      </x:c>
      <x:c r="K160" s="21" t="str">
        <x:v>Medium-High</x:v>
      </x:c>
      <x:c r="L160" s="21" t="str">
        <x:v>Yes</x:v>
      </x:c>
      <x:c r="M160" s="21"/>
      <x:c r="N160" s="21" t="str">
        <x:v>Dynamic cumulative display, not audited period revenue.</x:v>
      </x:c>
      <x:c r="O160" s="21" t="str">
        <x:v>Codex</x:v>
      </x:c>
    </x:row>
    <x:row r="161" ht="94" customHeight="1">
      <x:c r="A161" s="21" t="str">
        <x:v>SRC-LAN-006</x:v>
      </x:c>
      <x:c r="B161" s="21" t="str">
        <x:v>KB005</x:v>
      </x:c>
      <x:c r="C161" s="21" t="str">
        <x:v>Instagram awareness and official channel linkage</x:v>
      </x:c>
      <x:c r="D161" s="21" t="str">
        <x:v>@laneige_us displayed 1.6M followers and bio links to Sephora, Kohl's, Amazon and Aritaum.</x:v>
      </x:c>
      <x:c r="E161" s="21" t="str">
        <x:v>Instagram</x:v>
      </x:c>
      <x:c r="F161" s="21" t="str">
        <x:v>https://www.instagram.com/laneige_us/</x:v>
      </x:c>
      <x:c r="G161" s="21" t="str">
        <x:v>Official Social Account</x:v>
      </x:c>
      <x:c r="H161" s="25"/>
      <x:c r="I161" s="25" t="str">
        <x:v>2026-07-30</x:v>
      </x:c>
      <x:c r="J161" s="21" t="str">
        <x:v>Verified Platform Display</x:v>
      </x:c>
      <x:c r="K161" s="21" t="str">
        <x:v>High</x:v>
      </x:c>
      <x:c r="L161" s="21" t="str">
        <x:v>Yes</x:v>
      </x:c>
      <x:c r="M161" s="21"/>
      <x:c r="N161" s="21" t="str">
        <x:v>Follower count and bio can change.</x:v>
      </x:c>
      <x:c r="O161" s="21" t="str">
        <x:v>Codex</x:v>
      </x:c>
    </x:row>
    <x:row r="162" ht="94" customHeight="1">
      <x:c r="A162" s="21" t="str">
        <x:v>SRC-LAN-007</x:v>
      </x:c>
      <x:c r="B162" s="21" t="str">
        <x:v>KB005</x:v>
      </x:c>
      <x:c r="C162" s="21" t="str">
        <x:v>Americas and Laneige 1Q26 performance</x:v>
      </x:c>
      <x:c r="D162" s="21" t="str">
        <x:v>AMOREPACIFIC reported Americas sales growth of 11% and Laneige growth supported by JuicePop Box plus Cream Skin and Water Bank expansion.</x:v>
      </x:c>
      <x:c r="E162" s="21" t="str">
        <x:v>AMOREPACIFIC 1Q26 Results</x:v>
      </x:c>
      <x:c r="F162" s="21" t="str">
        <x:v>https://www.apgroup.com/int/en/investors/amorepacific-corporation/ir-reports/quarterly-results/__icsFiles/afieldfile/2026/05/28/AP_1Q26_EN_vf.pdf</x:v>
      </x:c>
      <x:c r="G162" s="21" t="str">
        <x:v>Official Corporate Filing</x:v>
      </x:c>
      <x:c r="H162" s="25" t="str">
        <x:v>2026-05-28</x:v>
      </x:c>
      <x:c r="I162" s="25" t="str">
        <x:v>2026-07-30</x:v>
      </x:c>
      <x:c r="J162" s="21" t="str">
        <x:v>Verified Corporate Statement</x:v>
      </x:c>
      <x:c r="K162" s="21" t="str">
        <x:v>High</x:v>
      </x:c>
      <x:c r="L162" s="21" t="str">
        <x:v>Yes / Americas</x:v>
      </x:c>
      <x:c r="M162" s="21"/>
      <x:c r="N162" s="21" t="str">
        <x:v>No Laneige U.S. revenue or units disclosed.</x:v>
      </x:c>
      <x:c r="O162" s="21" t="str">
        <x:v>Codex</x:v>
      </x:c>
    </x:row>
    <x:row r="163" ht="94" customHeight="1">
      <x:c r="A163" s="21" t="str">
        <x:v>SRC-LAN-008</x:v>
      </x:c>
      <x:c r="B163" s="21" t="str">
        <x:v>KB005</x:v>
      </x:c>
      <x:c r="C163" s="21" t="str">
        <x:v>Americas and Laneige 4Q25 performance</x:v>
      </x:c>
      <x:c r="D163" s="21" t="str">
        <x:v>AMOREPACIFIC reported Americas growth and Laneige portfolio diversification/digital expansion including Water Bank innovation.</x:v>
      </x:c>
      <x:c r="E163" s="21" t="str">
        <x:v>AMOREPACIFIC 4Q25 Results</x:v>
      </x:c>
      <x:c r="F163" s="21" t="str">
        <x:v>https://www.apgroup.com/int/en/investors/amorepacific-corporation/ir-reports/quarterly-results/__icsFiles/afieldfile/2026/02/06/AP_4Q25_EN_vff.pdf</x:v>
      </x:c>
      <x:c r="G163" s="21" t="str">
        <x:v>Official Corporate Filing</x:v>
      </x:c>
      <x:c r="H163" s="25" t="str">
        <x:v>2026-02-06</x:v>
      </x:c>
      <x:c r="I163" s="25" t="str">
        <x:v>2026-07-30</x:v>
      </x:c>
      <x:c r="J163" s="21" t="str">
        <x:v>Verified Corporate Statement</x:v>
      </x:c>
      <x:c r="K163" s="21" t="str">
        <x:v>High</x:v>
      </x:c>
      <x:c r="L163" s="21" t="str">
        <x:v>Yes / Americas</x:v>
      </x:c>
      <x:c r="M163" s="21"/>
      <x:c r="N163" s="21" t="str">
        <x:v>No SKU-level audited U.S. sales disclosed.</x:v>
      </x:c>
      <x:c r="O163" s="21" t="str">
        <x:v>Codex</x:v>
      </x:c>
    </x:row>
    <x:row r="164" ht="94" customHeight="1">
      <x:c r="A164" s="21" t="str">
        <x:v>SRC-LAN-009</x:v>
      </x:c>
      <x:c r="B164" s="21" t="str">
        <x:v>KB005</x:v>
      </x:c>
      <x:c r="C164" s="21" t="str">
        <x:v>Americas and Laneige 2Q25 performance</x:v>
      </x:c>
      <x:c r="D164" s="21" t="str">
        <x:v>AMOREPACIFIC reported Americas growth and robust Laneige lip/skincare sales supported by Glaze Craze, Bubble Tea and Bouncy &amp; Firm.</x:v>
      </x:c>
      <x:c r="E164" s="21" t="str">
        <x:v>AMOREPACIFIC 2Q25 Results</x:v>
      </x:c>
      <x:c r="F164" s="21" t="str">
        <x:v>https://www.apgroup.com/int/en/investors/amorepacific-corporation/ir-reports/quarterly-results/__icsFiles/afieldfile/2025/08/01/AP_2Q25_EN_vff.pdf</x:v>
      </x:c>
      <x:c r="G164" s="21" t="str">
        <x:v>Official Corporate Filing</x:v>
      </x:c>
      <x:c r="H164" s="25" t="str">
        <x:v>2025-08-01</x:v>
      </x:c>
      <x:c r="I164" s="25" t="str">
        <x:v>2026-07-30</x:v>
      </x:c>
      <x:c r="J164" s="21" t="str">
        <x:v>Verified Corporate Statement</x:v>
      </x:c>
      <x:c r="K164" s="21" t="str">
        <x:v>High</x:v>
      </x:c>
      <x:c r="L164" s="21" t="str">
        <x:v>Yes / Americas</x:v>
      </x:c>
      <x:c r="M164" s="21"/>
      <x:c r="N164" s="21" t="str">
        <x:v>Quarterly regional disclosure, not current product sales.</x:v>
      </x:c>
      <x:c r="O164" s="21" t="str">
        <x:v>Codex</x:v>
      </x:c>
    </x:row>
    <x:row r="165" ht="94" customHeight="1">
      <x:c r="A165" s="21" t="str">
        <x:v>SRC-LAN-010</x:v>
      </x:c>
      <x:c r="B165" s="21" t="str">
        <x:v>KB005</x:v>
      </x:c>
      <x:c r="C165" s="21" t="str">
        <x:v>Historical Amazon promotion momentum</x:v>
      </x:c>
      <x:c r="D165" s="21" t="str">
        <x:v>AMOREPACIFIC reported Laneige U.S. BFCM growth of 127% and category-leading performance during the event.</x:v>
      </x:c>
      <x:c r="E165" s="21" t="str">
        <x:v>AMOREPACIFIC Stories</x:v>
      </x:c>
      <x:c r="F165" s="21" t="str">
        <x:v>https://stories.amorepacific.com/en/amorepacific-amorepacifics-flagship-brands-achieve-record-breaking-sales-during-amazons-bfcm-in-the-u-s/</x:v>
      </x:c>
      <x:c r="G165" s="21" t="str">
        <x:v>Official Corporate News</x:v>
      </x:c>
      <x:c r="H165" s="25"/>
      <x:c r="I165" s="25" t="str">
        <x:v>2026-07-30</x:v>
      </x:c>
      <x:c r="J165" s="21" t="str">
        <x:v>Historical Promotion Fact</x:v>
      </x:c>
      <x:c r="K165" s="21" t="str">
        <x:v>Medium-High</x:v>
      </x:c>
      <x:c r="L165" s="21" t="str">
        <x:v>Yes</x:v>
      </x:c>
      <x:c r="M165" s="21"/>
      <x:c r="N165" s="21" t="str">
        <x:v>Event-specific growth and ranking; not current annual run rate.</x:v>
      </x:c>
      <x:c r="O165" s="21" t="str">
        <x:v>Codex</x:v>
      </x:c>
    </x:row>
    <x:row r="166" ht="94" customHeight="1">
      <x:c r="A166" s="21" t="str">
        <x:v>SRC-LAN-011</x:v>
      </x:c>
      <x:c r="B166" s="21" t="str">
        <x:v>KB005</x:v>
      </x:c>
      <x:c r="C166" s="21" t="str">
        <x:v>Amazon official brand store</x:v>
      </x:c>
      <x:c r="D166" s="21" t="str">
        <x:v>Official LANEIGE brand storefront supports authorized Amazon presence and broad assortment.</x:v>
      </x:c>
      <x:c r="E166" s="21" t="str">
        <x:v>Amazon U.S.</x:v>
      </x:c>
      <x:c r="F166" s="21" t="str">
        <x:v>https://www.amazon.com/stores/page/9E07F968-B629-431D-801C-EC02A3145174/</x:v>
      </x:c>
      <x:c r="G166" s="21" t="str">
        <x:v>Official Marketplace Store</x:v>
      </x:c>
      <x:c r="H166" s="25"/>
      <x:c r="I166" s="25" t="str">
        <x:v>2026-07-30</x:v>
      </x:c>
      <x:c r="J166" s="21" t="str">
        <x:v>Verified Channel Linkage</x:v>
      </x:c>
      <x:c r="K166" s="21" t="str">
        <x:v>High</x:v>
      </x:c>
      <x:c r="L166" s="21" t="str">
        <x:v>Yes</x:v>
      </x:c>
      <x:c r="M166" s="21"/>
      <x:c r="N166" s="21" t="str">
        <x:v>Individual offer seller must still be checked.</x:v>
      </x:c>
      <x:c r="O166" s="21" t="str">
        <x:v>Codex</x:v>
      </x:c>
    </x:row>
    <x:row r="167" ht="94" customHeight="1">
      <x:c r="A167" s="21" t="str">
        <x:v>SRC-LAN-012</x:v>
      </x:c>
      <x:c r="B167" s="21" t="str">
        <x:v>KB005</x:v>
      </x:c>
      <x:c r="C167" s="21" t="str">
        <x:v>Amazon — Lip Sleeping Mask</x:v>
      </x:c>
      <x:c r="D167" s="21" t="str">
        <x:v>Direct check showed $19.20, 4.6/37,110, 10K+ bought/month, #268 Beauty and #7 Lip Balms &amp; Moisturizers, in stock.</x:v>
      </x:c>
      <x:c r="E167" s="21" t="str">
        <x:v>Amazon U.S.</x:v>
      </x:c>
      <x:c r="F167" s="21" t="str">
        <x:v>https://www.amazon.com/dp/B07XXPHQZK</x:v>
      </x:c>
      <x:c r="G167" s="21" t="str">
        <x:v>Marketplace</x:v>
      </x:c>
      <x:c r="H167" s="25"/>
      <x:c r="I167" s="25" t="str">
        <x:v>2026-07-30</x:v>
      </x:c>
      <x:c r="J167" s="21" t="str">
        <x:v>Verified Platform Display</x:v>
      </x:c>
      <x:c r="K167" s="21" t="str">
        <x:v>High</x:v>
      </x:c>
      <x:c r="L167" s="21" t="str">
        <x:v>Yes</x:v>
      </x:c>
      <x:c r="M167" s="21"/>
      <x:c r="N167" s="21" t="str">
        <x:v>Dynamic; badge is rounded and not audited units.</x:v>
      </x:c>
      <x:c r="O167" s="21" t="str">
        <x:v>Codex</x:v>
      </x:c>
    </x:row>
    <x:row r="168" ht="94" customHeight="1">
      <x:c r="A168" s="21" t="str">
        <x:v>SRC-LAN-013</x:v>
      </x:c>
      <x:c r="B168" s="21" t="str">
        <x:v>KB005</x:v>
      </x:c>
      <x:c r="C168" s="21" t="str">
        <x:v>Amazon — Lip Glowy Balm</x:v>
      </x:c>
      <x:c r="D168" s="21" t="str">
        <x:v>Direct check showed $15.20, 4.7/37,449, 9K+ bought/month, #488 Beauty and #10 Lip Balms &amp; Moisturizers, in stock.</x:v>
      </x:c>
      <x:c r="E168" s="21" t="str">
        <x:v>Amazon U.S.</x:v>
      </x:c>
      <x:c r="F168" s="21" t="str">
        <x:v>https://www.amazon.com/dp/B07DY2QRF6</x:v>
      </x:c>
      <x:c r="G168" s="21" t="str">
        <x:v>Marketplace</x:v>
      </x:c>
      <x:c r="H168" s="25"/>
      <x:c r="I168" s="25" t="str">
        <x:v>2026-07-30</x:v>
      </x:c>
      <x:c r="J168" s="21" t="str">
        <x:v>Verified Platform Display</x:v>
      </x:c>
      <x:c r="K168" s="21" t="str">
        <x:v>High</x:v>
      </x:c>
      <x:c r="L168" s="21" t="str">
        <x:v>Yes</x:v>
      </x:c>
      <x:c r="M168" s="21"/>
      <x:c r="N168" s="21" t="str">
        <x:v>Dynamic; badge is rounded and not audited units.</x:v>
      </x:c>
      <x:c r="O168" s="21" t="str">
        <x:v>Codex</x:v>
      </x:c>
    </x:row>
    <x:row r="169" ht="94" customHeight="1">
      <x:c r="A169" s="21" t="str">
        <x:v>SRC-LAN-014</x:v>
      </x:c>
      <x:c r="B169" s="21" t="str">
        <x:v>KB005</x:v>
      </x:c>
      <x:c r="C169" s="21" t="str">
        <x:v>Amazon — Cream Skin</x:v>
      </x:c>
      <x:c r="D169" s="21" t="str">
        <x:v>Direct check showed $36, 4.6/1,849, 2K+ bought/month, #2,424 Beauty and #22 Facial Toners, in stock.</x:v>
      </x:c>
      <x:c r="E169" s="21" t="str">
        <x:v>Amazon U.S.</x:v>
      </x:c>
      <x:c r="F169" s="21" t="str">
        <x:v>https://www.amazon.com/dp/B09P54X2NS</x:v>
      </x:c>
      <x:c r="G169" s="21" t="str">
        <x:v>Marketplace</x:v>
      </x:c>
      <x:c r="H169" s="25"/>
      <x:c r="I169" s="25" t="str">
        <x:v>2026-07-30</x:v>
      </x:c>
      <x:c r="J169" s="21" t="str">
        <x:v>Verified Platform Display</x:v>
      </x:c>
      <x:c r="K169" s="21" t="str">
        <x:v>High</x:v>
      </x:c>
      <x:c r="L169" s="21" t="str">
        <x:v>Yes</x:v>
      </x:c>
      <x:c r="M169" s="21"/>
      <x:c r="N169" s="21" t="str">
        <x:v>Dynamic; standard 170 mL offer.</x:v>
      </x:c>
      <x:c r="O169" s="21" t="str">
        <x:v>Codex</x:v>
      </x:c>
    </x:row>
    <x:row r="170" ht="94" customHeight="1">
      <x:c r="A170" s="21" t="str">
        <x:v>SRC-LAN-015</x:v>
      </x:c>
      <x:c r="B170" s="21" t="str">
        <x:v>KB005</x:v>
      </x:c>
      <x:c r="C170" s="21" t="str">
        <x:v>Amazon — Water Bank Cream</x:v>
      </x:c>
      <x:c r="D170" s="21" t="str">
        <x:v>Direct check showed $38, 3K+ bought/month, #6,038 Beauty and #165 Face Moisturizers, in stock.</x:v>
      </x:c>
      <x:c r="E170" s="21" t="str">
        <x:v>Amazon U.S.</x:v>
      </x:c>
      <x:c r="F170" s="21" t="str">
        <x:v>https://www.amazon.com/dp/B0CNJ1Z2GL</x:v>
      </x:c>
      <x:c r="G170" s="21" t="str">
        <x:v>Marketplace</x:v>
      </x:c>
      <x:c r="H170" s="25"/>
      <x:c r="I170" s="25" t="str">
        <x:v>2026-07-30</x:v>
      </x:c>
      <x:c r="J170" s="21" t="str">
        <x:v>Verified Platform Display</x:v>
      </x:c>
      <x:c r="K170" s="21" t="str">
        <x:v>Medium-High</x:v>
      </x:c>
      <x:c r="L170" s="21" t="str">
        <x:v>Yes</x:v>
      </x:c>
      <x:c r="M170" s="21"/>
      <x:c r="N170" s="21" t="str">
        <x:v>Main review count/rating did not render consistently.</x:v>
      </x:c>
      <x:c r="O170" s="21" t="str">
        <x:v>Codex</x:v>
      </x:c>
    </x:row>
    <x:row r="171" ht="94" customHeight="1">
      <x:c r="A171" s="21" t="str">
        <x:v>SRC-LAN-016</x:v>
      </x:c>
      <x:c r="B171" s="21" t="str">
        <x:v>KB005</x:v>
      </x:c>
      <x:c r="C171" s="21" t="str">
        <x:v>Amazon — Bouncy &amp; Firm Sleeping Mask</x:v>
      </x:c>
      <x:c r="D171" s="21" t="str">
        <x:v>Direct check showed $36, 4.6/1,559, 1K+ bought/month, #11,130 Beauty and #88 Facial Masks, in stock.</x:v>
      </x:c>
      <x:c r="E171" s="21" t="str">
        <x:v>Amazon U.S.</x:v>
      </x:c>
      <x:c r="F171" s="21" t="str">
        <x:v>https://www.amazon.com/dp/B0CZ7MXPG8</x:v>
      </x:c>
      <x:c r="G171" s="21" t="str">
        <x:v>Marketplace</x:v>
      </x:c>
      <x:c r="H171" s="25"/>
      <x:c r="I171" s="25" t="str">
        <x:v>2026-07-30</x:v>
      </x:c>
      <x:c r="J171" s="21" t="str">
        <x:v>Verified Platform Display</x:v>
      </x:c>
      <x:c r="K171" s="21" t="str">
        <x:v>High</x:v>
      </x:c>
      <x:c r="L171" s="21" t="str">
        <x:v>Yes</x:v>
      </x:c>
      <x:c r="M171" s="21"/>
      <x:c r="N171" s="21" t="str">
        <x:v>Dynamic platform signal.</x:v>
      </x:c>
      <x:c r="O171" s="21" t="str">
        <x:v>Codex</x:v>
      </x:c>
    </x:row>
    <x:row r="172" ht="94" customHeight="1">
      <x:c r="A172" s="21" t="str">
        <x:v>SRC-LAN-017</x:v>
      </x:c>
      <x:c r="B172" s="21" t="str">
        <x:v>KB005</x:v>
      </x:c>
      <x:c r="C172" s="21" t="str">
        <x:v>Official Lip Glowy Balm price and product</x:v>
      </x:c>
      <x:c r="D172" s="21" t="str">
        <x:v>Official page listed $19/10 g and the current U.S. product description.</x:v>
      </x:c>
      <x:c r="E172" s="21" t="str">
        <x:v>LANEIGE U.S.</x:v>
      </x:c>
      <x:c r="F172" s="21" t="str">
        <x:v>https://us.laneige.com/products/lip-glowy-balm</x:v>
      </x:c>
      <x:c r="G172" s="21" t="str">
        <x:v>Official Product Page</x:v>
      </x:c>
      <x:c r="H172" s="25"/>
      <x:c r="I172" s="25" t="str">
        <x:v>2026-07-30</x:v>
      </x:c>
      <x:c r="J172" s="21" t="str">
        <x:v>Verified Product Fact</x:v>
      </x:c>
      <x:c r="K172" s="21" t="str">
        <x:v>High</x:v>
      </x:c>
      <x:c r="L172" s="21" t="str">
        <x:v>Yes</x:v>
      </x:c>
      <x:c r="M172" s="21"/>
      <x:c r="N172" s="21" t="str">
        <x:v>Price and assortment can change.</x:v>
      </x:c>
      <x:c r="O172" s="21" t="str">
        <x:v>Codex</x:v>
      </x:c>
    </x:row>
    <x:row r="173" ht="94" customHeight="1">
      <x:c r="A173" s="21" t="str">
        <x:v>SRC-LAN-018</x:v>
      </x:c>
      <x:c r="B173" s="21" t="str">
        <x:v>KB005</x:v>
      </x:c>
      <x:c r="C173" s="21" t="str">
        <x:v>Official Cream Skin price and product</x:v>
      </x:c>
      <x:c r="D173" s="21" t="str">
        <x:v>Official page listed $36/170 mL and the current U.S. toner-moisturizer positioning.</x:v>
      </x:c>
      <x:c r="E173" s="21" t="str">
        <x:v>LANEIGE U.S.</x:v>
      </x:c>
      <x:c r="F173" s="21" t="str">
        <x:v>https://us.laneige.com/products/cream-skin-toner-moisturizer</x:v>
      </x:c>
      <x:c r="G173" s="21" t="str">
        <x:v>Official Product Page</x:v>
      </x:c>
      <x:c r="H173" s="25"/>
      <x:c r="I173" s="25" t="str">
        <x:v>2026-07-30</x:v>
      </x:c>
      <x:c r="J173" s="21" t="str">
        <x:v>Verified Product Fact</x:v>
      </x:c>
      <x:c r="K173" s="21" t="str">
        <x:v>High</x:v>
      </x:c>
      <x:c r="L173" s="21" t="str">
        <x:v>Yes</x:v>
      </x:c>
      <x:c r="M173" s="21"/>
      <x:c r="N173" s="21" t="str">
        <x:v>Claims require normal substantiation review.</x:v>
      </x:c>
      <x:c r="O173" s="21" t="str">
        <x:v>Codex</x:v>
      </x:c>
    </x:row>
    <x:row r="174" ht="94" customHeight="1">
      <x:c r="A174" s="21" t="str">
        <x:v>SRC-LAN-019</x:v>
      </x:c>
      <x:c r="B174" s="21" t="str">
        <x:v>KB005</x:v>
      </x:c>
      <x:c r="C174" s="21" t="str">
        <x:v>Official Water Bank price and product</x:v>
      </x:c>
      <x:c r="D174" s="21" t="str">
        <x:v>Official page listed $38/50 mL and Blue Hyaluronic Acid moisturizer positioning.</x:v>
      </x:c>
      <x:c r="E174" s="21" t="str">
        <x:v>LANEIGE U.S.</x:v>
      </x:c>
      <x:c r="F174" s="21" t="str">
        <x:v>https://us.laneige.com/products/water-bank-blue-hyaluronic-cream-moisturizer</x:v>
      </x:c>
      <x:c r="G174" s="21" t="str">
        <x:v>Official Product Page</x:v>
      </x:c>
      <x:c r="H174" s="25"/>
      <x:c r="I174" s="25" t="str">
        <x:v>2026-07-30</x:v>
      </x:c>
      <x:c r="J174" s="21" t="str">
        <x:v>Verified Product Fact</x:v>
      </x:c>
      <x:c r="K174" s="21" t="str">
        <x:v>High</x:v>
      </x:c>
      <x:c r="L174" s="21" t="str">
        <x:v>Yes</x:v>
      </x:c>
      <x:c r="M174" s="21"/>
      <x:c r="N174" s="21" t="str">
        <x:v>Claims require normal substantiation review.</x:v>
      </x:c>
      <x:c r="O174" s="21" t="str">
        <x:v>Codex</x:v>
      </x:c>
    </x:row>
    <x:row r="175" ht="94" customHeight="1">
      <x:c r="A175" s="21" t="str">
        <x:v>SRC-LAN-020</x:v>
      </x:c>
      <x:c r="B175" s="21" t="str">
        <x:v>KB005</x:v>
      </x:c>
      <x:c r="C175" s="21" t="str">
        <x:v>Official Bouncy &amp; Firm price and product</x:v>
      </x:c>
      <x:c r="D175" s="21" t="str">
        <x:v>Official page listed $36/60 mL and overnight bounce/firmness positioning.</x:v>
      </x:c>
      <x:c r="E175" s="21" t="str">
        <x:v>LANEIGE U.S.</x:v>
      </x:c>
      <x:c r="F175" s="21" t="str">
        <x:v>https://us.laneige.com/products/bouncy-firm-sleeping-mask</x:v>
      </x:c>
      <x:c r="G175" s="21" t="str">
        <x:v>Official Product Page</x:v>
      </x:c>
      <x:c r="H175" s="25"/>
      <x:c r="I175" s="25" t="str">
        <x:v>2026-07-30</x:v>
      </x:c>
      <x:c r="J175" s="21" t="str">
        <x:v>Verified Product Fact</x:v>
      </x:c>
      <x:c r="K175" s="21" t="str">
        <x:v>High</x:v>
      </x:c>
      <x:c r="L175" s="21" t="str">
        <x:v>Yes</x:v>
      </x:c>
      <x:c r="M175" s="21"/>
      <x:c r="N175" s="21" t="str">
        <x:v>Structural/firming wording needs careful cosmetic framing.</x:v>
      </x:c>
      <x:c r="O175" s="21" t="str">
        <x:v>Codex</x:v>
      </x:c>
    </x:row>
    <x:row r="176" ht="94" customHeight="1">
      <x:c r="A176" s="21" t="str">
        <x:v>SRC-LAN-021</x:v>
      </x:c>
      <x:c r="B176" s="21" t="str">
        <x:v>KB005</x:v>
      </x:c>
      <x:c r="C176" s="21" t="str">
        <x:v>Sephora — Lip Sleeping Mask</x:v>
      </x:c>
      <x:c r="D176" s="21" t="str">
        <x:v>Sephora displayed $24, 4.5 rating and approximately 22.3K reviews.</x:v>
      </x:c>
      <x:c r="E176" s="21" t="str">
        <x:v>Sephora U.S.</x:v>
      </x:c>
      <x:c r="F176" s="21" t="str">
        <x:v>https://www.sephora.com/product/lip-sleeping-mask-P420652</x:v>
      </x:c>
      <x:c r="G176" s="21" t="str">
        <x:v>Authorized Retailer</x:v>
      </x:c>
      <x:c r="H176" s="25"/>
      <x:c r="I176" s="25" t="str">
        <x:v>2026-07-30</x:v>
      </x:c>
      <x:c r="J176" s="21" t="str">
        <x:v>Verified Retailer Display</x:v>
      </x:c>
      <x:c r="K176" s="21" t="str">
        <x:v>High</x:v>
      </x:c>
      <x:c r="L176" s="21" t="str">
        <x:v>Yes</x:v>
      </x:c>
      <x:c r="M176" s="21"/>
      <x:c r="N176" s="21" t="str">
        <x:v>Review count and offers change.</x:v>
      </x:c>
      <x:c r="O176" s="21" t="str">
        <x:v>Codex</x:v>
      </x:c>
    </x:row>
    <x:row r="177" ht="94" customHeight="1">
      <x:c r="A177" s="21" t="str">
        <x:v>SRC-LAN-022</x:v>
      </x:c>
      <x:c r="B177" s="21" t="str">
        <x:v>KB005</x:v>
      </x:c>
      <x:c r="C177" s="21" t="str">
        <x:v>Sephora — Lip Glowy Balm</x:v>
      </x:c>
      <x:c r="D177" s="21" t="str">
        <x:v>Sephora displayed $19, 4.5 rating and approximately 7.9K reviews.</x:v>
      </x:c>
      <x:c r="E177" s="21" t="str">
        <x:v>Sephora U.S.</x:v>
      </x:c>
      <x:c r="F177" s="21" t="str">
        <x:v>https://www.sephora.com/product/glowy-lip-balm-P443563</x:v>
      </x:c>
      <x:c r="G177" s="21" t="str">
        <x:v>Authorized Retailer</x:v>
      </x:c>
      <x:c r="H177" s="25"/>
      <x:c r="I177" s="25" t="str">
        <x:v>2026-07-30</x:v>
      </x:c>
      <x:c r="J177" s="21" t="str">
        <x:v>Verified Retailer Display</x:v>
      </x:c>
      <x:c r="K177" s="21" t="str">
        <x:v>High</x:v>
      </x:c>
      <x:c r="L177" s="21" t="str">
        <x:v>Yes</x:v>
      </x:c>
      <x:c r="M177" s="21"/>
      <x:c r="N177" s="21" t="str">
        <x:v>Review count and offers change.</x:v>
      </x:c>
      <x:c r="O177" s="21" t="str">
        <x:v>Codex</x:v>
      </x:c>
    </x:row>
    <x:row r="178" ht="94" customHeight="1">
      <x:c r="A178" s="21" t="str">
        <x:v>SRC-LAN-023</x:v>
      </x:c>
      <x:c r="B178" s="21" t="str">
        <x:v>KB005</x:v>
      </x:c>
      <x:c r="C178" s="21" t="str">
        <x:v>Sephora — Cream Skin</x:v>
      </x:c>
      <x:c r="D178" s="21" t="str">
        <x:v>Sephora displayed $36, 4.5 rating and approximately 1.6K reviews.</x:v>
      </x:c>
      <x:c r="E178" s="21" t="str">
        <x:v>Sephora U.S.</x:v>
      </x:c>
      <x:c r="F178" s="21" t="str">
        <x:v>https://www.sephora.com/product/cream-skin-refillable-toner-moisturizer-with-ceramides-peptides-P505897</x:v>
      </x:c>
      <x:c r="G178" s="21" t="str">
        <x:v>Authorized Retailer</x:v>
      </x:c>
      <x:c r="H178" s="25"/>
      <x:c r="I178" s="25" t="str">
        <x:v>2026-07-30</x:v>
      </x:c>
      <x:c r="J178" s="21" t="str">
        <x:v>Verified Retailer Display</x:v>
      </x:c>
      <x:c r="K178" s="21" t="str">
        <x:v>High</x:v>
      </x:c>
      <x:c r="L178" s="21" t="str">
        <x:v>Yes</x:v>
      </x:c>
      <x:c r="M178" s="21"/>
      <x:c r="N178" s="21" t="str">
        <x:v>Review count and offers change.</x:v>
      </x:c>
      <x:c r="O178" s="21" t="str">
        <x:v>Codex</x:v>
      </x:c>
    </x:row>
    <x:row r="179" ht="94" customHeight="1">
      <x:c r="A179" s="21" t="str">
        <x:v>SRC-LAN-024</x:v>
      </x:c>
      <x:c r="B179" s="21" t="str">
        <x:v>KB005</x:v>
      </x:c>
      <x:c r="C179" s="21" t="str">
        <x:v>Sephora — Water Bank Cream</x:v>
      </x:c>
      <x:c r="D179" s="21" t="str">
        <x:v>Sephora displayed $38, 4.5 rating and approximately 2.4K reviews.</x:v>
      </x:c>
      <x:c r="E179" s="21" t="str">
        <x:v>Sephora U.S.</x:v>
      </x:c>
      <x:c r="F179" s="21" t="str">
        <x:v>https://www.sephora.com/product/laneige-water-bank-blue-hyaluronic-cream-moisturizer-P482693</x:v>
      </x:c>
      <x:c r="G179" s="21" t="str">
        <x:v>Authorized Retailer</x:v>
      </x:c>
      <x:c r="H179" s="25"/>
      <x:c r="I179" s="25" t="str">
        <x:v>2026-07-30</x:v>
      </x:c>
      <x:c r="J179" s="21" t="str">
        <x:v>Verified Retailer Display</x:v>
      </x:c>
      <x:c r="K179" s="21" t="str">
        <x:v>High</x:v>
      </x:c>
      <x:c r="L179" s="21" t="str">
        <x:v>Yes</x:v>
      </x:c>
      <x:c r="M179" s="21"/>
      <x:c r="N179" s="21" t="str">
        <x:v>Review count and offers change.</x:v>
      </x:c>
      <x:c r="O179" s="21" t="str">
        <x:v>Codex</x:v>
      </x:c>
    </x:row>
    <x:row r="180" ht="94" customHeight="1">
      <x:c r="A180" s="21" t="str">
        <x:v>SRC-LAN-025</x:v>
      </x:c>
      <x:c r="B180" s="21" t="str">
        <x:v>KB005</x:v>
      </x:c>
      <x:c r="C180" s="21" t="str">
        <x:v>Sephora — Bouncy &amp; Firm Sleeping Mask</x:v>
      </x:c>
      <x:c r="D180" s="21" t="str">
        <x:v>Sephora displayed $36, 4.5 rating and approximately 1.2K reviews.</x:v>
      </x:c>
      <x:c r="E180" s="21" t="str">
        <x:v>Sephora U.S.</x:v>
      </x:c>
      <x:c r="F180" s="21" t="str">
        <x:v>https://www.sephora.com/product/laneige-bouncy-firm-radiance-boosting-sleeping-mask-P510369</x:v>
      </x:c>
      <x:c r="G180" s="21" t="str">
        <x:v>Authorized Retailer</x:v>
      </x:c>
      <x:c r="H180" s="25"/>
      <x:c r="I180" s="25" t="str">
        <x:v>2026-07-30</x:v>
      </x:c>
      <x:c r="J180" s="21" t="str">
        <x:v>Verified Retailer Display</x:v>
      </x:c>
      <x:c r="K180" s="21" t="str">
        <x:v>High</x:v>
      </x:c>
      <x:c r="L180" s="21" t="str">
        <x:v>Yes</x:v>
      </x:c>
      <x:c r="M180" s="21"/>
      <x:c r="N180" s="21" t="str">
        <x:v>Review count and offers change.</x:v>
      </x:c>
      <x:c r="O180" s="21" t="str">
        <x:v>Codex</x:v>
      </x:c>
    </x:row>
    <x:row r="181" ht="94" customHeight="1">
      <x:c r="A181" s="21" t="str">
        <x:v>SRC-LAN-026</x:v>
      </x:c>
      <x:c r="B181" s="21" t="str">
        <x:v>KB005</x:v>
      </x:c>
      <x:c r="C181" s="21" t="str">
        <x:v>Sephora Laneige brand assortment</x:v>
      </x:c>
      <x:c r="D181" s="21" t="str">
        <x:v>Sephora brand page confirms current U.S. best sellers and broad prestige assortment.</x:v>
      </x:c>
      <x:c r="E181" s="21" t="str">
        <x:v>Sephora U.S.</x:v>
      </x:c>
      <x:c r="F181" s="21" t="str">
        <x:v>https://www.sephora.com/buy/brand/laneige</x:v>
      </x:c>
      <x:c r="G181" s="21" t="str">
        <x:v>Authorized Retailer</x:v>
      </x:c>
      <x:c r="H181" s="25"/>
      <x:c r="I181" s="25" t="str">
        <x:v>2026-07-30</x:v>
      </x:c>
      <x:c r="J181" s="21" t="str">
        <x:v>Verified Channel Fact</x:v>
      </x:c>
      <x:c r="K181" s="21" t="str">
        <x:v>High</x:v>
      </x:c>
      <x:c r="L181" s="21" t="str">
        <x:v>Yes</x:v>
      </x:c>
      <x:c r="M181" s="21"/>
      <x:c r="N181" s="21" t="str">
        <x:v>Assortment changes.</x:v>
      </x:c>
      <x:c r="O181" s="21" t="str">
        <x:v>Codex</x:v>
      </x:c>
    </x:row>
    <x:row r="182" ht="94" customHeight="1">
      <x:c r="A182" s="21" t="str">
        <x:v>SRC-LAN-027</x:v>
      </x:c>
      <x:c r="B182" s="21" t="str">
        <x:v>KB005</x:v>
      </x:c>
      <x:c r="C182" s="21" t="str">
        <x:v>Kohl's / Sephora assortment</x:v>
      </x:c>
      <x:c r="D182" s="21" t="str">
        <x:v>Kohl's brand page displayed 34 Laneige items and large hero review bases at aligned prestige prices.</x:v>
      </x:c>
      <x:c r="E182" s="21" t="str">
        <x:v>Kohl's</x:v>
      </x:c>
      <x:c r="F182" s="21" t="str">
        <x:v>https://www.kohls.com/catalog/laneige.jsp?CN=Brand%3ALANEIGE</x:v>
      </x:c>
      <x:c r="G182" s="21" t="str">
        <x:v>Authorized Retailer</x:v>
      </x:c>
      <x:c r="H182" s="25"/>
      <x:c r="I182" s="25" t="str">
        <x:v>2026-07-30</x:v>
      </x:c>
      <x:c r="J182" s="21" t="str">
        <x:v>Verified Retailer Display</x:v>
      </x:c>
      <x:c r="K182" s="21" t="str">
        <x:v>High</x:v>
      </x:c>
      <x:c r="L182" s="21" t="str">
        <x:v>Yes</x:v>
      </x:c>
      <x:c r="M182" s="21"/>
      <x:c r="N182" s="21" t="str">
        <x:v>Item count, prices and reviews change.</x:v>
      </x:c>
      <x:c r="O182" s="21" t="str">
        <x:v>Codex</x:v>
      </x:c>
    </x:row>
    <x:row r="183" ht="94" customHeight="1">
      <x:c r="A183" s="21" t="str">
        <x:v>SRC-LAN-028</x:v>
      </x:c>
      <x:c r="B183" s="21" t="str">
        <x:v>KB005</x:v>
      </x:c>
      <x:c r="C183" s="21" t="str">
        <x:v>Official physical store locator</x:v>
      </x:c>
      <x:c r="D183" s="21" t="str">
        <x:v>Official locator identifies physical U.S. retail points; Instagram also links Aritaum.</x:v>
      </x:c>
      <x:c r="E183" s="21" t="str">
        <x:v>LANEIGE U.S.</x:v>
      </x:c>
      <x:c r="F183" s="21" t="str">
        <x:v>https://us.laneige.com/apps/store-locator</x:v>
      </x:c>
      <x:c r="G183" s="21" t="str">
        <x:v>Official Store Locator</x:v>
      </x:c>
      <x:c r="H183" s="25"/>
      <x:c r="I183" s="25" t="str">
        <x:v>2026-07-30</x:v>
      </x:c>
      <x:c r="J183" s="21" t="str">
        <x:v>Verified Channel Fact</x:v>
      </x:c>
      <x:c r="K183" s="21" t="str">
        <x:v>High</x:v>
      </x:c>
      <x:c r="L183" s="21" t="str">
        <x:v>Yes</x:v>
      </x:c>
      <x:c r="M183" s="21"/>
      <x:c r="N183" s="21" t="str">
        <x:v>Verify location-level inventory.</x:v>
      </x:c>
      <x:c r="O183" s="21" t="str">
        <x:v>Codex</x:v>
      </x:c>
    </x:row>
    <x:row r="184" ht="94" customHeight="1">
      <x:c r="A184" s="21" t="str">
        <x:v>SRC-LAN-029</x:v>
      </x:c>
      <x:c r="B184" s="21" t="str">
        <x:v>KB005</x:v>
      </x:c>
      <x:c r="C184" s="21" t="str">
        <x:v>Target brand page</x:v>
      </x:c>
      <x:c r="D184" s="21" t="str">
        <x:v>Target displayed a Laneige brand page with 'New at Target' messaging and current product offers.</x:v>
      </x:c>
      <x:c r="E184" s="21" t="str">
        <x:v>Target U.S.</x:v>
      </x:c>
      <x:c r="F184" s="21" t="str">
        <x:v>https://www.target.com/b/laneige/-/N-7svko</x:v>
      </x:c>
      <x:c r="G184" s="21" t="str">
        <x:v>Retailer / Marketplace</x:v>
      </x:c>
      <x:c r="H184" s="25"/>
      <x:c r="I184" s="25" t="str">
        <x:v>2026-07-30</x:v>
      </x:c>
      <x:c r="J184" s="21" t="str">
        <x:v>Verified Retailer Display</x:v>
      </x:c>
      <x:c r="K184" s="21" t="str">
        <x:v>Medium</x:v>
      </x:c>
      <x:c r="L184" s="21" t="str">
        <x:v>Yes</x:v>
      </x:c>
      <x:c r="M184" s="21"/>
      <x:c r="N184" s="21" t="str">
        <x:v>Brand page alone does not prove authorization of every seller/SKU.</x:v>
      </x:c>
      <x:c r="O184" s="21" t="str">
        <x:v>Codex</x:v>
      </x:c>
    </x:row>
    <x:row r="185" ht="94" customHeight="1">
      <x:c r="A185" s="21" t="str">
        <x:v>SRC-LAN-030</x:v>
      </x:c>
      <x:c r="B185" s="21" t="str">
        <x:v>KB005</x:v>
      </x:c>
      <x:c r="C185" s="21" t="str">
        <x:v>Target marketplace seller risk</x:v>
      </x:c>
      <x:c r="D185" s="21" t="str">
        <x:v>Sampled Target Laneige offer was sold by SleekShop and marked non-returnable, demonstrating mixed marketplace inventory.</x:v>
      </x:c>
      <x:c r="E185" s="21" t="str">
        <x:v>Target U.S.</x:v>
      </x:c>
      <x:c r="F185" s="21" t="str">
        <x:v>https://www.target.com/p/-/A-1011451751</x:v>
      </x:c>
      <x:c r="G185" s="21" t="str">
        <x:v>Marketplace</x:v>
      </x:c>
      <x:c r="H185" s="25"/>
      <x:c r="I185" s="25" t="str">
        <x:v>2026-07-30</x:v>
      </x:c>
      <x:c r="J185" s="21" t="str">
        <x:v>Verified Risk Signal</x:v>
      </x:c>
      <x:c r="K185" s="21" t="str">
        <x:v>High</x:v>
      </x:c>
      <x:c r="L185" s="21" t="str">
        <x:v>Yes</x:v>
      </x:c>
      <x:c r="M185" s="21"/>
      <x:c r="N185" s="21" t="str">
        <x:v>Seller and offer can change; not proof of counterfeit.</x:v>
      </x:c>
      <x:c r="O185" s="21" t="str">
        <x:v>Codex</x:v>
      </x:c>
    </x:row>
    <x:row r="186" ht="94" customHeight="1">
      <x:c r="A186" s="21" t="str">
        <x:v>SRC-LAN-031</x:v>
      </x:c>
      <x:c r="B186" s="21" t="str">
        <x:v>KB005</x:v>
      </x:c>
      <x:c r="C186" s="21" t="str">
        <x:v>Target prestige strategy context</x:v>
      </x:c>
      <x:c r="D186" s="21" t="str">
        <x:v>Target announced Beauty Studio prestige expansion beginning fall 2026; the article does not specifically name Laneige.</x:v>
      </x:c>
      <x:c r="E186" s="21" t="str">
        <x:v>Target Corporate</x:v>
      </x:c>
      <x:c r="F186" s="21" t="str">
        <x:v>https://corporate.target.com/news-features/article/2026/03/target-beauty-studio-prestige-beauty-strategy</x:v>
      </x:c>
      <x:c r="G186" s="21" t="str">
        <x:v>Corporate News</x:v>
      </x:c>
      <x:c r="H186" s="25" t="str">
        <x:v>2026-03-01</x:v>
      </x:c>
      <x:c r="I186" s="25" t="str">
        <x:v>2026-07-30</x:v>
      </x:c>
      <x:c r="J186" s="21" t="str">
        <x:v>Context / Limitation</x:v>
      </x:c>
      <x:c r="K186" s="21" t="str">
        <x:v>High</x:v>
      </x:c>
      <x:c r="L186" s="21" t="str">
        <x:v>Yes</x:v>
      </x:c>
      <x:c r="M186" s="21"/>
      <x:c r="N186" s="21" t="str">
        <x:v>Do not use as proof of Laneige authorization.</x:v>
      </x:c>
      <x:c r="O186" s="21" t="str">
        <x:v>Codex</x:v>
      </x:c>
    </x:row>
    <x:row r="187" ht="94" customHeight="1">
      <x:c r="A187" s="21" t="str">
        <x:v>SRC-LAN-032</x:v>
      </x:c>
      <x:c r="B187" s="21" t="str">
        <x:v>KB005</x:v>
      </x:c>
      <x:c r="C187" s="21" t="str">
        <x:v>Walmart marketplace price and seller risk</x:v>
      </x:c>
      <x:c r="D187" s="21" t="str">
        <x:v>Sampled Lip Sleeping Mask offer displayed $15.16, 4.1/256, third-party seller Authorized Beauty Distribution and Walmart fulfillment.</x:v>
      </x:c>
      <x:c r="E187" s="21" t="str">
        <x:v>Walmart U.S.</x:v>
      </x:c>
      <x:c r="F187" s="21" t="str">
        <x:v>https://www.walmart.com/ip/418592402</x:v>
      </x:c>
      <x:c r="G187" s="21" t="str">
        <x:v>Marketplace</x:v>
      </x:c>
      <x:c r="H187" s="25"/>
      <x:c r="I187" s="25" t="str">
        <x:v>2026-07-30</x:v>
      </x:c>
      <x:c r="J187" s="21" t="str">
        <x:v>Verified Platform Display / Risk Signal</x:v>
      </x:c>
      <x:c r="K187" s="21" t="str">
        <x:v>High</x:v>
      </x:c>
      <x:c r="L187" s="21" t="str">
        <x:v>Yes</x:v>
      </x:c>
      <x:c r="M187" s="21"/>
      <x:c r="N187" s="21" t="str">
        <x:v>Seller name is not proof of brand authorization.</x:v>
      </x:c>
      <x:c r="O187" s="21" t="str">
        <x:v>Codex</x:v>
      </x:c>
    </x:row>
    <x:row r="188" ht="94" customHeight="1">
      <x:c r="A188" s="21" t="str">
        <x:v>SRC-LAN-033</x:v>
      </x:c>
      <x:c r="B188" s="21" t="str">
        <x:v>KB005</x:v>
      </x:c>
      <x:c r="C188" s="21" t="str">
        <x:v>Olive Young cross-border availability</x:v>
      </x:c>
      <x:c r="D188" s="21" t="str">
        <x:v>Olive Young Global carried Laneige Lip Sleeping Mask, supporting cross-border awareness and price-comparison risk.</x:v>
      </x:c>
      <x:c r="E188" s="21" t="str">
        <x:v>Olive Young Global</x:v>
      </x:c>
      <x:c r="F188" s="21" t="str">
        <x:v>https://global.oliveyoung.com/product/detail?lang=jp&amp;prdtNo=GA210811541</x:v>
      </x:c>
      <x:c r="G188" s="21" t="str">
        <x:v>Cross-Border Retailer</x:v>
      </x:c>
      <x:c r="H188" s="25"/>
      <x:c r="I188" s="25" t="str">
        <x:v>2026-07-30</x:v>
      </x:c>
      <x:c r="J188" s="21" t="str">
        <x:v>Verified Channel Fact</x:v>
      </x:c>
      <x:c r="K188" s="21" t="str">
        <x:v>Medium</x:v>
      </x:c>
      <x:c r="L188" s="21" t="str">
        <x:v>Destination-dependent</x:v>
      </x:c>
      <x:c r="M188" s="21"/>
      <x:c r="N188" s="21" t="str">
        <x:v>Not a U.S. wholesale authorization source.</x:v>
      </x:c>
      <x:c r="O188" s="21" t="str">
        <x:v>Codex</x:v>
      </x:c>
    </x:row>
    <x:row r="189" ht="94" customHeight="1">
      <x:c r="A189" s="21" t="str">
        <x:v>SRC-LAN-034</x:v>
      </x:c>
      <x:c r="B189" s="21" t="str">
        <x:v>KB005</x:v>
      </x:c>
      <x:c r="C189" s="21" t="str">
        <x:v>Reddit — Lip Sleeping Mask polarized experience</x:v>
      </x:c>
      <x:c r="D189" s="21" t="str">
        <x:v>Users report holy-grail overnight nourishment alongside perfume, value and effectiveness objections.</x:v>
      </x:c>
      <x:c r="E189" s="21" t="str">
        <x:v>Reddit r/Sephora</x:v>
      </x:c>
      <x:c r="F189" s="21" t="str">
        <x:v>https://www.reddit.com/r/Sephora/comments/1b5uxqi</x:v>
      </x:c>
      <x:c r="G189" s="21" t="str">
        <x:v>Consumer Forum</x:v>
      </x:c>
      <x:c r="H189" s="25"/>
      <x:c r="I189" s="25" t="str">
        <x:v>2026-07-30</x:v>
      </x:c>
      <x:c r="J189" s="21" t="str">
        <x:v>Anecdotal Consumer Evidence</x:v>
      </x:c>
      <x:c r="K189" s="21" t="str">
        <x:v>Low-Medium</x:v>
      </x:c>
      <x:c r="L189" s="21" t="str">
        <x:v>Mixed</x:v>
      </x:c>
      <x:c r="M189" s="21"/>
      <x:c r="N189" s="21" t="str">
        <x:v>Self-selected and non-representative.</x:v>
      </x:c>
      <x:c r="O189" s="21" t="str">
        <x:v>Codex</x:v>
      </x:c>
    </x:row>
    <x:row r="190" ht="94" customHeight="1">
      <x:c r="A190" s="21" t="str">
        <x:v>SRC-LAN-035</x:v>
      </x:c>
      <x:c r="B190" s="21" t="str">
        <x:v>KB005</x:v>
      </x:c>
      <x:c r="C190" s="21" t="str">
        <x:v>Reddit — recent lip-mask opinions</x:v>
      </x:c>
      <x:c r="D190" s="21" t="str">
        <x:v>Recent lip-care discussion includes underwhelmed users and preference for newer Laneige lip products.</x:v>
      </x:c>
      <x:c r="E190" s="21" t="str">
        <x:v>Reddit r/LipBalm</x:v>
      </x:c>
      <x:c r="F190" s="21" t="str">
        <x:v>https://www.reddit.com/r/LipBalm/comments/1r5h068/whats_your_review_and_opinion_on_the_laneige_lip/</x:v>
      </x:c>
      <x:c r="G190" s="21" t="str">
        <x:v>Consumer Forum</x:v>
      </x:c>
      <x:c r="H190" s="25"/>
      <x:c r="I190" s="25" t="str">
        <x:v>2026-07-30</x:v>
      </x:c>
      <x:c r="J190" s="21" t="str">
        <x:v>Anecdotal Consumer Evidence</x:v>
      </x:c>
      <x:c r="K190" s="21" t="str">
        <x:v>Low-Medium</x:v>
      </x:c>
      <x:c r="L190" s="21" t="str">
        <x:v>Mixed</x:v>
      </x:c>
      <x:c r="M190" s="21"/>
      <x:c r="N190" s="21" t="str">
        <x:v>Self-selected discussion.</x:v>
      </x:c>
      <x:c r="O190" s="21" t="str">
        <x:v>Codex</x:v>
      </x:c>
    </x:row>
    <x:row r="191" ht="94" customHeight="1">
      <x:c r="A191" s="21" t="str">
        <x:v>SRC-LAN-036</x:v>
      </x:c>
      <x:c r="B191" s="21" t="str">
        <x:v>KB005</x:v>
      </x:c>
      <x:c r="C191" s="21" t="str">
        <x:v>Reddit — de-influence / dryness concern</x:v>
      </x:c>
      <x:c r="D191" s="21" t="str">
        <x:v>Users debate whether fragrance or the formula worsens dryness versus being a game changer.</x:v>
      </x:c>
      <x:c r="E191" s="21" t="str">
        <x:v>Reddit r/DeinfluenceMeAUS</x:v>
      </x:c>
      <x:c r="F191" s="21" t="str">
        <x:v>https://www.reddit.com/r/DeinfluenceMeAUS/comments/1txdtkl/deinfluence_me_the_laneige_lip_sleeping_mask/</x:v>
      </x:c>
      <x:c r="G191" s="21" t="str">
        <x:v>Consumer Forum</x:v>
      </x:c>
      <x:c r="H191" s="25" t="str">
        <x:v>2026-06-01</x:v>
      </x:c>
      <x:c r="I191" s="25" t="str">
        <x:v>2026-07-30</x:v>
      </x:c>
      <x:c r="J191" s="21" t="str">
        <x:v>Anecdotal Consumer Evidence</x:v>
      </x:c>
      <x:c r="K191" s="21" t="str">
        <x:v>Low-Medium</x:v>
      </x:c>
      <x:c r="L191" s="21" t="str">
        <x:v>No / transferable</x:v>
      </x:c>
      <x:c r="M191" s="21"/>
      <x:c r="N191" s="21" t="str">
        <x:v>No causation established.</x:v>
      </x:c>
      <x:c r="O191" s="21" t="str">
        <x:v>Codex</x:v>
      </x:c>
    </x:row>
    <x:row r="192" ht="94" customHeight="1">
      <x:c r="A192" s="21" t="str">
        <x:v>SRC-LAN-037</x:v>
      </x:c>
      <x:c r="B192" s="21" t="str">
        <x:v>KB005</x:v>
      </x:c>
      <x:c r="C192" s="21" t="str">
        <x:v>Reddit — lip-mask alternatives</x:v>
      </x:c>
      <x:c r="D192" s="21" t="str">
        <x:v>Consumers compare Laneige with Tatcha, Fresh, Ole Henriksen and layering approaches.</x:v>
      </x:c>
      <x:c r="E192" s="21" t="str">
        <x:v>Reddit r/MakeupAddiction</x:v>
      </x:c>
      <x:c r="F192" s="21" t="str">
        <x:v>https://www.reddit.com/r/MakeupAddiction/comments/1r4oy93/lip_sleeping_masks/</x:v>
      </x:c>
      <x:c r="G192" s="21" t="str">
        <x:v>Consumer Forum</x:v>
      </x:c>
      <x:c r="H192" s="25"/>
      <x:c r="I192" s="25" t="str">
        <x:v>2026-07-30</x:v>
      </x:c>
      <x:c r="J192" s="21" t="str">
        <x:v>Anecdotal Consumer / Competitor Evidence</x:v>
      </x:c>
      <x:c r="K192" s="21" t="str">
        <x:v>Low-Medium</x:v>
      </x:c>
      <x:c r="L192" s="21" t="str">
        <x:v>Mixed</x:v>
      </x:c>
      <x:c r="M192" s="21"/>
      <x:c r="N192" s="21" t="str">
        <x:v>Self-selected discussion.</x:v>
      </x:c>
      <x:c r="O192" s="21" t="str">
        <x:v>Codex</x:v>
      </x:c>
    </x:row>
    <x:row r="193" ht="94" customHeight="1">
      <x:c r="A193" s="21" t="str">
        <x:v>SRC-LAN-038</x:v>
      </x:c>
      <x:c r="B193" s="21" t="str">
        <x:v>KB005</x:v>
      </x:c>
      <x:c r="C193" s="21" t="str">
        <x:v>Reddit — Cream Skin</x:v>
      </x:c>
      <x:c r="D193" s="21" t="str">
        <x:v>Users praise softness, hydration, layering and spray attachment while noting it may not replace moisturizer.</x:v>
      </x:c>
      <x:c r="E193" s="21" t="str">
        <x:v>Reddit r/SkinbarrierLovers</x:v>
      </x:c>
      <x:c r="F193" s="21" t="str">
        <x:v>https://www.reddit.com/r/SkinbarrierLovers/comments/1rjhtwp/lets_be_honest_laneige_cream_skin_toner/</x:v>
      </x:c>
      <x:c r="G193" s="21" t="str">
        <x:v>Consumer Forum</x:v>
      </x:c>
      <x:c r="H193" s="25"/>
      <x:c r="I193" s="25" t="str">
        <x:v>2026-07-30</x:v>
      </x:c>
      <x:c r="J193" s="21" t="str">
        <x:v>Anecdotal Consumer Evidence</x:v>
      </x:c>
      <x:c r="K193" s="21" t="str">
        <x:v>Low-Medium</x:v>
      </x:c>
      <x:c r="L193" s="21" t="str">
        <x:v>Mixed</x:v>
      </x:c>
      <x:c r="M193" s="21"/>
      <x:c r="N193" s="21" t="str">
        <x:v>Self-selected discussion.</x:v>
      </x:c>
      <x:c r="O193" s="21" t="str">
        <x:v>Codex</x:v>
      </x:c>
    </x:row>
    <x:row r="194" ht="94" customHeight="1">
      <x:c r="A194" s="21" t="str">
        <x:v>SRC-LAN-039</x:v>
      </x:c>
      <x:c r="B194" s="21" t="str">
        <x:v>KB005</x:v>
      </x:c>
      <x:c r="C194" s="21" t="str">
        <x:v>Reddit — Water Bank moisturizer</x:v>
      </x:c>
      <x:c r="D194" s="21" t="str">
        <x:v>Users discuss hydration and skin feel with mixed fit by skin type.</x:v>
      </x:c>
      <x:c r="E194" s="21" t="str">
        <x:v>Reddit r/AsianBeauty</x:v>
      </x:c>
      <x:c r="F194" s="21" t="str">
        <x:v>https://www.reddit.com/r/AsianBeauty/comments/1qik690/thoughts_on_laneige_water_bank_cream_moisturizer/</x:v>
      </x:c>
      <x:c r="G194" s="21" t="str">
        <x:v>Consumer Forum</x:v>
      </x:c>
      <x:c r="H194" s="25"/>
      <x:c r="I194" s="25" t="str">
        <x:v>2026-07-30</x:v>
      </x:c>
      <x:c r="J194" s="21" t="str">
        <x:v>Anecdotal Consumer Evidence</x:v>
      </x:c>
      <x:c r="K194" s="21" t="str">
        <x:v>Low-Medium</x:v>
      </x:c>
      <x:c r="L194" s="21" t="str">
        <x:v>Mixed</x:v>
      </x:c>
      <x:c r="M194" s="21"/>
      <x:c r="N194" s="21" t="str">
        <x:v>Self-selected discussion.</x:v>
      </x:c>
      <x:c r="O194" s="21" t="str">
        <x:v>Codex</x:v>
      </x:c>
    </x:row>
    <x:row r="195" ht="94" customHeight="1">
      <x:c r="A195" s="21" t="str">
        <x:v>SRC-LAN-040</x:v>
      </x:c>
      <x:c r="B195" s="21" t="str">
        <x:v>KB005</x:v>
      </x:c>
      <x:c r="C195" s="21" t="str">
        <x:v>Reddit — Water Bank scent</x:v>
      </x:c>
      <x:c r="D195" s="21" t="str">
        <x:v>Consumer discussion identifies scent as a notable positive or sensitivity issue.</x:v>
      </x:c>
      <x:c r="E195" s="21" t="str">
        <x:v>Reddit r/AsianBeauty</x:v>
      </x:c>
      <x:c r="F195" s="21" t="str">
        <x:v>https://www.reddit.com/r/AsianBeauty/comments/1idof89/laneige_water_bank_cream_scent/</x:v>
      </x:c>
      <x:c r="G195" s="21" t="str">
        <x:v>Consumer Forum</x:v>
      </x:c>
      <x:c r="H195" s="25"/>
      <x:c r="I195" s="25" t="str">
        <x:v>2026-07-30</x:v>
      </x:c>
      <x:c r="J195" s="21" t="str">
        <x:v>Anecdotal Consumer Evidence</x:v>
      </x:c>
      <x:c r="K195" s="21" t="str">
        <x:v>Low-Medium</x:v>
      </x:c>
      <x:c r="L195" s="21" t="str">
        <x:v>Mixed</x:v>
      </x:c>
      <x:c r="M195" s="21"/>
      <x:c r="N195" s="21" t="str">
        <x:v>Self-selected discussion.</x:v>
      </x:c>
      <x:c r="O195" s="21" t="str">
        <x:v>Codex</x:v>
      </x:c>
    </x:row>
    <x:row r="196" ht="94" customHeight="1">
      <x:c r="A196" s="21" t="str">
        <x:v>SRC-LAN-041</x:v>
      </x:c>
      <x:c r="B196" s="21" t="str">
        <x:v>KB005</x:v>
      </x:c>
      <x:c r="C196" s="21" t="str">
        <x:v>Reddit — Bouncy &amp; Firm</x:v>
      </x:c>
      <x:c r="D196" s="21" t="str">
        <x:v>Users report plump, soft and radiant-looking skin while warning about strong floral scent and stickiness.</x:v>
      </x:c>
      <x:c r="E196" s="21" t="str">
        <x:v>Reddit r/Sephora</x:v>
      </x:c>
      <x:c r="F196" s="21" t="str">
        <x:v>https://www.reddit.com/r/Sephora/comments/1jq8lux</x:v>
      </x:c>
      <x:c r="G196" s="21" t="str">
        <x:v>Consumer Forum</x:v>
      </x:c>
      <x:c r="H196" s="25"/>
      <x:c r="I196" s="25" t="str">
        <x:v>2026-07-30</x:v>
      </x:c>
      <x:c r="J196" s="21" t="str">
        <x:v>Anecdotal Consumer Evidence</x:v>
      </x:c>
      <x:c r="K196" s="21" t="str">
        <x:v>Low-Medium</x:v>
      </x:c>
      <x:c r="L196" s="21" t="str">
        <x:v>Mixed</x:v>
      </x:c>
      <x:c r="M196" s="21"/>
      <x:c r="N196" s="21" t="str">
        <x:v>Self-selected discussion.</x:v>
      </x:c>
      <x:c r="O196" s="21" t="str">
        <x:v>Codex</x:v>
      </x:c>
    </x:row>
    <x:row r="197" ht="94" customHeight="1">
      <x:c r="A197" s="21" t="str">
        <x:v>SRC-LAN-042</x:v>
      </x:c>
      <x:c r="B197" s="21" t="str">
        <x:v>KB005</x:v>
      </x:c>
      <x:c r="C197" s="21" t="str">
        <x:v>MakeupAlley review archive</x:v>
      </x:c>
      <x:c r="D197" s="21" t="str">
        <x:v>Consumer review archive provides a long-running non-retailer source for Lip Sleeping Mask experiences.</x:v>
      </x:c>
      <x:c r="E197" s="21" t="str">
        <x:v>MakeupAlley</x:v>
      </x:c>
      <x:c r="F197" s="21" t="str">
        <x:v>https://www.makeupalley.com/products/190207/reviews?page=1</x:v>
      </x:c>
      <x:c r="G197" s="21" t="str">
        <x:v>Consumer Review Site</x:v>
      </x:c>
      <x:c r="H197" s="25"/>
      <x:c r="I197" s="25" t="str">
        <x:v>2026-07-30</x:v>
      </x:c>
      <x:c r="J197" s="21" t="str">
        <x:v>Consumer Review Evidence</x:v>
      </x:c>
      <x:c r="K197" s="21" t="str">
        <x:v>Low-Medium</x:v>
      </x:c>
      <x:c r="L197" s="21" t="str">
        <x:v>Mixed</x:v>
      </x:c>
      <x:c r="M197" s="21"/>
      <x:c r="N197" s="21" t="str">
        <x:v>Current aggregate rating was not used.</x:v>
      </x:c>
      <x:c r="O197" s="21" t="str">
        <x:v>Codex</x:v>
      </x:c>
    </x:row>
    <x:row r="198" ht="94" customHeight="1">
      <x:c r="A198" s="21" t="str">
        <x:v>SRC-LAN-043</x:v>
      </x:c>
      <x:c r="B198" s="21" t="str">
        <x:v>KB005</x:v>
      </x:c>
      <x:c r="C198" s="21" t="str">
        <x:v>Competitor — Tatcha lip mask</x:v>
      </x:c>
      <x:c r="D198" s="21" t="str">
        <x:v>Tatcha The Kissu Lip Mask displayed $29, 4.0 rating and approximately 1.7K Sephora reviews.</x:v>
      </x:c>
      <x:c r="E198" s="21" t="str">
        <x:v>Sephora U.S.</x:v>
      </x:c>
      <x:c r="F198" s="21" t="str">
        <x:v>https://www.sephora.com/product/tatcha-the-kissu-lip-mask-P453225</x:v>
      </x:c>
      <x:c r="G198" s="21" t="str">
        <x:v>Authorized Retailer</x:v>
      </x:c>
      <x:c r="H198" s="25"/>
      <x:c r="I198" s="25" t="str">
        <x:v>2026-07-30</x:v>
      </x:c>
      <x:c r="J198" s="21" t="str">
        <x:v>Verified Competitor Fact</x:v>
      </x:c>
      <x:c r="K198" s="21" t="str">
        <x:v>High</x:v>
      </x:c>
      <x:c r="L198" s="21" t="str">
        <x:v>Yes</x:v>
      </x:c>
      <x:c r="M198" s="21"/>
      <x:c r="N198" s="21" t="str">
        <x:v>Current prestige lip-mask benchmark.</x:v>
      </x:c>
      <x:c r="O198" s="21" t="str">
        <x:v>Codex</x:v>
      </x:c>
    </x:row>
    <x:row r="199" ht="94" customHeight="1">
      <x:c r="A199" s="21" t="str">
        <x:v>SRC-LAN-044</x:v>
      </x:c>
      <x:c r="B199" s="21" t="str">
        <x:v>KB005</x:v>
      </x:c>
      <x:c r="C199" s="21" t="str">
        <x:v>Competitor — Summer Fridays lip balm</x:v>
      </x:c>
      <x:c r="D199" s="21" t="str">
        <x:v>Summer Fridays Lip Butter Balm displayed $24, 4.5 rating and approximately 17.7K Sephora reviews.</x:v>
      </x:c>
      <x:c r="E199" s="21" t="str">
        <x:v>Sephora U.S.</x:v>
      </x:c>
      <x:c r="F199" s="21" t="str">
        <x:v>https://www.sephora.com/product/summer-fridays-lip-butter-balm-P455936</x:v>
      </x:c>
      <x:c r="G199" s="21" t="str">
        <x:v>Authorized Retailer</x:v>
      </x:c>
      <x:c r="H199" s="25"/>
      <x:c r="I199" s="25" t="str">
        <x:v>2026-07-30</x:v>
      </x:c>
      <x:c r="J199" s="21" t="str">
        <x:v>Verified Competitor Fact</x:v>
      </x:c>
      <x:c r="K199" s="21" t="str">
        <x:v>High</x:v>
      </x:c>
      <x:c r="L199" s="21" t="str">
        <x:v>Yes</x:v>
      </x:c>
      <x:c r="M199" s="21"/>
      <x:c r="N199" s="21" t="str">
        <x:v>Current viral prestige lip-balm benchmark.</x:v>
      </x:c>
      <x:c r="O199" s="21" t="str">
        <x:v>Codex</x:v>
      </x:c>
    </x:row>
    <x:row r="200" ht="94" customHeight="1">
      <x:c r="A200" s="21" t="str">
        <x:v>SRC-LAN-045</x:v>
      </x:c>
      <x:c r="B200" s="21" t="str">
        <x:v>KB005</x:v>
      </x:c>
      <x:c r="C200" s="21" t="str">
        <x:v>Competitor — Rhode Glazing Milk</x:v>
      </x:c>
      <x:c r="D200" s="21" t="str">
        <x:v>Official Rhode page displayed $32, 4.7 rating and 6,303 reviews for 4.2 oz.</x:v>
      </x:c>
      <x:c r="E200" s="21" t="str">
        <x:v>Rhode</x:v>
      </x:c>
      <x:c r="F200" s="21" t="str">
        <x:v>https://www.rhodeskin.com/products/glazing-milk</x:v>
      </x:c>
      <x:c r="G200" s="21" t="str">
        <x:v>Official Competitor Site</x:v>
      </x:c>
      <x:c r="H200" s="25"/>
      <x:c r="I200" s="25" t="str">
        <x:v>2026-07-30</x:v>
      </x:c>
      <x:c r="J200" s="21" t="str">
        <x:v>Verified Competitor Fact</x:v>
      </x:c>
      <x:c r="K200" s="21" t="str">
        <x:v>High</x:v>
      </x:c>
      <x:c r="L200" s="21" t="str">
        <x:v>Yes</x:v>
      </x:c>
      <x:c r="M200" s="21"/>
      <x:c r="N200" s="21" t="str">
        <x:v>Current milky barrier-prep benchmark.</x:v>
      </x:c>
      <x:c r="O200" s="21" t="str">
        <x:v>Codex</x:v>
      </x:c>
    </x:row>
    <x:row r="201" ht="94" customHeight="1">
      <x:c r="A201" s="21" t="str">
        <x:v>SRC-LAN-046</x:v>
      </x:c>
      <x:c r="B201" s="21" t="str">
        <x:v>KB005</x:v>
      </x:c>
      <x:c r="C201" s="21" t="str">
        <x:v>Competitor — belif Aqua Bomb</x:v>
      </x:c>
      <x:c r="D201" s="21" t="str">
        <x:v>Ulta displayed $40, 4.5 rating and 255 reviews for 50 mL.</x:v>
      </x:c>
      <x:c r="E201" s="21" t="str">
        <x:v>Ulta Beauty</x:v>
      </x:c>
      <x:c r="F201" s="21" t="str">
        <x:v>https://www.ulta.com/p/true-cream-aqua-bomb-hydrating-moisturizer-pimprod2043259</x:v>
      </x:c>
      <x:c r="G201" s="21" t="str">
        <x:v>Authorized Retailer</x:v>
      </x:c>
      <x:c r="H201" s="25"/>
      <x:c r="I201" s="25" t="str">
        <x:v>2026-07-30</x:v>
      </x:c>
      <x:c r="J201" s="21" t="str">
        <x:v>Verified Competitor Fact</x:v>
      </x:c>
      <x:c r="K201" s="21" t="str">
        <x:v>High</x:v>
      </x:c>
      <x:c r="L201" s="21" t="str">
        <x:v>Yes</x:v>
      </x:c>
      <x:c r="M201" s="21"/>
      <x:c r="N201" s="21" t="str">
        <x:v>Current Korean prestige moisturizer benchmark.</x:v>
      </x:c>
      <x:c r="O201" s="21" t="str">
        <x:v>Codex</x:v>
      </x:c>
    </x:row>
    <x:row r="202" ht="94" customHeight="1">
      <x:c r="A202" s="56" t="str">
        <x:v>SRC-LAN-047</x:v>
      </x:c>
      <x:c r="B202" s="56" t="str">
        <x:v>KB005</x:v>
      </x:c>
      <x:c r="C202" s="56" t="str">
        <x:v>Competitor — Glow Recipe night treatment</x:v>
      </x:c>
      <x:c r="D202" s="56" t="str">
        <x:v>Sephora displayed approximately $54 and about 990 reviews for Watermelon Glow AHA Night Treatment.</x:v>
      </x:c>
      <x:c r="E202" s="56" t="str">
        <x:v>Sephora U.S.</x:v>
      </x:c>
      <x:c r="F202" s="56" t="str">
        <x:v>https://www.sephora.com/product/watermelon-glow-aha-night-treatment-P501254</x:v>
      </x:c>
      <x:c r="G202" s="56" t="str">
        <x:v>Authorized Retailer</x:v>
      </x:c>
      <x:c r="H202" s="56"/>
      <x:c r="I202" s="56" t="str">
        <x:v>2026-07-30</x:v>
      </x:c>
      <x:c r="J202" s="56" t="str">
        <x:v>Verified Competitor Fact</x:v>
      </x:c>
      <x:c r="K202" s="56" t="str">
        <x:v>Medium-High</x:v>
      </x:c>
      <x:c r="L202" s="56" t="str">
        <x:v>Yes</x:v>
      </x:c>
      <x:c r="M202" s="56"/>
      <x:c r="N202" s="56" t="str">
        <x:v>Current aggregate rating did not render consistently.</x:v>
      </x:c>
      <x:c r="O202" s="56" t="str">
        <x:v>Codex</x:v>
      </x:c>
    </x:row>
    <x:row r="203" ht="94" customHeight="1">
      <x:c r="A203" s="56" t="str">
        <x:v>SRC-LAN-048</x:v>
      </x:c>
      <x:c r="B203" s="56" t="str">
        <x:v>KB005</x:v>
      </x:c>
      <x:c r="C203" s="56" t="str">
        <x:v>Cosmetics MoCRA registration/listing</x:v>
      </x:c>
      <x:c r="D203" s="56" t="str">
        <x:v>FDA states responsible persons must list marketed cosmetic products and update annually; facilities have registration duties, subject to exemptions.</x:v>
      </x:c>
      <x:c r="E203" s="56" t="str">
        <x:v>U.S. FDA</x:v>
      </x:c>
      <x:c r="F203" s="56" t="str">
        <x:v>https://www.fda.gov/cosmetics/registration-listing-cosmetic-product-facilities-and-products</x:v>
      </x:c>
      <x:c r="G203" s="56" t="str">
        <x:v>Regulator</x:v>
      </x:c>
      <x:c r="H203" s="56"/>
      <x:c r="I203" s="56" t="str">
        <x:v>2026-07-30</x:v>
      </x:c>
      <x:c r="J203" s="56" t="str">
        <x:v>Verified Regulatory Requirement</x:v>
      </x:c>
      <x:c r="K203" s="56" t="str">
        <x:v>High</x:v>
      </x:c>
      <x:c r="L203" s="56" t="str">
        <x:v>Yes</x:v>
      </x:c>
      <x:c r="M203" s="56"/>
      <x:c r="N203" s="56" t="str">
        <x:v>Registration/listing is not FDA approval.</x:v>
      </x:c>
      <x:c r="O203" s="56" t="str">
        <x:v>Codex</x:v>
      </x:c>
    </x:row>
    <x:row r="204" ht="94" customHeight="1">
      <x:c r="A204" s="56" t="str">
        <x:v>SRC-LAN-049</x:v>
      </x:c>
      <x:c r="B204" s="56" t="str">
        <x:v>KB005</x:v>
      </x:c>
      <x:c r="C204" s="56" t="str">
        <x:v>Cosmetic labeling claims</x:v>
      </x:c>
      <x:c r="D204" s="56" t="str">
        <x:v>FDA explains that disease or structure/function intended-use claims can make a cosmetic a drug.</x:v>
      </x:c>
      <x:c r="E204" s="56" t="str">
        <x:v>U.S. FDA</x:v>
      </x:c>
      <x:c r="F204" s="56" t="str">
        <x:v>https://www.fda.gov/cosmetics/cosmetics-labeling/cosmetics-labeling-claims</x:v>
      </x:c>
      <x:c r="G204" s="56" t="str">
        <x:v>Regulator</x:v>
      </x:c>
      <x:c r="H204" s="56"/>
      <x:c r="I204" s="56" t="str">
        <x:v>2026-07-30</x:v>
      </x:c>
      <x:c r="J204" s="56" t="str">
        <x:v>Verified Regulatory Requirement</x:v>
      </x:c>
      <x:c r="K204" s="56" t="str">
        <x:v>High</x:v>
      </x:c>
      <x:c r="L204" s="56" t="str">
        <x:v>Yes</x:v>
      </x:c>
      <x:c r="M204" s="56"/>
      <x:c r="N204" s="56" t="str">
        <x:v>Review firming, plumping, barrier, healing and irritation wording.</x:v>
      </x:c>
      <x:c r="O204" s="56" t="str">
        <x:v>Codex</x:v>
      </x:c>
    </x:row>
    <x:row r="205" ht="94" customHeight="1">
      <x:c r="A205" s="56" t="str">
        <x:v>SRC-LAN-050</x:v>
      </x:c>
      <x:c r="B205" s="56" t="str">
        <x:v>KB005</x:v>
      </x:c>
      <x:c r="C205" s="56" t="str">
        <x:v>Fragrance and cosmetic allergens</x:v>
      </x:c>
      <x:c r="D205" s="56" t="str">
        <x:v>FDA identifies fragrance ingredients as potential allergens and explains cosmetic allergen considerations.</x:v>
      </x:c>
      <x:c r="E205" s="56" t="str">
        <x:v>U.S. FDA</x:v>
      </x:c>
      <x:c r="F205" s="56" t="str">
        <x:v>https://www.fda.gov/cosmetics/cosmetic-ingredients/allergens-cosmetics</x:v>
      </x:c>
      <x:c r="G205" s="56" t="str">
        <x:v>Regulator</x:v>
      </x:c>
      <x:c r="H205" s="56"/>
      <x:c r="I205" s="56" t="str">
        <x:v>2026-07-30</x:v>
      </x:c>
      <x:c r="J205" s="56" t="str">
        <x:v>Verified Regulatory Guidance</x:v>
      </x:c>
      <x:c r="K205" s="56" t="str">
        <x:v>High</x:v>
      </x:c>
      <x:c r="L205" s="56" t="str">
        <x:v>Yes</x:v>
      </x:c>
      <x:c r="M205" s="56"/>
      <x:c r="N205" s="56" t="str">
        <x:v>Request full INCI, safety substantiation and adverse-event process.</x:v>
      </x:c>
      <x:c r="O205" s="56" t="str">
        <x:v>Codex</x:v>
      </x:c>
    </x:row>
    <x:row r="206" ht="94" customHeight="1">
      <x:c r="A206" s="56" t="str">
        <x:v>SRC-LAN-051</x:v>
      </x:c>
      <x:c r="B206" s="56" t="str">
        <x:v>KB005</x:v>
      </x:c>
      <x:c r="C206" s="56" t="str">
        <x:v>U.S. company and contact</x:v>
      </x:c>
      <x:c r="D206" s="56" t="str">
        <x:v>Privacy notice identifies AMOREPACIFIC US, Inc., 1407 Broadway, New York, laneige@apus.amorepacific.com and 1-877-325-1799.</x:v>
      </x:c>
      <x:c r="E206" s="56" t="str">
        <x:v>LANEIGE U.S. Privacy Policy</x:v>
      </x:c>
      <x:c r="F206" s="56" t="str">
        <x:v>https://us.laneige.com/policies/privacy-policy</x:v>
      </x:c>
      <x:c r="G206" s="56" t="str">
        <x:v>Official Legal Notice</x:v>
      </x:c>
      <x:c r="H206" s="56"/>
      <x:c r="I206" s="56" t="str">
        <x:v>2026-07-30</x:v>
      </x:c>
      <x:c r="J206" s="56" t="str">
        <x:v>Verified Entity / Contact Fact</x:v>
      </x:c>
      <x:c r="K206" s="56" t="str">
        <x:v>High</x:v>
      </x:c>
      <x:c r="L206" s="56" t="str">
        <x:v>Yes</x:v>
      </x:c>
      <x:c r="M206" s="56"/>
      <x:c r="N206" s="56" t="str">
        <x:v>Confirm contracting, importing and responsible-person roles separately.</x:v>
      </x:c>
      <x:c r="O206" s="56" t="str">
        <x:v>Codex</x:v>
      </x:c>
    </x:row>
    <x:row r="207" ht="94" customHeight="1">
      <x:c r="A207" s="56" t="str">
        <x:v>SRC-LAN-052</x:v>
      </x:c>
      <x:c r="B207" s="56" t="str">
        <x:v>KB005</x:v>
      </x:c>
      <x:c r="C207" s="56" t="str">
        <x:v>Counterfeit reporting and authenticity risk</x:v>
      </x:c>
      <x:c r="D207" s="56" t="str">
        <x:v>Official FAQ directs counterfeit/knockoff concerns to AMOREPACIFIC's counterfeit reporting process.</x:v>
      </x:c>
      <x:c r="E207" s="56" t="str">
        <x:v>LANEIGE U.S. FAQ</x:v>
      </x:c>
      <x:c r="F207" s="56" t="str">
        <x:v>https://us.laneige.com/pages/frequently-asked-questions</x:v>
      </x:c>
      <x:c r="G207" s="56" t="str">
        <x:v>Official Brand Policy</x:v>
      </x:c>
      <x:c r="H207" s="56"/>
      <x:c r="I207" s="56" t="str">
        <x:v>2026-07-30</x:v>
      </x:c>
      <x:c r="J207" s="56" t="str">
        <x:v>Verified Brand Policy</x:v>
      </x:c>
      <x:c r="K207" s="56" t="str">
        <x:v>High</x:v>
      </x:c>
      <x:c r="L207" s="56" t="str">
        <x:v>Yes</x:v>
      </x:c>
      <x:c r="M207" s="56"/>
      <x:c r="N207" s="56" t="str">
        <x:v>Policy supports risk controls but does not authenticate third-party stock.</x:v>
      </x:c>
      <x:c r="O207" s="56" t="str">
        <x:v>Codex</x:v>
      </x:c>
    </x:row>
    <x:row r="208" ht="96" customHeight="1">
      <x:c r="A208" s="56" t="str">
        <x:v>SRC-SKN-001</x:v>
      </x:c>
      <x:c r="B208" s="56" t="str">
        <x:v>KB004</x:v>
      </x:c>
      <x:c r="C208" s="56" t="str">
        <x:v>Verified official website and category</x:v>
      </x:c>
      <x:c r="D208" s="56" t="str">
        <x:v>Official site verifies the SKIN1004 domain, facial-skincare assortment, collections, prices and U.S.-serving checkout context.</x:v>
      </x:c>
      <x:c r="E208" s="56" t="str">
        <x:v>SKIN1004</x:v>
      </x:c>
      <x:c r="F208" s="56" t="str">
        <x:v>https://www.skin1004.com</x:v>
      </x:c>
      <x:c r="G208" s="56" t="str">
        <x:v>Official Brand Site</x:v>
      </x:c>
      <x:c r="H208" s="56"/>
      <x:c r="I208" s="56" t="str">
        <x:v>2026-07-30</x:v>
      </x:c>
      <x:c r="J208" s="56" t="str">
        <x:v>Verified Official Fact</x:v>
      </x:c>
      <x:c r="K208" s="56" t="str">
        <x:v>High</x:v>
      </x:c>
      <x:c r="L208" s="56" t="str">
        <x:v>Yes</x:v>
      </x:c>
      <x:c r="M208" s="56"/>
      <x:c r="N208" s="56" t="str">
        <x:v>Brand-owned source; individual claims require substantiation.</x:v>
      </x:c>
      <x:c r="O208" s="56" t="str">
        <x:v>Codex</x:v>
      </x:c>
    </x:row>
    <x:row r="209" ht="96" customHeight="1">
      <x:c r="A209" s="56" t="str">
        <x:v>SRC-SKN-002</x:v>
      </x:c>
      <x:c r="B209" s="56" t="str">
        <x:v>KB004</x:v>
      </x:c>
      <x:c r="C209" s="56" t="str">
        <x:v>Brand positioning</x:v>
      </x:c>
      <x:c r="D209" s="56" t="str">
        <x:v>Official brand page describes the untouched-nature/Madagascar and Lab in Nature positioning.</x:v>
      </x:c>
      <x:c r="E209" s="56" t="str">
        <x:v>SKIN1004 — Brand</x:v>
      </x:c>
      <x:c r="F209" s="56" t="str">
        <x:v>https://www.skin1004.com/pages/brand-1</x:v>
      </x:c>
      <x:c r="G209" s="56" t="str">
        <x:v>Official Brand Site</x:v>
      </x:c>
      <x:c r="H209" s="56"/>
      <x:c r="I209" s="56" t="str">
        <x:v>2026-07-30</x:v>
      </x:c>
      <x:c r="J209" s="56" t="str">
        <x:v>Verified Brand Positioning</x:v>
      </x:c>
      <x:c r="K209" s="56" t="str">
        <x:v>High</x:v>
      </x:c>
      <x:c r="L209" s="56" t="str">
        <x:v>Global / applicable</x:v>
      </x:c>
      <x:c r="M209" s="56"/>
      <x:c r="N209" s="56" t="str">
        <x:v>Marketing language, not independent efficacy evidence.</x:v>
      </x:c>
      <x:c r="O209" s="56" t="str">
        <x:v>Codex</x:v>
      </x:c>
    </x:row>
    <x:row r="210" ht="96" customHeight="1">
      <x:c r="A210" s="56" t="str">
        <x:v>SRC-SKN-003</x:v>
      </x:c>
      <x:c r="B210" s="56" t="str">
        <x:v>KB004</x:v>
      </x:c>
      <x:c r="C210" s="56" t="str">
        <x:v>Ingredient and Centella story</x:v>
      </x:c>
      <x:c r="D210" s="56" t="str">
        <x:v>Official page explains Madagascar-grown Centella sourcing and brand claims about madecassoside/TECA content.</x:v>
      </x:c>
      <x:c r="E210" s="56" t="str">
        <x:v>SKIN1004 — Ingredients</x:v>
      </x:c>
      <x:c r="F210" s="56" t="str">
        <x:v>https://www.skin1004.com/pages/our-ingredients</x:v>
      </x:c>
      <x:c r="G210" s="56" t="str">
        <x:v>Official Brand Site</x:v>
      </x:c>
      <x:c r="H210" s="56"/>
      <x:c r="I210" s="56" t="str">
        <x:v>2026-07-30</x:v>
      </x:c>
      <x:c r="J210" s="56" t="str">
        <x:v>Brand Claim / Ingredient Fact</x:v>
      </x:c>
      <x:c r="K210" s="56" t="str">
        <x:v>Medium-High</x:v>
      </x:c>
      <x:c r="L210" s="56" t="str">
        <x:v>Global / applicable</x:v>
      </x:c>
      <x:c r="M210" s="56"/>
      <x:c r="N210" s="56" t="str">
        <x:v>Comparative ingredient claims require supplier and test substantiation.</x:v>
      </x:c>
      <x:c r="O210" s="56" t="str">
        <x:v>Codex</x:v>
      </x:c>
    </x:row>
    <x:row r="211" ht="96" customHeight="1">
      <x:c r="A211" s="56" t="str">
        <x:v>SRC-SKN-004</x:v>
      </x:c>
      <x:c r="B211" s="56" t="str">
        <x:v>KB004</x:v>
      </x:c>
      <x:c r="C211" s="56" t="str">
        <x:v>Official and authorized channel list</x:v>
      </x:c>
      <x:c r="D211" s="56" t="str">
        <x:v>Brand lists Amazon and TikTok Shop as U.S. official malls; Ulta and eight specialty sellers as U.S. authorized sellers; and named international authorized retailers.</x:v>
      </x:c>
      <x:c r="E211" s="56" t="str">
        <x:v>SKIN1004 — Stores</x:v>
      </x:c>
      <x:c r="F211" s="56" t="str">
        <x:v>https://www.skin1004.com/pages/stores</x:v>
      </x:c>
      <x:c r="G211" s="56" t="str">
        <x:v>Official Authorization List</x:v>
      </x:c>
      <x:c r="H211" s="56"/>
      <x:c r="I211" s="56" t="str">
        <x:v>2026-07-30</x:v>
      </x:c>
      <x:c r="J211" s="56" t="str">
        <x:v>Verified Channel Authorization</x:v>
      </x:c>
      <x:c r="K211" s="56" t="str">
        <x:v>High</x:v>
      </x:c>
      <x:c r="L211" s="56" t="str">
        <x:v>Yes</x:v>
      </x:c>
      <x:c r="M211" s="56"/>
      <x:c r="N211" s="56" t="str">
        <x:v>List may lag new accounts; verify current SKU and seller authorization.</x:v>
      </x:c>
      <x:c r="O211" s="56" t="str">
        <x:v>Codex</x:v>
      </x:c>
    </x:row>
    <x:row r="212" ht="96" customHeight="1">
      <x:c r="A212" s="56" t="str">
        <x:v>SRC-SKN-005</x:v>
      </x:c>
      <x:c r="B212" s="56" t="str">
        <x:v>KB004</x:v>
      </x:c>
      <x:c r="C212" s="56" t="str">
        <x:v>U.S. fulfillment and contact routes</x:v>
      </x:c>
      <x:c r="D212" s="56" t="str">
        <x:v>FAQ confirms U.S. shipping, U.S.-warehouse fulfillment, $40 minimum, customer support, PR and wholesale contact routing.</x:v>
      </x:c>
      <x:c r="E212" s="56" t="str">
        <x:v>SKIN1004 — FAQ</x:v>
      </x:c>
      <x:c r="F212" s="56" t="str">
        <x:v>https://www.skin1004.com/pages/faq</x:v>
      </x:c>
      <x:c r="G212" s="56" t="str">
        <x:v>Official Policy / Contact</x:v>
      </x:c>
      <x:c r="H212" s="56"/>
      <x:c r="I212" s="56" t="str">
        <x:v>2026-07-30</x:v>
      </x:c>
      <x:c r="J212" s="56" t="str">
        <x:v>Verified Operating Fact</x:v>
      </x:c>
      <x:c r="K212" s="56" t="str">
        <x:v>High</x:v>
      </x:c>
      <x:c r="L212" s="56" t="str">
        <x:v>Yes</x:v>
      </x:c>
      <x:c r="M212" s="56"/>
      <x:c r="N212" s="56" t="str">
        <x:v>Commercial terms are not disclosed.</x:v>
      </x:c>
      <x:c r="O212" s="56" t="str">
        <x:v>Codex</x:v>
      </x:c>
    </x:row>
    <x:row r="213" ht="96" customHeight="1">
      <x:c r="A213" s="56" t="str">
        <x:v>SRC-SKN-006</x:v>
      </x:c>
      <x:c r="B213" s="56" t="str">
        <x:v>KB004</x:v>
      </x:c>
      <x:c r="C213" s="56" t="str">
        <x:v>New York flagship</x:v>
      </x:c>
      <x:c r="D213" s="56" t="str">
        <x:v>Official page identifies 470 Broadway, New York, hours, phone and @cravercorp.com store email.</x:v>
      </x:c>
      <x:c r="E213" s="56" t="str">
        <x:v>SKIN1004 — U.S. Flagship</x:v>
      </x:c>
      <x:c r="F213" s="56" t="str">
        <x:v>https://www.skin1004.com/pages/flagship-store-us</x:v>
      </x:c>
      <x:c r="G213" s="56" t="str">
        <x:v>Official Store Page</x:v>
      </x:c>
      <x:c r="H213" s="56"/>
      <x:c r="I213" s="56" t="str">
        <x:v>2026-07-30</x:v>
      </x:c>
      <x:c r="J213" s="56" t="str">
        <x:v>Verified Physical Channel</x:v>
      </x:c>
      <x:c r="K213" s="56" t="str">
        <x:v>High</x:v>
      </x:c>
      <x:c r="L213" s="56" t="str">
        <x:v>Yes</x:v>
      </x:c>
      <x:c r="M213" s="56"/>
      <x:c r="N213" s="56" t="str">
        <x:v>Location-level sales are not public.</x:v>
      </x:c>
      <x:c r="O213" s="56" t="str">
        <x:v>Codex</x:v>
      </x:c>
    </x:row>
    <x:row r="214" ht="96" customHeight="1">
      <x:c r="A214" s="56" t="str">
        <x:v>SRC-SKN-007</x:v>
      </x:c>
      <x:c r="B214" s="56" t="str">
        <x:v>KB004</x:v>
      </x:c>
      <x:c r="C214" s="56" t="str">
        <x:v>Privacy and legal-contact limitation</x:v>
      </x:c>
      <x:c r="D214" s="56" t="str">
        <x:v>Privacy policy provides hello@skin1004korea.com but does not clearly identify a U.S. MoCRA responsible person or wholesale contracting entity.</x:v>
      </x:c>
      <x:c r="E214" s="56" t="str">
        <x:v>SKIN1004 — Privacy Policy</x:v>
      </x:c>
      <x:c r="F214" s="56" t="str">
        <x:v>https://www.skin1004.com/pages/privacy-policy</x:v>
      </x:c>
      <x:c r="G214" s="56" t="str">
        <x:v>Official Legal Notice</x:v>
      </x:c>
      <x:c r="H214" s="56"/>
      <x:c r="I214" s="56" t="str">
        <x:v>2026-07-30</x:v>
      </x:c>
      <x:c r="J214" s="56" t="str">
        <x:v>Verified Limitation</x:v>
      </x:c>
      <x:c r="K214" s="56" t="str">
        <x:v>High</x:v>
      </x:c>
      <x:c r="L214" s="56" t="str">
        <x:v>Yes</x:v>
      </x:c>
      <x:c r="M214" s="56"/>
      <x:c r="N214" s="56" t="str">
        <x:v>Request entity and role confirmation by SKU.</x:v>
      </x:c>
      <x:c r="O214" s="56" t="str">
        <x:v>Codex</x:v>
      </x:c>
    </x:row>
    <x:row r="215" ht="96" customHeight="1">
      <x:c r="A215" s="56" t="str">
        <x:v>SRC-SKN-008</x:v>
      </x:c>
      <x:c r="B215" s="56" t="str">
        <x:v>KB004</x:v>
      </x:c>
      <x:c r="C215" s="56" t="str">
        <x:v>CRAVER operator and company description</x:v>
      </x:c>
      <x:c r="D215" s="56" t="str">
        <x:v>Tokyo Stock Exchange Asia Startup Hub material describes CRAVER as a K-Beauty company that creates and markets SKIN1004 and distributes other K-Beauty brands.</x:v>
      </x:c>
      <x:c r="E215" s="56" t="str">
        <x:v>Japan Exchange Group / TSE</x:v>
      </x:c>
      <x:c r="F215" s="56" t="str">
        <x:v>https://www.jpx.co.jp/english/equities/listing-on-tse/startuphub/dh3otn00000020zi-att/20250925_1P_E.pdf</x:v>
      </x:c>
      <x:c r="G215" s="56" t="str">
        <x:v>Government-Linked Corporate Profile</x:v>
      </x:c>
      <x:c r="H215" s="56" t="str">
        <x:v>2025-09-25</x:v>
      </x:c>
      <x:c r="I215" s="56" t="str">
        <x:v>2026-07-30</x:v>
      </x:c>
      <x:c r="J215" s="56" t="str">
        <x:v>Verified Company Context</x:v>
      </x:c>
      <x:c r="K215" s="56" t="str">
        <x:v>High</x:v>
      </x:c>
      <x:c r="L215" s="56" t="str">
        <x:v>Global / applicable</x:v>
      </x:c>
      <x:c r="M215" s="56"/>
      <x:c r="N215" s="56" t="str">
        <x:v>Does not identify every U.S. operating entity or contract.</x:v>
      </x:c>
      <x:c r="O215" s="56" t="str">
        <x:v>Codex</x:v>
      </x:c>
    </x:row>
    <x:row r="216" ht="96" customHeight="1">
      <x:c r="A216" s="56" t="str">
        <x:v>SRC-SKN-009</x:v>
      </x:c>
      <x:c r="B216" s="56" t="str">
        <x:v>KB004</x:v>
      </x:c>
      <x:c r="C216" s="56" t="str">
        <x:v>Historical company scale and Ulta expansion</x:v>
      </x:c>
      <x:c r="D216" s="56" t="str">
        <x:v>Korean beauty trade reporting cites company-reported 2024 sales of KRW 280 billion, operating profit of KRW 77 billion and entry into roughly 1,300 Ulta stores.</x:v>
      </x:c>
      <x:c r="E216" s="56" t="str">
        <x:v>CMN Cosmetics Marketing News</x:v>
      </x:c>
      <x:c r="F216" s="56" t="str">
        <x:v>https://www.cmn.co.kr/mobile/sub_view.asp?news_idx=46194</x:v>
      </x:c>
      <x:c r="G216" s="56" t="str">
        <x:v>Trade Media / Company-Reported</x:v>
      </x:c>
      <x:c r="H216" s="56"/>
      <x:c r="I216" s="56" t="str">
        <x:v>2026-07-30</x:v>
      </x:c>
      <x:c r="J216" s="56" t="str">
        <x:v>Historical Scale Context</x:v>
      </x:c>
      <x:c r="K216" s="56" t="str">
        <x:v>Medium</x:v>
      </x:c>
      <x:c r="L216" s="56" t="str">
        <x:v>U.S. component</x:v>
      </x:c>
      <x:c r="M216" s="56"/>
      <x:c r="N216" s="56" t="str">
        <x:v>Not independently audited in this workbook; store count and results may have changed.</x:v>
      </x:c>
      <x:c r="O216" s="56" t="str">
        <x:v>Codex</x:v>
      </x:c>
    </x:row>
    <x:row r="217" ht="96" customHeight="1">
      <x:c r="A217" s="56" t="str">
        <x:v>SRC-SKN-010</x:v>
      </x:c>
      <x:c r="B217" s="56" t="str">
        <x:v>KB004</x:v>
      </x:c>
      <x:c r="C217" s="56" t="str">
        <x:v>U.S. creator campaign</x:v>
      </x:c>
      <x:c r="D217" s="56" t="str">
        <x:v>TikTok for Business case study describes a May 2024 U.S. expansion campaign using 53 videos from American creators in two months.</x:v>
      </x:c>
      <x:c r="E217" s="56" t="str">
        <x:v>TikTok for Business</x:v>
      </x:c>
      <x:c r="F217" s="56" t="str">
        <x:v>https://ads.tiktok.com/business/en-US/inspiration/skin1004-us-ttcc</x:v>
      </x:c>
      <x:c r="G217" s="56" t="str">
        <x:v>Official Platform Case Study</x:v>
      </x:c>
      <x:c r="H217" s="56"/>
      <x:c r="I217" s="56" t="str">
        <x:v>2026-07-30</x:v>
      </x:c>
      <x:c r="J217" s="56" t="str">
        <x:v>Verified Campaign Fact</x:v>
      </x:c>
      <x:c r="K217" s="56" t="str">
        <x:v>High</x:v>
      </x:c>
      <x:c r="L217" s="56" t="str">
        <x:v>Yes</x:v>
      </x:c>
      <x:c r="M217" s="56"/>
      <x:c r="N217" s="56" t="str">
        <x:v>Campaign-specific; not current organic reach or audited sales.</x:v>
      </x:c>
      <x:c r="O217" s="56" t="str">
        <x:v>Codex</x:v>
      </x:c>
    </x:row>
    <x:row r="218" ht="96" customHeight="1">
      <x:c r="A218" s="56" t="str">
        <x:v>SRC-SKN-011</x:v>
      </x:c>
      <x:c r="B218" s="56" t="str">
        <x:v>KB004</x:v>
      </x:c>
      <x:c r="C218" s="56" t="str">
        <x:v>Instagram awareness</x:v>
      </x:c>
      <x:c r="D218" s="56" t="str">
        <x:v>@skin1004official displayed 797K followers and current NYC, retailer, launch and brand-story highlights.</x:v>
      </x:c>
      <x:c r="E218" s="56" t="str">
        <x:v>Instagram</x:v>
      </x:c>
      <x:c r="F218" s="56" t="str">
        <x:v>https://www.instagram.com/skin1004official/</x:v>
      </x:c>
      <x:c r="G218" s="56" t="str">
        <x:v>Official Social Account</x:v>
      </x:c>
      <x:c r="H218" s="56"/>
      <x:c r="I218" s="56" t="str">
        <x:v>2026-07-30</x:v>
      </x:c>
      <x:c r="J218" s="56" t="str">
        <x:v>Verified Platform Display</x:v>
      </x:c>
      <x:c r="K218" s="56" t="str">
        <x:v>High</x:v>
      </x:c>
      <x:c r="L218" s="56" t="str">
        <x:v>Global / U.S. relevant</x:v>
      </x:c>
      <x:c r="M218" s="56"/>
      <x:c r="N218" s="56" t="str">
        <x:v>Follower count is dynamic and not a sales measure.</x:v>
      </x:c>
      <x:c r="O218" s="56" t="str">
        <x:v>Codex</x:v>
      </x:c>
    </x:row>
    <x:row r="219" ht="96" customHeight="1">
      <x:c r="A219" s="56" t="str">
        <x:v>SRC-SKN-012</x:v>
      </x:c>
      <x:c r="B219" s="56" t="str">
        <x:v>KB004</x:v>
      </x:c>
      <x:c r="C219" s="56" t="str">
        <x:v>TikTok Shop U.S. awareness and sold signal</x:v>
      </x:c>
      <x:c r="D219" s="56" t="str">
        <x:v>Current official-shop search display showed 4.7 rating, 1.0M followers and 1.0M sold.</x:v>
      </x:c>
      <x:c r="E219" s="56" t="str">
        <x:v>TikTok Shop U.S.</x:v>
      </x:c>
      <x:c r="F219" s="56" t="str">
        <x:v>https://shop.tiktok.com/us/k/skin1004-us</x:v>
      </x:c>
      <x:c r="G219" s="56" t="str">
        <x:v>Official Social Commerce</x:v>
      </x:c>
      <x:c r="H219" s="56"/>
      <x:c r="I219" s="56" t="str">
        <x:v>2026-07-30</x:v>
      </x:c>
      <x:c r="J219" s="56" t="str">
        <x:v>Verified Platform Display</x:v>
      </x:c>
      <x:c r="K219" s="56" t="str">
        <x:v>Medium-High</x:v>
      </x:c>
      <x:c r="L219" s="56" t="str">
        <x:v>Yes</x:v>
      </x:c>
      <x:c r="M219" s="56"/>
      <x:c r="N219" s="56" t="str">
        <x:v>Rounded cumulative display; not audited U.S. period units or revenue.</x:v>
      </x:c>
      <x:c r="O219" s="56" t="str">
        <x:v>Codex</x:v>
      </x:c>
    </x:row>
    <x:row r="220" ht="96" customHeight="1">
      <x:c r="A220" s="56" t="str">
        <x:v>SRC-SKN-013</x:v>
      </x:c>
      <x:c r="B220" s="56" t="str">
        <x:v>KB004</x:v>
      </x:c>
      <x:c r="C220" s="56" t="str">
        <x:v>Amazon official brand store</x:v>
      </x:c>
      <x:c r="D220" s="56" t="str">
        <x:v>Official SKIN1004 storefront supports authorized marketplace presence and broad U.S. assortment.</x:v>
      </x:c>
      <x:c r="E220" s="56" t="str">
        <x:v>Amazon U.S.</x:v>
      </x:c>
      <x:c r="F220" s="56" t="str">
        <x:v>https://www.amazon.com/stores/page/A2C29EC5-940B-432C-8A06-542CC11140E5/</x:v>
      </x:c>
      <x:c r="G220" s="56" t="str">
        <x:v>Official Marketplace Store</x:v>
      </x:c>
      <x:c r="H220" s="56"/>
      <x:c r="I220" s="56" t="str">
        <x:v>2026-07-30</x:v>
      </x:c>
      <x:c r="J220" s="56" t="str">
        <x:v>Verified Channel Linkage</x:v>
      </x:c>
      <x:c r="K220" s="56" t="str">
        <x:v>High</x:v>
      </x:c>
      <x:c r="L220" s="56" t="str">
        <x:v>Yes</x:v>
      </x:c>
      <x:c r="M220" s="56"/>
      <x:c r="N220" s="56" t="str">
        <x:v>Individual offer seller, lot and formula must still be checked.</x:v>
      </x:c>
      <x:c r="O220" s="56" t="str">
        <x:v>Codex</x:v>
      </x:c>
    </x:row>
    <x:row r="221" ht="96" customHeight="1">
      <x:c r="A221" s="56" t="str">
        <x:v>SRC-SKN-014</x:v>
      </x:c>
      <x:c r="B221" s="56" t="str">
        <x:v>KB004</x:v>
      </x:c>
      <x:c r="C221" s="56" t="str">
        <x:v>Amazon — Centella Ampoule</x:v>
      </x:c>
      <x:c r="D221" s="56" t="str">
        <x:v>Direct check showed $14.85, 4.7/9,278, 10K+ bought/month, #249 Beauty and #11 Facial Serums, in stock, sold by SKIN1004 US and shipped by Amazon.</x:v>
      </x:c>
      <x:c r="E221" s="56" t="str">
        <x:v>Amazon U.S.</x:v>
      </x:c>
      <x:c r="F221" s="56" t="str">
        <x:v>https://www.amazon.com/dp/B06Y15D1LH</x:v>
      </x:c>
      <x:c r="G221" s="56" t="str">
        <x:v>Marketplace</x:v>
      </x:c>
      <x:c r="H221" s="56"/>
      <x:c r="I221" s="56" t="str">
        <x:v>2026-07-30</x:v>
      </x:c>
      <x:c r="J221" s="56" t="str">
        <x:v>Verified Platform Display</x:v>
      </x:c>
      <x:c r="K221" s="56" t="str">
        <x:v>High</x:v>
      </x:c>
      <x:c r="L221" s="56" t="str">
        <x:v>Yes</x:v>
      </x:c>
      <x:c r="M221" s="56"/>
      <x:c r="N221" s="56" t="str">
        <x:v>Dynamic rounded badge, rank, reviews and price.</x:v>
      </x:c>
      <x:c r="O221" s="56" t="str">
        <x:v>Codex</x:v>
      </x:c>
    </x:row>
    <x:row r="222" ht="96" customHeight="1">
      <x:c r="A222" s="56" t="str">
        <x:v>SRC-SKN-015</x:v>
      </x:c>
      <x:c r="B222" s="56" t="str">
        <x:v>KB004</x:v>
      </x:c>
      <x:c r="C222" s="56" t="str">
        <x:v>Amazon — Light Cleansing Oil</x:v>
      </x:c>
      <x:c r="D222" s="56" t="str">
        <x:v>Direct check showed $13.17, 4.6/13,226, 10K+ bought/month, #1,043 Beauty and #2 Makeup Cleansing Oils, in stock, sold by SKIN1004 US.</x:v>
      </x:c>
      <x:c r="E222" s="56" t="str">
        <x:v>Amazon U.S.</x:v>
      </x:c>
      <x:c r="F222" s="56" t="str">
        <x:v>https://www.amazon.com/dp/B07T5BN3P2</x:v>
      </x:c>
      <x:c r="G222" s="56" t="str">
        <x:v>Marketplace</x:v>
      </x:c>
      <x:c r="H222" s="56"/>
      <x:c r="I222" s="56" t="str">
        <x:v>2026-07-30</x:v>
      </x:c>
      <x:c r="J222" s="56" t="str">
        <x:v>Verified Platform Display</x:v>
      </x:c>
      <x:c r="K222" s="56" t="str">
        <x:v>High</x:v>
      </x:c>
      <x:c r="L222" s="56" t="str">
        <x:v>Yes</x:v>
      </x:c>
      <x:c r="M222" s="56"/>
      <x:c r="N222" s="56" t="str">
        <x:v>Dynamic platform signal.</x:v>
      </x:c>
      <x:c r="O222" s="56" t="str">
        <x:v>Codex</x:v>
      </x:c>
    </x:row>
    <x:row r="223" ht="96" customHeight="1">
      <x:c r="A223" s="56" t="str">
        <x:v>SRC-SKN-016</x:v>
      </x:c>
      <x:c r="B223" s="56" t="str">
        <x:v>KB004</x:v>
      </x:c>
      <x:c r="C223" s="56" t="str">
        <x:v>Amazon — Poremizing Clay Stick</x:v>
      </x:c>
      <x:c r="D223" s="56" t="str">
        <x:v>Direct check showed $13.88, 4.6/7,956, 10K+ bought/month, #2,027 Beauty and #9 Facial Masks, in stock, sold by SKIN1004 US.</x:v>
      </x:c>
      <x:c r="E223" s="56" t="str">
        <x:v>Amazon U.S.</x:v>
      </x:c>
      <x:c r="F223" s="56" t="str">
        <x:v>https://www.amazon.com/dp/B0C8Y1TSKZ</x:v>
      </x:c>
      <x:c r="G223" s="56" t="str">
        <x:v>Marketplace</x:v>
      </x:c>
      <x:c r="H223" s="56"/>
      <x:c r="I223" s="56" t="str">
        <x:v>2026-07-30</x:v>
      </x:c>
      <x:c r="J223" s="56" t="str">
        <x:v>Verified Platform Display</x:v>
      </x:c>
      <x:c r="K223" s="56" t="str">
        <x:v>High</x:v>
      </x:c>
      <x:c r="L223" s="56" t="str">
        <x:v>Yes</x:v>
      </x:c>
      <x:c r="M223" s="56"/>
      <x:c r="N223" s="56" t="str">
        <x:v>Dynamic platform signal; pore claims are cosmetic appearance claims.</x:v>
      </x:c>
      <x:c r="O223" s="56" t="str">
        <x:v>Codex</x:v>
      </x:c>
    </x:row>
    <x:row r="224" ht="96" customHeight="1">
      <x:c r="A224" s="56" t="str">
        <x:v>SRC-SKN-017</x:v>
      </x:c>
      <x:c r="B224" s="56" t="str">
        <x:v>KB004</x:v>
      </x:c>
      <x:c r="C224" s="56" t="str">
        <x:v>Amazon — Ampoule Foam</x:v>
      </x:c>
      <x:c r="D224" s="56" t="str">
        <x:v>Direct check showed $9.54, 4.7/10,260, 9K+ bought/month, in stock, sold by SKIN1004 US and shipped by Amazon.</x:v>
      </x:c>
      <x:c r="E224" s="56" t="str">
        <x:v>Amazon U.S.</x:v>
      </x:c>
      <x:c r="F224" s="56" t="str">
        <x:v>https://www.amazon.com/dp/B09JBJDFHH</x:v>
      </x:c>
      <x:c r="G224" s="56" t="str">
        <x:v>Marketplace</x:v>
      </x:c>
      <x:c r="H224" s="56"/>
      <x:c r="I224" s="56" t="str">
        <x:v>2026-07-30</x:v>
      </x:c>
      <x:c r="J224" s="56" t="str">
        <x:v>Verified Platform Display</x:v>
      </x:c>
      <x:c r="K224" s="56" t="str">
        <x:v>High</x:v>
      </x:c>
      <x:c r="L224" s="56" t="str">
        <x:v>Yes</x:v>
      </x:c>
      <x:c r="M224" s="56"/>
      <x:c r="N224" s="56" t="str">
        <x:v>Best-seller rank did not render consistently.</x:v>
      </x:c>
      <x:c r="O224" s="56" t="str">
        <x:v>Codex</x:v>
      </x:c>
    </x:row>
    <x:row r="225" ht="96" customHeight="1">
      <x:c r="A225" s="56" t="str">
        <x:v>SRC-SKN-018</x:v>
      </x:c>
      <x:c r="B225" s="56" t="str">
        <x:v>KB004</x:v>
      </x:c>
      <x:c r="C225" s="56" t="str">
        <x:v>Amazon — U.S. Sun Serum UV SPF 50</x:v>
      </x:c>
      <x:c r="D225" s="56" t="str">
        <x:v>Direct check showed $18.46, 4.5/1,321, 30K+ bought/month, in stock, sold by CRC COMPANY and shipped by Amazon, linked to the SKIN1004 store.</x:v>
      </x:c>
      <x:c r="E225" s="56" t="str">
        <x:v>Amazon U.S.</x:v>
      </x:c>
      <x:c r="F225" s="56" t="str">
        <x:v>https://www.amazon.com/dp/B0FXH5LHN8</x:v>
      </x:c>
      <x:c r="G225" s="56" t="str">
        <x:v>Marketplace / OTC Drug Offer</x:v>
      </x:c>
      <x:c r="H225" s="56"/>
      <x:c r="I225" s="56" t="str">
        <x:v>2026-07-30</x:v>
      </x:c>
      <x:c r="J225" s="56" t="str">
        <x:v>Verified Platform Display</x:v>
      </x:c>
      <x:c r="K225" s="56" t="str">
        <x:v>High</x:v>
      </x:c>
      <x:c r="L225" s="56" t="str">
        <x:v>Yes</x:v>
      </x:c>
      <x:c r="M225" s="56"/>
      <x:c r="N225" s="56" t="str">
        <x:v>Confirm seller authority, lot/NDC and U.S. formula at order time.</x:v>
      </x:c>
      <x:c r="O225" s="56" t="str">
        <x:v>Codex</x:v>
      </x:c>
    </x:row>
    <x:row r="226" ht="96" customHeight="1">
      <x:c r="A226" s="56" t="str">
        <x:v>SRC-SKN-019</x:v>
      </x:c>
      <x:c r="B226" s="56" t="str">
        <x:v>KB004</x:v>
      </x:c>
      <x:c r="C226" s="56" t="str">
        <x:v>Centella Ampoule product and image</x:v>
      </x:c>
      <x:c r="D226" s="56" t="str">
        <x:v>Official page verifies 30/55/100 mL formats, watery/quick-absorbing texture and current product image.</x:v>
      </x:c>
      <x:c r="E226" s="56" t="str">
        <x:v>SKIN1004</x:v>
      </x:c>
      <x:c r="F226" s="56" t="str">
        <x:v>https://www.skin1004.com/products/skin1004-madagascar-centella-ampoule</x:v>
      </x:c>
      <x:c r="G226" s="56" t="str">
        <x:v>Official Product Page</x:v>
      </x:c>
      <x:c r="H226" s="56"/>
      <x:c r="I226" s="56" t="str">
        <x:v>2026-07-30</x:v>
      </x:c>
      <x:c r="J226" s="56" t="str">
        <x:v>Verified Product Fact</x:v>
      </x:c>
      <x:c r="K226" s="56" t="str">
        <x:v>High</x:v>
      </x:c>
      <x:c r="L226" s="56" t="str">
        <x:v>U.S.-serving site</x:v>
      </x:c>
      <x:c r="M226" s="56"/>
      <x:c r="N226" s="56" t="str">
        <x:v>Soothing/restore-imbalance wording requires normal cosmetic substantiation.</x:v>
      </x:c>
      <x:c r="O226" s="56" t="str">
        <x:v>Codex</x:v>
      </x:c>
    </x:row>
    <x:row r="227" ht="96" customHeight="1">
      <x:c r="A227" s="56" t="str">
        <x:v>SRC-SKN-020</x:v>
      </x:c>
      <x:c r="B227" s="56" t="str">
        <x:v>KB004</x:v>
      </x:c>
      <x:c r="C227" s="56" t="str">
        <x:v>Light Cleansing Oil product and image</x:v>
      </x:c>
      <x:c r="D227" s="56" t="str">
        <x:v>Official page verifies the 200 mL lightweight oil-cleanser positioning and current product image.</x:v>
      </x:c>
      <x:c r="E227" s="56" t="str">
        <x:v>SKIN1004</x:v>
      </x:c>
      <x:c r="F227" s="56" t="str">
        <x:v>https://www.skin1004.com/products/skin1004-madagascar-centella-light-cleansing-oil</x:v>
      </x:c>
      <x:c r="G227" s="56" t="str">
        <x:v>Official Product Page</x:v>
      </x:c>
      <x:c r="H227" s="56"/>
      <x:c r="I227" s="56" t="str">
        <x:v>2026-07-30</x:v>
      </x:c>
      <x:c r="J227" s="56" t="str">
        <x:v>Verified Product Fact</x:v>
      </x:c>
      <x:c r="K227" s="56" t="str">
        <x:v>High</x:v>
      </x:c>
      <x:c r="L227" s="56" t="str">
        <x:v>U.S.-serving site</x:v>
      </x:c>
      <x:c r="M227" s="56"/>
      <x:c r="N227" s="56" t="str">
        <x:v>Usage technique and eye-area tolerance vary.</x:v>
      </x:c>
      <x:c r="O227" s="56" t="str">
        <x:v>Codex</x:v>
      </x:c>
    </x:row>
    <x:row r="228" ht="96" customHeight="1">
      <x:c r="A228" s="56" t="str">
        <x:v>SRC-SKN-021</x:v>
      </x:c>
      <x:c r="B228" s="56" t="str">
        <x:v>KB004</x:v>
      </x:c>
      <x:c r="C228" s="56" t="str">
        <x:v>Poremizing Clay Stick product and image</x:v>
      </x:c>
      <x:c r="D228" s="56" t="str">
        <x:v>Official page lists 27 g, 18% kaolin, multiple clays, red-bean powder, centella, $22 list/$19.80 sale and current image.</x:v>
      </x:c>
      <x:c r="E228" s="56" t="str">
        <x:v>SKIN1004</x:v>
      </x:c>
      <x:c r="F228" s="56" t="str">
        <x:v>https://www.skin1004.com/products/poremizing-quick-clay-stick-mask</x:v>
      </x:c>
      <x:c r="G228" s="56" t="str">
        <x:v>Official Product Page</x:v>
      </x:c>
      <x:c r="H228" s="56"/>
      <x:c r="I228" s="56" t="str">
        <x:v>2026-07-30</x:v>
      </x:c>
      <x:c r="J228" s="56" t="str">
        <x:v>Verified Product Fact</x:v>
      </x:c>
      <x:c r="K228" s="56" t="str">
        <x:v>High</x:v>
      </x:c>
      <x:c r="L228" s="56" t="str">
        <x:v>U.S.-serving site</x:v>
      </x:c>
      <x:c r="M228" s="56"/>
      <x:c r="N228" s="56" t="str">
        <x:v>Do not imply permanent pore-size reduction.</x:v>
      </x:c>
      <x:c r="O228" s="56" t="str">
        <x:v>Codex</x:v>
      </x:c>
    </x:row>
    <x:row r="229" ht="96" customHeight="1">
      <x:c r="A229" s="56" t="str">
        <x:v>SRC-SKN-022</x:v>
      </x:c>
      <x:c r="B229" s="56" t="str">
        <x:v>KB004</x:v>
      </x:c>
      <x:c r="C229" s="56" t="str">
        <x:v>Ampoule Foam product and image</x:v>
      </x:c>
      <x:c r="D229" s="56" t="str">
        <x:v>Official page verifies 125 mL low-pH foaming-cleanser positioning and current product image.</x:v>
      </x:c>
      <x:c r="E229" s="56" t="str">
        <x:v>SKIN1004</x:v>
      </x:c>
      <x:c r="F229" s="56" t="str">
        <x:v>https://www.skin1004.com/products/skin1004-madagascar-centella-ampoule-foam</x:v>
      </x:c>
      <x:c r="G229" s="56" t="str">
        <x:v>Official Product Page</x:v>
      </x:c>
      <x:c r="H229" s="56"/>
      <x:c r="I229" s="56" t="str">
        <x:v>2026-07-30</x:v>
      </x:c>
      <x:c r="J229" s="56" t="str">
        <x:v>Verified Product Fact</x:v>
      </x:c>
      <x:c r="K229" s="56" t="str">
        <x:v>High</x:v>
      </x:c>
      <x:c r="L229" s="56" t="str">
        <x:v>U.S.-serving site</x:v>
      </x:c>
      <x:c r="M229" s="56"/>
      <x:c r="N229" s="56" t="str">
        <x:v>Gentleness and irritation claims require substantiation.</x:v>
      </x:c>
      <x:c r="O229" s="56" t="str">
        <x:v>Codex</x:v>
      </x:c>
    </x:row>
    <x:row r="230" ht="96" customHeight="1">
      <x:c r="A230" s="56" t="str">
        <x:v>SRC-SKN-023</x:v>
      </x:c>
      <x:c r="B230" s="56" t="str">
        <x:v>KB004</x:v>
      </x:c>
      <x:c r="C230" s="56" t="str">
        <x:v>Global sun-care U.S. unavailability</x:v>
      </x:c>
      <x:c r="D230" s="56" t="str">
        <x:v>Official collection states sun-care products are currently unavailable in the United States and Australia, distinguishing global products from the U.S.-specific OTC SKU.</x:v>
      </x:c>
      <x:c r="E230" s="56" t="str">
        <x:v>SKIN1004 — Sun Care</x:v>
      </x:c>
      <x:c r="F230" s="56" t="str">
        <x:v>https://www.skin1004.com/collections/glass-skin-essentials/sunscreen</x:v>
      </x:c>
      <x:c r="G230" s="56" t="str">
        <x:v>Official Availability Notice</x:v>
      </x:c>
      <x:c r="H230" s="56"/>
      <x:c r="I230" s="56" t="str">
        <x:v>2026-07-30</x:v>
      </x:c>
      <x:c r="J230" s="56" t="str">
        <x:v>Verified Formula / Channel Limitation</x:v>
      </x:c>
      <x:c r="K230" s="56" t="str">
        <x:v>High</x:v>
      </x:c>
      <x:c r="L230" s="56" t="str">
        <x:v>Yes</x:v>
      </x:c>
      <x:c r="M230" s="56"/>
      <x:c r="N230" s="56" t="str">
        <x:v>Do not import or merchandise the global formula as the U.S. OTC product.</x:v>
      </x:c>
      <x:c r="O230" s="56" t="str">
        <x:v>Codex</x:v>
      </x:c>
    </x:row>
    <x:row r="231" ht="96" customHeight="1">
      <x:c r="A231" s="56" t="str">
        <x:v>SRC-SKN-024</x:v>
      </x:c>
      <x:c r="B231" s="56" t="str">
        <x:v>KB004</x:v>
      </x:c>
      <x:c r="C231" s="56" t="str">
        <x:v>Ulta authorized assortment</x:v>
      </x:c>
      <x:c r="D231" s="56" t="str">
        <x:v>Ulta brand page displayed 41 SKIN1004 products, current hero prices and broad facial-skincare coverage.</x:v>
      </x:c>
      <x:c r="E231" s="56" t="str">
        <x:v>Ulta Beauty</x:v>
      </x:c>
      <x:c r="F231" s="56" t="str">
        <x:v>https://www.ulta.com/brand/skin1004?category=skin-care</x:v>
      </x:c>
      <x:c r="G231" s="56" t="str">
        <x:v>Authorized Retailer</x:v>
      </x:c>
      <x:c r="H231" s="56"/>
      <x:c r="I231" s="56" t="str">
        <x:v>2026-07-30</x:v>
      </x:c>
      <x:c r="J231" s="56" t="str">
        <x:v>Verified Retailer Display</x:v>
      </x:c>
      <x:c r="K231" s="56" t="str">
        <x:v>High</x:v>
      </x:c>
      <x:c r="L231" s="56" t="str">
        <x:v>Yes</x:v>
      </x:c>
      <x:c r="M231" s="56"/>
      <x:c r="N231" s="56" t="str">
        <x:v>Item count and offers change.</x:v>
      </x:c>
      <x:c r="O231" s="56" t="str">
        <x:v>Codex</x:v>
      </x:c>
    </x:row>
    <x:row r="232" ht="96" customHeight="1">
      <x:c r="A232" s="56" t="str">
        <x:v>SRC-SKN-025</x:v>
      </x:c>
      <x:c r="B232" s="56" t="str">
        <x:v>KB004</x:v>
      </x:c>
      <x:c r="C232" s="56" t="str">
        <x:v>Ulta — Centella Ampoule</x:v>
      </x:c>
      <x:c r="D232" s="56" t="str">
        <x:v>Ulta displayed the 100 mL Centella Ampoule at $25, approximately 4.4/114 and in-stock status.</x:v>
      </x:c>
      <x:c r="E232" s="56" t="str">
        <x:v>Ulta Beauty</x:v>
      </x:c>
      <x:c r="F232" s="56" t="str">
        <x:v>https://www.ulta.com/p/madagascar-centella-ampoule-pimprod2045880</x:v>
      </x:c>
      <x:c r="G232" s="56" t="str">
        <x:v>Authorized Retailer</x:v>
      </x:c>
      <x:c r="H232" s="56"/>
      <x:c r="I232" s="56" t="str">
        <x:v>2026-07-30</x:v>
      </x:c>
      <x:c r="J232" s="56" t="str">
        <x:v>Verified Retailer Display</x:v>
      </x:c>
      <x:c r="K232" s="56" t="str">
        <x:v>High</x:v>
      </x:c>
      <x:c r="L232" s="56" t="str">
        <x:v>Yes</x:v>
      </x:c>
      <x:c r="M232" s="56"/>
      <x:c r="N232" s="56" t="str">
        <x:v>Rating and count are dynamic.</x:v>
      </x:c>
      <x:c r="O232" s="56" t="str">
        <x:v>Codex</x:v>
      </x:c>
    </x:row>
    <x:row r="233" ht="96" customHeight="1">
      <x:c r="A233" s="56" t="str">
        <x:v>SRC-SKN-026</x:v>
      </x:c>
      <x:c r="B233" s="56" t="str">
        <x:v>KB004</x:v>
      </x:c>
      <x:c r="C233" s="56" t="str">
        <x:v>Ulta — Light Cleansing Oil</x:v>
      </x:c>
      <x:c r="D233" s="56" t="str">
        <x:v>Ulta displayed the Light Cleansing Oil at $25 and approximately 4.5/980.</x:v>
      </x:c>
      <x:c r="E233" s="56" t="str">
        <x:v>Ulta Beauty</x:v>
      </x:c>
      <x:c r="F233" s="56" t="str">
        <x:v>https://www.ulta.com/p/madagascar-centella-light-cleansing-oil-pimprod2045878</x:v>
      </x:c>
      <x:c r="G233" s="56" t="str">
        <x:v>Authorized Retailer</x:v>
      </x:c>
      <x:c r="H233" s="56"/>
      <x:c r="I233" s="56" t="str">
        <x:v>2026-07-30</x:v>
      </x:c>
      <x:c r="J233" s="56" t="str">
        <x:v>Verified Retailer Display</x:v>
      </x:c>
      <x:c r="K233" s="56" t="str">
        <x:v>High</x:v>
      </x:c>
      <x:c r="L233" s="56" t="str">
        <x:v>Yes</x:v>
      </x:c>
      <x:c r="M233" s="56"/>
      <x:c r="N233" s="56" t="str">
        <x:v>Current retailer review aggregate.</x:v>
      </x:c>
      <x:c r="O233" s="56" t="str">
        <x:v>Codex</x:v>
      </x:c>
    </x:row>
    <x:row r="234" ht="96" customHeight="1">
      <x:c r="A234" s="56" t="str">
        <x:v>SRC-SKN-027</x:v>
      </x:c>
      <x:c r="B234" s="56" t="str">
        <x:v>KB004</x:v>
      </x:c>
      <x:c r="C234" s="56" t="str">
        <x:v>Ulta — Poremizing Clay Stick</x:v>
      </x:c>
      <x:c r="D234" s="56" t="str">
        <x:v>Ulta displayed the Poremizing Quick Clay Stick Mask at $25 and approximately 4.5/50.</x:v>
      </x:c>
      <x:c r="E234" s="56" t="str">
        <x:v>Ulta Beauty</x:v>
      </x:c>
      <x:c r="F234" s="56" t="str">
        <x:v>https://www.ulta.com/p/madagascar-centella-poremizing-quick-clay-stick-mask-pimprod2045893</x:v>
      </x:c>
      <x:c r="G234" s="56" t="str">
        <x:v>Authorized Retailer</x:v>
      </x:c>
      <x:c r="H234" s="56"/>
      <x:c r="I234" s="56" t="str">
        <x:v>2026-07-30</x:v>
      </x:c>
      <x:c r="J234" s="56" t="str">
        <x:v>Verified Retailer Display</x:v>
      </x:c>
      <x:c r="K234" s="56" t="str">
        <x:v>High</x:v>
      </x:c>
      <x:c r="L234" s="56" t="str">
        <x:v>Yes</x:v>
      </x:c>
      <x:c r="M234" s="56"/>
      <x:c r="N234" s="56" t="str">
        <x:v>Smaller review base than Amazon.</x:v>
      </x:c>
      <x:c r="O234" s="56" t="str">
        <x:v>Codex</x:v>
      </x:c>
    </x:row>
    <x:row r="235" ht="96" customHeight="1">
      <x:c r="A235" s="56" t="str">
        <x:v>SRC-SKN-028</x:v>
      </x:c>
      <x:c r="B235" s="56" t="str">
        <x:v>KB004</x:v>
      </x:c>
      <x:c r="C235" s="56" t="str">
        <x:v>Ulta — Ampoule Foam</x:v>
      </x:c>
      <x:c r="D235" s="56" t="str">
        <x:v>Ulta displayed the Ampoule Foam at $18 and approximately 4.6/899.</x:v>
      </x:c>
      <x:c r="E235" s="56" t="str">
        <x:v>Ulta Beauty</x:v>
      </x:c>
      <x:c r="F235" s="56" t="str">
        <x:v>https://www.ulta.com/p/madagascar-centella-ampoule-foam-pimprod2045879</x:v>
      </x:c>
      <x:c r="G235" s="56" t="str">
        <x:v>Authorized Retailer</x:v>
      </x:c>
      <x:c r="H235" s="56"/>
      <x:c r="I235" s="56" t="str">
        <x:v>2026-07-30</x:v>
      </x:c>
      <x:c r="J235" s="56" t="str">
        <x:v>Verified Retailer Display</x:v>
      </x:c>
      <x:c r="K235" s="56" t="str">
        <x:v>High</x:v>
      </x:c>
      <x:c r="L235" s="56" t="str">
        <x:v>Yes</x:v>
      </x:c>
      <x:c r="M235" s="56"/>
      <x:c r="N235" s="56" t="str">
        <x:v>Current retailer display.</x:v>
      </x:c>
      <x:c r="O235" s="56" t="str">
        <x:v>Codex</x:v>
      </x:c>
    </x:row>
    <x:row r="236" ht="96" customHeight="1">
      <x:c r="A236" s="56" t="str">
        <x:v>SRC-SKN-029</x:v>
      </x:c>
      <x:c r="B236" s="56" t="str">
        <x:v>KB004</x:v>
      </x:c>
      <x:c r="C236" s="56" t="str">
        <x:v>Ulta — U.S. Sun Serum UV SPF 50</x:v>
      </x:c>
      <x:c r="D236" s="56" t="str">
        <x:v>Direct current SKU check displayed $26, 4.7/622 and in-stock status for the U.S.-specific broad-spectrum SPF 50.</x:v>
      </x:c>
      <x:c r="E236" s="56" t="str">
        <x:v>Ulta Beauty</x:v>
      </x:c>
      <x:c r="F236" s="56" t="str">
        <x:v>https://www.ulta.com/p/madagascar-centella-hyalu-cica-water-fit-sun-serum-uv-spf50-pimprod2055614?sku=2650029</x:v>
      </x:c>
      <x:c r="G236" s="56" t="str">
        <x:v>Authorized Retailer / OTC Drug</x:v>
      </x:c>
      <x:c r="H236" s="56"/>
      <x:c r="I236" s="56" t="str">
        <x:v>2026-07-30</x:v>
      </x:c>
      <x:c r="J236" s="56" t="str">
        <x:v>Verified Retailer Display</x:v>
      </x:c>
      <x:c r="K236" s="56" t="str">
        <x:v>High</x:v>
      </x:c>
      <x:c r="L236" s="56" t="str">
        <x:v>Yes</x:v>
      </x:c>
      <x:c r="M236" s="56"/>
      <x:c r="N236" s="56" t="str">
        <x:v>Stale search variants showed older lower counts; use current SKU-specific access date.</x:v>
      </x:c>
      <x:c r="O236" s="56" t="str">
        <x:v>Codex</x:v>
      </x:c>
    </x:row>
    <x:row r="237" ht="96" customHeight="1">
      <x:c r="A237" s="56" t="str">
        <x:v>SRC-SKN-030</x:v>
      </x:c>
      <x:c r="B237" s="56" t="str">
        <x:v>KB004</x:v>
      </x:c>
      <x:c r="C237" s="56" t="str">
        <x:v>U.S. OTC sunscreen label and actives</x:v>
      </x:c>
      <x:c r="D237" s="56" t="str">
        <x:v>DailyMed current label identifies CRAVER as packager/labeler, NDC 85796-2805, M020 monograph marketing and actives: octocrylene 9%, octisalate 4.5%, homosalate 13.6%, avobenzone 2.7%.</x:v>
      </x:c>
      <x:c r="E237" s="56" t="str">
        <x:v>DailyMed / U.S. NLM</x:v>
      </x:c>
      <x:c r="F237" s="56" t="str">
        <x:v>https://dailymed.nlm.nih.gov/dailymed/lookup.cfm?setid=38d8c1c9-86b5-1edd-e063-6394a90aeb47&amp;version=4</x:v>
      </x:c>
      <x:c r="G237" s="56" t="str">
        <x:v>Regulator Label Repository</x:v>
      </x:c>
      <x:c r="H237" s="56" t="str">
        <x:v>2026-07-21</x:v>
      </x:c>
      <x:c r="I237" s="56" t="str">
        <x:v>2026-07-30</x:v>
      </x:c>
      <x:c r="J237" s="56" t="str">
        <x:v>Verified U.S. Drug Label</x:v>
      </x:c>
      <x:c r="K237" s="56" t="str">
        <x:v>High</x:v>
      </x:c>
      <x:c r="L237" s="56" t="str">
        <x:v>Yes</x:v>
      </x:c>
      <x:c r="M237" s="56"/>
      <x:c r="N237" s="56" t="str">
        <x:v>Label presence is not a substitute for complete vendor OTC diligence.</x:v>
      </x:c>
      <x:c r="O237" s="56" t="str">
        <x:v>Codex</x:v>
      </x:c>
    </x:row>
    <x:row r="238" ht="96" customHeight="1">
      <x:c r="A238" s="56" t="str">
        <x:v>SRC-SKN-031</x:v>
      </x:c>
      <x:c r="B238" s="56" t="str">
        <x:v>KB004</x:v>
      </x:c>
      <x:c r="C238" s="56" t="str">
        <x:v>OTC sunscreen monograph</x:v>
      </x:c>
      <x:c r="D238" s="56" t="str">
        <x:v>FDA OTC Monograph M020 controls allowed active ingredients, labeling and conditions for nonprescription sunscreen drug products.</x:v>
      </x:c>
      <x:c r="E238" s="56" t="str">
        <x:v>U.S. FDA</x:v>
      </x:c>
      <x:c r="F238" s="56" t="str">
        <x:v>https://www.accessdata.fda.gov/drugsatfda_docs/omuf/monographs/OTCMonograph_M020-SunscreenDrugProductsforOTCHumanUse09242021.pdf</x:v>
      </x:c>
      <x:c r="G238" s="56" t="str">
        <x:v>Regulator</x:v>
      </x:c>
      <x:c r="H238" s="56"/>
      <x:c r="I238" s="56" t="str">
        <x:v>2026-07-30</x:v>
      </x:c>
      <x:c r="J238" s="56" t="str">
        <x:v>Verified Regulatory Requirement</x:v>
      </x:c>
      <x:c r="K238" s="56" t="str">
        <x:v>High</x:v>
      </x:c>
      <x:c r="L238" s="56" t="str">
        <x:v>Yes</x:v>
      </x:c>
      <x:c r="M238" s="56"/>
      <x:c r="N238" s="56" t="str">
        <x:v>Confirm current amendments and product conformity with regulatory counsel/vendor.</x:v>
      </x:c>
      <x:c r="O238" s="56" t="str">
        <x:v>Codex</x:v>
      </x:c>
    </x:row>
    <x:row r="239" ht="96" customHeight="1">
      <x:c r="A239" s="56" t="str">
        <x:v>SRC-SKN-032</x:v>
      </x:c>
      <x:c r="B239" s="56" t="str">
        <x:v>KB004</x:v>
      </x:c>
      <x:c r="C239" s="56" t="str">
        <x:v>OTC Drug Facts labeling</x:v>
      </x:c>
      <x:c r="D239" s="56" t="str">
        <x:v>FDA explains the standardized Drug Facts label required for OTC medicines.</x:v>
      </x:c>
      <x:c r="E239" s="56" t="str">
        <x:v>U.S. FDA</x:v>
      </x:c>
      <x:c r="F239" s="56" t="str">
        <x:v>https://www.fda.gov/drugs/understanding-over-counter-medicines/over-counter-drug-facts-label</x:v>
      </x:c>
      <x:c r="G239" s="56" t="str">
        <x:v>Regulator</x:v>
      </x:c>
      <x:c r="H239" s="56"/>
      <x:c r="I239" s="56" t="str">
        <x:v>2026-07-30</x:v>
      </x:c>
      <x:c r="J239" s="56" t="str">
        <x:v>Verified Regulatory Guidance</x:v>
      </x:c>
      <x:c r="K239" s="56" t="str">
        <x:v>High</x:v>
      </x:c>
      <x:c r="L239" s="56" t="str">
        <x:v>Yes</x:v>
      </x:c>
      <x:c r="M239" s="56"/>
      <x:c r="N239" s="56" t="str">
        <x:v>Request current carton/container artwork for every sellable configuration.</x:v>
      </x:c>
      <x:c r="O239" s="56" t="str">
        <x:v>Codex</x:v>
      </x:c>
    </x:row>
    <x:row r="240" ht="96" customHeight="1">
      <x:c r="A240" s="56" t="str">
        <x:v>SRC-SKN-033</x:v>
      </x:c>
      <x:c r="B240" s="56" t="str">
        <x:v>KB004</x:v>
      </x:c>
      <x:c r="C240" s="56" t="str">
        <x:v>MoCRA registration and listing</x:v>
      </x:c>
      <x:c r="D240" s="56" t="str">
        <x:v>FDA states responsible persons must list marketed cosmetic products and update annually, while facilities have registration duties subject to exemptions.</x:v>
      </x:c>
      <x:c r="E240" s="56" t="str">
        <x:v>U.S. FDA</x:v>
      </x:c>
      <x:c r="F240" s="56" t="str">
        <x:v>https://www.fda.gov/cosmetics/registration-listing-cosmetic-product-facilities-and-products</x:v>
      </x:c>
      <x:c r="G240" s="56" t="str">
        <x:v>Regulator</x:v>
      </x:c>
      <x:c r="H240" s="56"/>
      <x:c r="I240" s="56" t="str">
        <x:v>2026-07-30</x:v>
      </x:c>
      <x:c r="J240" s="56" t="str">
        <x:v>Verified Regulatory Requirement</x:v>
      </x:c>
      <x:c r="K240" s="56" t="str">
        <x:v>High</x:v>
      </x:c>
      <x:c r="L240" s="56" t="str">
        <x:v>Yes</x:v>
      </x:c>
      <x:c r="M240" s="56"/>
      <x:c r="N240" s="56" t="str">
        <x:v>Registration/listing is not FDA approval; evidence was not public by SKU here.</x:v>
      </x:c>
      <x:c r="O240" s="56" t="str">
        <x:v>Codex</x:v>
      </x:c>
    </x:row>
    <x:row r="241" ht="96" customHeight="1">
      <x:c r="A241" s="56" t="str">
        <x:v>SRC-SKN-034</x:v>
      </x:c>
      <x:c r="B241" s="56" t="str">
        <x:v>KB004</x:v>
      </x:c>
      <x:c r="C241" s="56" t="str">
        <x:v>Cosmetic versus drug intended use</x:v>
      </x:c>
      <x:c r="D241" s="56" t="str">
        <x:v>FDA explains that disease or structure/function intended-use claims can make a cosmetic a drug.</x:v>
      </x:c>
      <x:c r="E241" s="56" t="str">
        <x:v>U.S. FDA</x:v>
      </x:c>
      <x:c r="F241" s="56" t="str">
        <x:v>https://www.fda.gov/cosmetics/cosmetics-laws-regulations/it-cosmetic-drug-or-both-or-it-soap</x:v>
      </x:c>
      <x:c r="G241" s="56" t="str">
        <x:v>Regulator</x:v>
      </x:c>
      <x:c r="H241" s="56"/>
      <x:c r="I241" s="56" t="str">
        <x:v>2026-07-30</x:v>
      </x:c>
      <x:c r="J241" s="56" t="str">
        <x:v>Verified Regulatory Requirement</x:v>
      </x:c>
      <x:c r="K241" s="56" t="str">
        <x:v>High</x:v>
      </x:c>
      <x:c r="L241" s="56" t="str">
        <x:v>Yes</x:v>
      </x:c>
      <x:c r="M241" s="56"/>
      <x:c r="N241" s="56" t="str">
        <x:v>Review acne, healing, anti-inflammatory, pore-tightening and barrier-repair wording.</x:v>
      </x:c>
      <x:c r="O241" s="56" t="str">
        <x:v>Codex</x:v>
      </x:c>
    </x:row>
    <x:row r="242" ht="96" customHeight="1">
      <x:c r="A242" s="56" t="str">
        <x:v>SRC-SKN-035</x:v>
      </x:c>
      <x:c r="B242" s="56" t="str">
        <x:v>KB004</x:v>
      </x:c>
      <x:c r="C242" s="56" t="str">
        <x:v>Target brand presence</x:v>
      </x:c>
      <x:c r="D242" s="56" t="str">
        <x:v>Target displayed a SKIN1004 brand page with 'New at Target' messaging and multiple current products.</x:v>
      </x:c>
      <x:c r="E242" s="56" t="str">
        <x:v>Target U.S.</x:v>
      </x:c>
      <x:c r="F242" s="56" t="str">
        <x:v>https://www.target.com/b/skin1004/-/N-q643lergpss</x:v>
      </x:c>
      <x:c r="G242" s="56" t="str">
        <x:v>Retailer / Marketplace</x:v>
      </x:c>
      <x:c r="H242" s="56"/>
      <x:c r="I242" s="56" t="str">
        <x:v>2026-07-30</x:v>
      </x:c>
      <x:c r="J242" s="56" t="str">
        <x:v>Verified Retailer Display</x:v>
      </x:c>
      <x:c r="K242" s="56" t="str">
        <x:v>Medium-High</x:v>
      </x:c>
      <x:c r="L242" s="56" t="str">
        <x:v>Yes</x:v>
      </x:c>
      <x:c r="M242" s="56"/>
      <x:c r="N242" s="56" t="str">
        <x:v>Not listed on the brand's official U.S. authorized-seller page; seller-level verification required.</x:v>
      </x:c>
      <x:c r="O242" s="56" t="str">
        <x:v>Codex</x:v>
      </x:c>
    </x:row>
    <x:row r="243" ht="96" customHeight="1">
      <x:c r="A243" s="56" t="str">
        <x:v>SRC-SKN-036</x:v>
      </x:c>
      <x:c r="B243" s="56" t="str">
        <x:v>KB004</x:v>
      </x:c>
      <x:c r="C243" s="56" t="str">
        <x:v>Target — Centella Ampoule</x:v>
      </x:c>
      <x:c r="D243" s="56" t="str">
        <x:v>Target page displayed the ampoule and related SKIN1004 offers; review aggregate about 4.6/233 and current product details were visible.</x:v>
      </x:c>
      <x:c r="E243" s="56" t="str">
        <x:v>Target U.S.</x:v>
      </x:c>
      <x:c r="F243" s="56" t="str">
        <x:v>https://www.target.com/p/-/A-93287830</x:v>
      </x:c>
      <x:c r="G243" s="56" t="str">
        <x:v>Retailer / Marketplace</x:v>
      </x:c>
      <x:c r="H243" s="56"/>
      <x:c r="I243" s="56" t="str">
        <x:v>2026-07-30</x:v>
      </x:c>
      <x:c r="J243" s="56" t="str">
        <x:v>Verified Retailer Display</x:v>
      </x:c>
      <x:c r="K243" s="56" t="str">
        <x:v>Medium-High</x:v>
      </x:c>
      <x:c r="L243" s="56" t="str">
        <x:v>Yes</x:v>
      </x:c>
      <x:c r="M243" s="56"/>
      <x:c r="N243" s="56" t="str">
        <x:v>Target pages mix first-party-looking and Target Plus third-party offers; attribution can change.</x:v>
      </x:c>
      <x:c r="O243" s="56" t="str">
        <x:v>Codex</x:v>
      </x:c>
    </x:row>
    <x:row r="244" ht="96" customHeight="1">
      <x:c r="A244" s="56" t="str">
        <x:v>SRC-SKN-037</x:v>
      </x:c>
      <x:c r="B244" s="56" t="str">
        <x:v>KB004</x:v>
      </x:c>
      <x:c r="C244" s="56" t="str">
        <x:v>Walmart marketplace brand visibility</x:v>
      </x:c>
      <x:c r="D244" s="56" t="str">
        <x:v>Walmart displayed roughly 45 SKIN1004 products; sampled ampoule price $18.36 with 4.6/247, and sunscreen/global-formula offers were visible.</x:v>
      </x:c>
      <x:c r="E244" s="56" t="str">
        <x:v>Walmart U.S.</x:v>
      </x:c>
      <x:c r="F244" s="56" t="str">
        <x:v>https://www.walmart.com/browse/beauty/skincare/skin1004/1085666_1007039/YnJhbmQ6U0tJTjEwMDQie</x:v>
      </x:c>
      <x:c r="G244" s="56" t="str">
        <x:v>Marketplace</x:v>
      </x:c>
      <x:c r="H244" s="56"/>
      <x:c r="I244" s="56" t="str">
        <x:v>2026-07-30</x:v>
      </x:c>
      <x:c r="J244" s="56" t="str">
        <x:v>Verified Platform Display / Risk Signal</x:v>
      </x:c>
      <x:c r="K244" s="56" t="str">
        <x:v>High</x:v>
      </x:c>
      <x:c r="L244" s="56" t="str">
        <x:v>Yes</x:v>
      </x:c>
      <x:c r="M244" s="56"/>
      <x:c r="N244" s="56" t="str">
        <x:v>Do not assume seller authorization or U.S. sunscreen compliance from a brand page.</x:v>
      </x:c>
      <x:c r="O244" s="56" t="str">
        <x:v>Codex</x:v>
      </x:c>
    </x:row>
    <x:row r="245" ht="96" customHeight="1">
      <x:c r="A245" s="56" t="str">
        <x:v>SRC-SKN-038</x:v>
      </x:c>
      <x:c r="B245" s="56" t="str">
        <x:v>KB004</x:v>
      </x:c>
      <x:c r="C245" s="56" t="str">
        <x:v>Walmart seller and review-program risk</x:v>
      </x:c>
      <x:c r="D245" s="56" t="str">
        <x:v>Sampled Centella Cream offer was sold by Abit Products and fulfilled by Walmart; other seller options and incentivized reviews were present.</x:v>
      </x:c>
      <x:c r="E245" s="56" t="str">
        <x:v>Walmart U.S.</x:v>
      </x:c>
      <x:c r="F245" s="56" t="str">
        <x:v>https://www.walmart.com/ip/796542679</x:v>
      </x:c>
      <x:c r="G245" s="56" t="str">
        <x:v>Marketplace</x:v>
      </x:c>
      <x:c r="H245" s="56"/>
      <x:c r="I245" s="56" t="str">
        <x:v>2026-07-30</x:v>
      </x:c>
      <x:c r="J245" s="56" t="str">
        <x:v>Verified Risk Signal</x:v>
      </x:c>
      <x:c r="K245" s="56" t="str">
        <x:v>High</x:v>
      </x:c>
      <x:c r="L245" s="56" t="str">
        <x:v>Yes</x:v>
      </x:c>
      <x:c r="M245" s="56"/>
      <x:c r="N245" s="56" t="str">
        <x:v>Seller/fulfillment can change; not proof of counterfeit.</x:v>
      </x:c>
      <x:c r="O245" s="56" t="str">
        <x:v>Codex</x:v>
      </x:c>
    </x:row>
    <x:row r="246" ht="96" customHeight="1">
      <x:c r="A246" s="56" t="str">
        <x:v>SRC-SKN-039</x:v>
      </x:c>
      <x:c r="B246" s="56" t="str">
        <x:v>KB004</x:v>
      </x:c>
      <x:c r="C246" s="56" t="str">
        <x:v>Authorized U.S. specialty whitespace</x:v>
      </x:c>
      <x:c r="D246" s="56" t="str">
        <x:v>Official list names Live K-Beauty, oo35mm, Song of Skin, Cupidrop, TokTok Beauty, Ulta, Kira Kira and Olive Kollection.</x:v>
      </x:c>
      <x:c r="E246" s="56" t="str">
        <x:v>SKIN1004 — Stores</x:v>
      </x:c>
      <x:c r="F246" s="56" t="str">
        <x:v>https://www.skin1004.com/pages/stores</x:v>
      </x:c>
      <x:c r="G246" s="56" t="str">
        <x:v>Official Authorization List</x:v>
      </x:c>
      <x:c r="H246" s="56"/>
      <x:c r="I246" s="56" t="str">
        <x:v>2026-07-30</x:v>
      </x:c>
      <x:c r="J246" s="56" t="str">
        <x:v>Verified Distribution Coverage</x:v>
      </x:c>
      <x:c r="K246" s="56" t="str">
        <x:v>High</x:v>
      </x:c>
      <x:c r="L246" s="56" t="str">
        <x:v>Yes</x:v>
      </x:c>
      <x:c r="M246" s="56"/>
      <x:c r="N246" s="56" t="str">
        <x:v>Existing partner network reduces open specialty-channel opportunity.</x:v>
      </x:c>
      <x:c r="O246" s="56" t="str">
        <x:v>Codex</x:v>
      </x:c>
    </x:row>
    <x:row r="247" ht="96" customHeight="1">
      <x:c r="A247" s="56" t="str">
        <x:v>SRC-SKN-040</x:v>
      </x:c>
      <x:c r="B247" s="56" t="str">
        <x:v>KB004</x:v>
      </x:c>
      <x:c r="C247" s="56" t="str">
        <x:v>Reddit — Centella Ampoule positive/mixed review</x:v>
      </x:c>
      <x:c r="D247" s="56" t="str">
        <x:v>Consumer describes quick absorption, redness comfort and soothing, while a commenter reports finishing several bottles without a difference.</x:v>
      </x:c>
      <x:c r="E247" s="56" t="str">
        <x:v>Reddit r/AsianBeauty</x:v>
      </x:c>
      <x:c r="F247" s="56" t="str">
        <x:v>https://www.reddit.com/r/AsianBeauty/comments/tpd8a7</x:v>
      </x:c>
      <x:c r="G247" s="56" t="str">
        <x:v>Consumer Forum</x:v>
      </x:c>
      <x:c r="H247" s="56"/>
      <x:c r="I247" s="56" t="str">
        <x:v>2026-07-30</x:v>
      </x:c>
      <x:c r="J247" s="56" t="str">
        <x:v>Anecdotal Consumer Evidence</x:v>
      </x:c>
      <x:c r="K247" s="56" t="str">
        <x:v>Low-Medium</x:v>
      </x:c>
      <x:c r="L247" s="56" t="str">
        <x:v>Mixed</x:v>
      </x:c>
      <x:c r="M247" s="56"/>
      <x:c r="N247" s="56" t="str">
        <x:v>Self-selected and non-representative.</x:v>
      </x:c>
      <x:c r="O247" s="56" t="str">
        <x:v>Codex</x:v>
      </x:c>
    </x:row>
    <x:row r="248" ht="96" customHeight="1">
      <x:c r="A248" s="56" t="str">
        <x:v>SRC-SKN-041</x:v>
      </x:c>
      <x:c r="B248" s="56" t="str">
        <x:v>KB004</x:v>
      </x:c>
      <x:c r="C248" s="56" t="str">
        <x:v>Reddit — Centella Ampoule polarization</x:v>
      </x:c>
      <x:c r="D248" s="56" t="str">
        <x:v>Large discussion includes calming and redness praise alongside no effect, low hydration, oiliness, bumps, clogged pores and breakouts.</x:v>
      </x:c>
      <x:c r="E248" s="56" t="str">
        <x:v>Reddit r/AsianBeauty</x:v>
      </x:c>
      <x:c r="F248" s="56" t="str">
        <x:v>https://www.reddit.com/r/AsianBeauty/comments/10tfcca/what_has_your_experience_been_with_the_skin1004/</x:v>
      </x:c>
      <x:c r="G248" s="56" t="str">
        <x:v>Consumer Forum</x:v>
      </x:c>
      <x:c r="H248" s="56"/>
      <x:c r="I248" s="56" t="str">
        <x:v>2026-07-30</x:v>
      </x:c>
      <x:c r="J248" s="56" t="str">
        <x:v>Anecdotal Consumer Evidence</x:v>
      </x:c>
      <x:c r="K248" s="56" t="str">
        <x:v>Low-Medium</x:v>
      </x:c>
      <x:c r="L248" s="56" t="str">
        <x:v>Mixed</x:v>
      </x:c>
      <x:c r="M248" s="56"/>
      <x:c r="N248" s="56" t="str">
        <x:v>No causation and no verified-purchase filter.</x:v>
      </x:c>
      <x:c r="O248" s="56" t="str">
        <x:v>Codex</x:v>
      </x:c>
    </x:row>
    <x:row r="249" ht="96" customHeight="1">
      <x:c r="A249" s="56" t="str">
        <x:v>SRC-SKN-042</x:v>
      </x:c>
      <x:c r="B249" s="56" t="str">
        <x:v>KB004</x:v>
      </x:c>
      <x:c r="C249" s="56" t="str">
        <x:v>Reddit — cleansing-oil breakout concern</x:v>
      </x:c>
      <x:c r="D249" s="56" t="str">
        <x:v>June 2026 user reports breakouts/clogging despite repeated emulsification and a second cleanse.</x:v>
      </x:c>
      <x:c r="E249" s="56" t="str">
        <x:v>Reddit r/KoreanBeauty</x:v>
      </x:c>
      <x:c r="F249" s="56" t="str">
        <x:v>https://www.reddit.com/r/KoreanBeauty/comments/1tx0w2v/skin1004_madagascar_centella_light_cleansing_oil/</x:v>
      </x:c>
      <x:c r="G249" s="56" t="str">
        <x:v>Consumer Forum</x:v>
      </x:c>
      <x:c r="H249" s="56" t="str">
        <x:v>2026-06-04</x:v>
      </x:c>
      <x:c r="I249" s="56" t="str">
        <x:v>2026-07-30</x:v>
      </x:c>
      <x:c r="J249" s="56" t="str">
        <x:v>Anecdotal Risk Signal</x:v>
      </x:c>
      <x:c r="K249" s="56" t="str">
        <x:v>Low</x:v>
      </x:c>
      <x:c r="L249" s="56" t="str">
        <x:v>Mixed</x:v>
      </x:c>
      <x:c r="M249" s="56"/>
      <x:c r="N249" s="56" t="str">
        <x:v>Single self-selected account; no causation established.</x:v>
      </x:c>
      <x:c r="O249" s="56" t="str">
        <x:v>Codex</x:v>
      </x:c>
    </x:row>
    <x:row r="250" ht="96" customHeight="1">
      <x:c r="A250" s="56" t="str">
        <x:v>SRC-SKN-043</x:v>
      </x:c>
      <x:c r="B250" s="56" t="str">
        <x:v>KB004</x:v>
      </x:c>
      <x:c r="C250" s="56" t="str">
        <x:v>Reddit — product-line fit</x:v>
      </x:c>
      <x:c r="D250" s="56" t="str">
        <x:v>SKIN1004 discussion includes strong Probio-Cica/centella praise as well as Ampoule Foam breakout reports and mixed line-level fit.</x:v>
      </x:c>
      <x:c r="E250" s="56" t="str">
        <x:v>Reddit r/AsianBeauty</x:v>
      </x:c>
      <x:c r="F250" s="56" t="str">
        <x:v>https://www.reddit.com/r/AsianBeauty/comments/1dyy8xu</x:v>
      </x:c>
      <x:c r="G250" s="56" t="str">
        <x:v>Consumer Forum</x:v>
      </x:c>
      <x:c r="H250" s="56"/>
      <x:c r="I250" s="56" t="str">
        <x:v>2026-07-30</x:v>
      </x:c>
      <x:c r="J250" s="56" t="str">
        <x:v>Anecdotal Consumer Evidence</x:v>
      </x:c>
      <x:c r="K250" s="56" t="str">
        <x:v>Low-Medium</x:v>
      </x:c>
      <x:c r="L250" s="56" t="str">
        <x:v>Mixed</x:v>
      </x:c>
      <x:c r="M250" s="56"/>
      <x:c r="N250" s="56" t="str">
        <x:v>Self-selected community evidence.</x:v>
      </x:c>
      <x:c r="O250" s="56" t="str">
        <x:v>Codex</x:v>
      </x:c>
    </x:row>
    <x:row r="251" ht="96" customHeight="1">
      <x:c r="A251" s="56" t="str">
        <x:v>SRC-SKN-044</x:v>
      </x:c>
      <x:c r="B251" s="56" t="str">
        <x:v>KB004</x:v>
      </x:c>
      <x:c r="C251" s="56" t="str">
        <x:v>Reddit — U.S. sunscreen formula discussion</x:v>
      </x:c>
      <x:c r="D251" s="56" t="str">
        <x:v>Current Ulta-focused discussion distinguishes the U.S. sun serum from the Korean/global formula and highlights texture/filter expectations.</x:v>
      </x:c>
      <x:c r="E251" s="56" t="str">
        <x:v>Reddit r/Ulta</x:v>
      </x:c>
      <x:c r="F251" s="56" t="str">
        <x:v>https://www.reddit.com/r/Ulta/comments/1tnk06q/is_the_skin1004_madagascar_centella_hyalucica/</x:v>
      </x:c>
      <x:c r="G251" s="56" t="str">
        <x:v>Consumer Forum</x:v>
      </x:c>
      <x:c r="H251" s="56"/>
      <x:c r="I251" s="56" t="str">
        <x:v>2026-07-30</x:v>
      </x:c>
      <x:c r="J251" s="56" t="str">
        <x:v>Anecdotal Formula-Confusion Evidence</x:v>
      </x:c>
      <x:c r="K251" s="56" t="str">
        <x:v>Low-Medium</x:v>
      </x:c>
      <x:c r="L251" s="56" t="str">
        <x:v>Yes</x:v>
      </x:c>
      <x:c r="M251" s="56"/>
      <x:c r="N251" s="56" t="str">
        <x:v>Regulator and product labels control formula conclusions.</x:v>
      </x:c>
      <x:c r="O251" s="56" t="str">
        <x:v>Codex</x:v>
      </x:c>
    </x:row>
    <x:row r="252" ht="96" customHeight="1">
      <x:c r="A252" s="56" t="str">
        <x:v>SRC-SKN-045</x:v>
      </x:c>
      <x:c r="B252" s="56" t="str">
        <x:v>KB004</x:v>
      </x:c>
      <x:c r="C252" s="56" t="str">
        <x:v>Reddit — U.S. sun-sale availability context</x:v>
      </x:c>
      <x:c r="D252" s="56" t="str">
        <x:v>Consumers discuss the removal/unavailability of the Korean/global sunscreen in U.S. official channels and alternate sourcing.</x:v>
      </x:c>
      <x:c r="E252" s="56" t="str">
        <x:v>Reddit r/KoreanBeauty</x:v>
      </x:c>
      <x:c r="F252" s="56" t="str">
        <x:v>https://www.reddit.com/r/KoreanBeauty/comments/1ix5ikh/skin1004_sunscreen_sales_in_us/</x:v>
      </x:c>
      <x:c r="G252" s="56" t="str">
        <x:v>Consumer Forum</x:v>
      </x:c>
      <x:c r="H252" s="56"/>
      <x:c r="I252" s="56" t="str">
        <x:v>2026-07-30</x:v>
      </x:c>
      <x:c r="J252" s="56" t="str">
        <x:v>Anecdotal Channel Evidence</x:v>
      </x:c>
      <x:c r="K252" s="56" t="str">
        <x:v>Low-Medium</x:v>
      </x:c>
      <x:c r="L252" s="56" t="str">
        <x:v>Yes</x:v>
      </x:c>
      <x:c r="M252" s="56"/>
      <x:c r="N252" s="56" t="str">
        <x:v>Use official availability notice and DailyMed for the controlling conclusion.</x:v>
      </x:c>
      <x:c r="O252" s="56" t="str">
        <x:v>Codex</x:v>
      </x:c>
    </x:row>
    <x:row r="253" ht="96" customHeight="1">
      <x:c r="A253" s="56" t="str">
        <x:v>SRC-SKN-046</x:v>
      </x:c>
      <x:c r="B253" s="56" t="str">
        <x:v>KB004</x:v>
      </x:c>
      <x:c r="C253" s="56" t="str">
        <x:v>Poremizing official price and claims</x:v>
      </x:c>
      <x:c r="D253" s="56" t="str">
        <x:v>Official collection lists the Clay Stick at $22/$19.80 and describes the pore/sebum-care collection.</x:v>
      </x:c>
      <x:c r="E253" s="56" t="str">
        <x:v>SKIN1004 — Poremizing</x:v>
      </x:c>
      <x:c r="F253" s="56" t="str">
        <x:v>https://www.skin1004.com/collections/poremizing</x:v>
      </x:c>
      <x:c r="G253" s="56" t="str">
        <x:v>Official Collection Page</x:v>
      </x:c>
      <x:c r="H253" s="56"/>
      <x:c r="I253" s="56" t="str">
        <x:v>2026-07-30</x:v>
      </x:c>
      <x:c r="J253" s="56" t="str">
        <x:v>Verified Product / Price Fact</x:v>
      </x:c>
      <x:c r="K253" s="56" t="str">
        <x:v>High</x:v>
      </x:c>
      <x:c r="L253" s="56" t="str">
        <x:v>U.S.-serving site</x:v>
      </x:c>
      <x:c r="M253" s="56"/>
      <x:c r="N253" s="56" t="str">
        <x:v>Sale pricing is dynamic.</x:v>
      </x:c>
      <x:c r="O253" s="56" t="str">
        <x:v>Codex</x:v>
      </x:c>
    </x:row>
    <x:row r="254" ht="96" customHeight="1">
      <x:c r="A254" s="56" t="str">
        <x:v>SRC-SKN-047</x:v>
      </x:c>
      <x:c r="B254" s="56" t="str">
        <x:v>KB004</x:v>
      </x:c>
      <x:c r="C254" s="56" t="str">
        <x:v>Competitor — Anua brightening serum</x:v>
      </x:c>
      <x:c r="D254" s="56" t="str">
        <x:v>Prior direct research captured Anua Niacinamide 10% + TXA 4% Serum at $21.85, 4.5/16,354 and 30K+ bought/month; current 2026 sources confirm continued visibility.</x:v>
      </x:c>
      <x:c r="E254" s="56" t="str">
        <x:v>Amazon U.S.</x:v>
      </x:c>
      <x:c r="F254" s="56" t="str">
        <x:v>https://www.amazon.com/dp/B0CLLV2T1P</x:v>
      </x:c>
      <x:c r="G254" s="56" t="str">
        <x:v>Marketplace / Competitor</x:v>
      </x:c>
      <x:c r="H254" s="56"/>
      <x:c r="I254" s="56" t="str">
        <x:v>2026-07-30</x:v>
      </x:c>
      <x:c r="J254" s="56" t="str">
        <x:v>Verified Competitor Benchmark</x:v>
      </x:c>
      <x:c r="K254" s="56" t="str">
        <x:v>Medium-High</x:v>
      </x:c>
      <x:c r="L254" s="56" t="str">
        <x:v>Yes</x:v>
      </x:c>
      <x:c r="M254" s="56"/>
      <x:c r="N254" s="56" t="str">
        <x:v>Dynamic data; cited prior-day workbook research plus current continuity checks.</x:v>
      </x:c>
      <x:c r="O254" s="56" t="str">
        <x:v>Codex</x:v>
      </x:c>
    </x:row>
    <x:row r="255" ht="96" customHeight="1">
      <x:c r="A255" s="56" t="str">
        <x:v>SRC-SKN-048</x:v>
      </x:c>
      <x:c r="B255" s="56" t="str">
        <x:v>KB004</x:v>
      </x:c>
      <x:c r="C255" s="56" t="str">
        <x:v>Competitor — Beauty of Joseon U.S. sunscreen</x:v>
      </x:c>
      <x:c r="D255" s="56" t="str">
        <x:v>Official page lists Daily Relief Sunscreen SPF 40 at $18 with 485 reviews and identifies a distinct U.S. OTC sunscreen.</x:v>
      </x:c>
      <x:c r="E255" s="56" t="str">
        <x:v>Beauty of Joseon</x:v>
      </x:c>
      <x:c r="F255" s="56" t="str">
        <x:v>https://beautyofjoseon.com/products/daily-relief-sunscreen?country=US&amp;currency=USD</x:v>
      </x:c>
      <x:c r="G255" s="56" t="str">
        <x:v>Official Competitor Site</x:v>
      </x:c>
      <x:c r="H255" s="56"/>
      <x:c r="I255" s="56" t="str">
        <x:v>2026-07-30</x:v>
      </x:c>
      <x:c r="J255" s="56" t="str">
        <x:v>Verified Competitor Fact</x:v>
      </x:c>
      <x:c r="K255" s="56" t="str">
        <x:v>High</x:v>
      </x:c>
      <x:c r="L255" s="56" t="str">
        <x:v>Yes</x:v>
      </x:c>
      <x:c r="M255" s="56"/>
      <x:c r="N255" s="56" t="str">
        <x:v>Price, reviews and availability change.</x:v>
      </x:c>
      <x:c r="O255" s="56" t="str">
        <x:v>Codex</x:v>
      </x:c>
    </x:row>
    <x:row r="256" ht="96" customHeight="1">
      <x:c r="A256" s="56" t="str">
        <x:v>SRC-SKN-049</x:v>
      </x:c>
      <x:c r="B256" s="56" t="str">
        <x:v>KB004</x:v>
      </x:c>
      <x:c r="C256" s="56" t="str">
        <x:v>Competitor — PURITO centella serum</x:v>
      </x:c>
      <x:c r="D256" s="56" t="str">
        <x:v>Official page confirms Wonder Releaf Centella Serum Unscented and current soothing/barrier positioning.</x:v>
      </x:c>
      <x:c r="E256" s="56" t="str">
        <x:v>PURITO SEOUL</x:v>
      </x:c>
      <x:c r="F256" s="56" t="str">
        <x:v>https://purito.com/product/wonder-releaf-centella-serum-unscented/</x:v>
      </x:c>
      <x:c r="G256" s="56" t="str">
        <x:v>Official Competitor Site</x:v>
      </x:c>
      <x:c r="H256" s="56"/>
      <x:c r="I256" s="56" t="str">
        <x:v>2026-07-30</x:v>
      </x:c>
      <x:c r="J256" s="56" t="str">
        <x:v>Verified Competitor Fact</x:v>
      </x:c>
      <x:c r="K256" s="56" t="str">
        <x:v>High</x:v>
      </x:c>
      <x:c r="L256" s="56" t="str">
        <x:v>U.S.-relevant</x:v>
      </x:c>
      <x:c r="M256" s="56"/>
      <x:c r="N256" s="56" t="str">
        <x:v>Current U.S. price/review count not consistently captured.</x:v>
      </x:c>
      <x:c r="O256" s="56" t="str">
        <x:v>Codex</x:v>
      </x:c>
    </x:row>
    <x:row r="257" ht="96" customHeight="1">
      <x:c r="A257" s="56" t="str">
        <x:v>SRC-SKN-050</x:v>
      </x:c>
      <x:c r="B257" s="56" t="str">
        <x:v>KB004</x:v>
      </x:c>
      <x:c r="C257" s="56" t="str">
        <x:v>Competitor — Anua cleansing oil</x:v>
      </x:c>
      <x:c r="D257" s="56" t="str">
        <x:v>Recent Amazon/Woot-linked review display showed Anua Heartleaf Pore Control Cleansing Oil at $14.99, 4.4 and 28,107 reviews.</x:v>
      </x:c>
      <x:c r="E257" s="56" t="str">
        <x:v>Woot / Amazon Reviews</x:v>
      </x:c>
      <x:c r="F257" s="56" t="str">
        <x:v>https://www.woot.com/review/B0BN2PX8V3</x:v>
      </x:c>
      <x:c r="G257" s="56" t="str">
        <x:v>Retailer / Competitor</x:v>
      </x:c>
      <x:c r="H257" s="56"/>
      <x:c r="I257" s="56" t="str">
        <x:v>2026-07-30</x:v>
      </x:c>
      <x:c r="J257" s="56" t="str">
        <x:v>Verified Competitor Display</x:v>
      </x:c>
      <x:c r="K257" s="56" t="str">
        <x:v>Medium-High</x:v>
      </x:c>
      <x:c r="L257" s="56" t="str">
        <x:v>Yes</x:v>
      </x:c>
      <x:c r="M257" s="56"/>
      <x:c r="N257" s="56" t="str">
        <x:v>Offer was sold out and price is dynamic; category-rank context comes from prior direct research.</x:v>
      </x:c>
      <x:c r="O257" s="56" t="str">
        <x:v>Codex</x:v>
      </x:c>
    </x:row>
    <x:row r="258" ht="96" customHeight="1">
      <x:c r="A258" s="56" t="str">
        <x:v>SRC-SKN-051</x:v>
      </x:c>
      <x:c r="B258" s="56" t="str">
        <x:v>KB004</x:v>
      </x:c>
      <x:c r="C258" s="56" t="str">
        <x:v>Competitor — medicube mud mask</x:v>
      </x:c>
      <x:c r="D258" s="56" t="str">
        <x:v>Current Amazon-linked sources showed medicube Zero Pore Blackhead Mud Mask around $18.90, 4.5 and approximately 6.1K reviews.</x:v>
      </x:c>
      <x:c r="E258" s="56" t="str">
        <x:v>Amazon-linked Retail Sources</x:v>
      </x:c>
      <x:c r="F258" s="56" t="str">
        <x:v>https://www.amazon.com/dp/B0D1G7XF9X</x:v>
      </x:c>
      <x:c r="G258" s="56" t="str">
        <x:v>Marketplace / Competitor</x:v>
      </x:c>
      <x:c r="H258" s="56"/>
      <x:c r="I258" s="56" t="str">
        <x:v>2026-07-30</x:v>
      </x:c>
      <x:c r="J258" s="56" t="str">
        <x:v>Verified Competitor Benchmark</x:v>
      </x:c>
      <x:c r="K258" s="56" t="str">
        <x:v>Medium-High</x:v>
      </x:c>
      <x:c r="L258" s="56" t="str">
        <x:v>Yes</x:v>
      </x:c>
      <x:c r="M258" s="56"/>
      <x:c r="N258" s="56" t="str">
        <x:v>Dynamic price/reviews; active-exfoliation claims require normal substantiation.</x:v>
      </x:c>
      <x:c r="O258" s="56" t="str">
        <x:v>Codex</x:v>
      </x:c>
    </x:row>
    <x:row r="259" ht="96" customHeight="1">
      <x:c r="A259" s="56" t="str">
        <x:v>SRC-SKN-052</x:v>
      </x:c>
      <x:c r="B259" s="56" t="str">
        <x:v>KB004</x:v>
      </x:c>
      <x:c r="C259" s="56" t="str">
        <x:v>Craver ownership and U.S. drug-label linkage</x:v>
      </x:c>
      <x:c r="D259" s="56" t="str">
        <x:v>Current DailyMed label names Craver Corporation; Canadian trademark records also show the current SKIN1004 owner changed from SKIN 1004 Co., Ltd. to Craver Corporation in 2025.</x:v>
      </x:c>
      <x:c r="E259" s="56" t="str">
        <x:v>DailyMed / CIPO</x:v>
      </x:c>
      <x:c r="F259" s="56" t="str">
        <x:v>https://dailymed.nlm.nih.gov/dailymed/lookup.cfm?setid=38d8c1c9-86b5-1edd-e063-6394a90aeb47&amp;version=4</x:v>
      </x:c>
      <x:c r="G259" s="56" t="str">
        <x:v>Regulator / Trademark Record</x:v>
      </x:c>
      <x:c r="H259" s="56"/>
      <x:c r="I259" s="56" t="str">
        <x:v>2026-07-30</x:v>
      </x:c>
      <x:c r="J259" s="56" t="str">
        <x:v>Verified Entity Context</x:v>
      </x:c>
      <x:c r="K259" s="56" t="str">
        <x:v>High</x:v>
      </x:c>
      <x:c r="L259" s="56" t="str">
        <x:v>U.S. product / global mark</x:v>
      </x:c>
      <x:c r="M259" s="56"/>
      <x:c r="N259" s="56" t="str">
        <x:v>Confirm current U.S. contracting and responsible-person entities separately.</x:v>
      </x:c>
      <x:c r="O259" s="56" t="str">
        <x:v>Codex</x:v>
      </x:c>
    </x:row>
    <x:row r="260" ht="100" customHeight="1">
      <x:c r="A260" s="56" t="str">
        <x:v>SRC-TIR-001</x:v>
      </x:c>
      <x:c r="B260" s="56" t="str">
        <x:v>KB006</x:v>
      </x:c>
      <x:c r="C260" s="56" t="str">
        <x:v>Core verification — Official Website</x:v>
      </x:c>
      <x:c r="D260" s="56" t="str">
        <x:v>Official U.S.-serving TIRTIR DTC is https://tirtir.global.</x:v>
      </x:c>
      <x:c r="E260" s="56" t="str">
        <x:v>TIRTIR Official</x:v>
      </x:c>
      <x:c r="F260" s="56" t="str">
        <x:v>https://tirtir.global</x:v>
      </x:c>
      <x:c r="G260" s="56" t="str">
        <x:v>Official Brand Site</x:v>
      </x:c>
      <x:c r="H260" s="56"/>
      <x:c r="I260" s="56" t="str">
        <x:v>2026-07-30</x:v>
      </x:c>
      <x:c r="J260" s="56" t="str">
        <x:v>Verified Fact</x:v>
      </x:c>
      <x:c r="K260" s="56" t="str">
        <x:v>High</x:v>
      </x:c>
      <x:c r="L260" s="56" t="str">
        <x:v>Yes</x:v>
      </x:c>
      <x:c r="M260" s="56"/>
      <x:c r="N260" s="56" t="str">
        <x:v>Brand-owned domain and current U.S.-priced storefront.</x:v>
      </x:c>
      <x:c r="O260" s="56" t="str">
        <x:v>Codex</x:v>
      </x:c>
    </x:row>
    <x:row r="261" ht="100" customHeight="1">
      <x:c r="A261" s="56" t="str">
        <x:v>SRC-TIR-002</x:v>
      </x:c>
      <x:c r="B261" s="56" t="str">
        <x:v>KB006</x:v>
      </x:c>
      <x:c r="C261" s="56" t="str">
        <x:v>U.S. operating entity</x:v>
      </x:c>
      <x:c r="D261" s="56" t="str">
        <x:v>Terms state the site is operated by TIRTIR USA Inc. and intended primarily for personal, non-commercial use.</x:v>
      </x:c>
      <x:c r="E261" s="56" t="str">
        <x:v>TIRTIR Terms</x:v>
      </x:c>
      <x:c r="F261" s="56" t="str">
        <x:v>https://tirtir.global/policies/terms-of-service</x:v>
      </x:c>
      <x:c r="G261" s="56" t="str">
        <x:v>Official Legal Page</x:v>
      </x:c>
      <x:c r="H261" s="56"/>
      <x:c r="I261" s="56" t="str">
        <x:v>2026-07-30</x:v>
      </x:c>
      <x:c r="J261" s="56" t="str">
        <x:v>Verified Entity / Channel Fact</x:v>
      </x:c>
      <x:c r="K261" s="56" t="str">
        <x:v>High</x:v>
      </x:c>
      <x:c r="L261" s="56" t="str">
        <x:v>Yes</x:v>
      </x:c>
      <x:c r="M261" s="56"/>
      <x:c r="N261" s="56" t="str">
        <x:v>Exact wholesale/contracting entity still requires confirmation.</x:v>
      </x:c>
      <x:c r="O261" s="56" t="str">
        <x:v>Codex</x:v>
      </x:c>
    </x:row>
    <x:row r="262" ht="100" customHeight="1">
      <x:c r="A262" s="56" t="str">
        <x:v>SRC-TIR-003</x:v>
      </x:c>
      <x:c r="B262" s="56" t="str">
        <x:v>KB006</x:v>
      </x:c>
      <x:c r="C262" s="56" t="str">
        <x:v>Primary category and assortment</x:v>
      </x:c>
      <x:c r="D262" s="56" t="str">
        <x:v>Official shop shows makeup led by cushions, foundation, concealer, setting spray, primer, lips and blush, plus a broad secondary skincare portfolio.</x:v>
      </x:c>
      <x:c r="E262" s="56" t="str">
        <x:v>TIRTIR Shop All</x:v>
      </x:c>
      <x:c r="F262" s="56" t="str">
        <x:v>https://tirtir.global/collections/shop-all</x:v>
      </x:c>
      <x:c r="G262" s="56" t="str">
        <x:v>Official Collection Page</x:v>
      </x:c>
      <x:c r="H262" s="56"/>
      <x:c r="I262" s="56" t="str">
        <x:v>2026-07-30</x:v>
      </x:c>
      <x:c r="J262" s="56" t="str">
        <x:v>Verified Category Fact</x:v>
      </x:c>
      <x:c r="K262" s="56" t="str">
        <x:v>High</x:v>
      </x:c>
      <x:c r="L262" s="56" t="str">
        <x:v>Yes</x:v>
      </x:c>
      <x:c r="M262" s="56"/>
      <x:c r="N262" s="56" t="str">
        <x:v>Supports verified Makeup-led / secondary skincare classification.</x:v>
      </x:c>
      <x:c r="O262" s="56" t="str">
        <x:v>Codex</x:v>
      </x:c>
    </x:row>
    <x:row r="263" ht="100" customHeight="1">
      <x:c r="A263" s="56" t="str">
        <x:v>SRC-TIR-004</x:v>
      </x:c>
      <x:c r="B263" s="56" t="str">
        <x:v>KB006</x:v>
      </x:c>
      <x:c r="C263" s="56" t="str">
        <x:v>TikTok Shop awareness</x:v>
      </x:c>
      <x:c r="D263" s="56" t="str">
        <x:v>Official U.S. shop displayed 868.9K+ followers, 990.1K sold, 1,065 videos and large product sold counts.</x:v>
      </x:c>
      <x:c r="E263" s="56" t="str">
        <x:v>TikTok Shop U.S.</x:v>
      </x:c>
      <x:c r="F263" s="56" t="str">
        <x:v>https://shop.tiktok.com/us/store/tirtir-inc/7495857443730262618</x:v>
      </x:c>
      <x:c r="G263" s="56" t="str">
        <x:v>Official Social-Commerce Platform</x:v>
      </x:c>
      <x:c r="H263" s="56"/>
      <x:c r="I263" s="56" t="str">
        <x:v>2026-07-30</x:v>
      </x:c>
      <x:c r="J263" s="56" t="str">
        <x:v>Verified Platform Display</x:v>
      </x:c>
      <x:c r="K263" s="56" t="str">
        <x:v>Medium-High</x:v>
      </x:c>
      <x:c r="L263" s="56" t="str">
        <x:v>Yes</x:v>
      </x:c>
      <x:c r="M263" s="56"/>
      <x:c r="N263" s="56" t="str">
        <x:v>Dynamic cumulative display; not audited period sales.</x:v>
      </x:c>
      <x:c r="O263" s="56" t="str">
        <x:v>Codex</x:v>
      </x:c>
    </x:row>
    <x:row r="264" ht="100" customHeight="1">
      <x:c r="A264" s="56" t="str">
        <x:v>SRC-TIR-005</x:v>
      </x:c>
      <x:c r="B264" s="56" t="str">
        <x:v>KB006</x:v>
      </x:c>
      <x:c r="C264" s="56" t="str">
        <x:v>Instagram awareness</x:v>
      </x:c>
      <x:c r="D264" s="56" t="str">
        <x:v>Verified @tirtir_global profile displayed 791,387 followers.</x:v>
      </x:c>
      <x:c r="E264" s="56" t="str">
        <x:v>Instagram</x:v>
      </x:c>
      <x:c r="F264" s="56" t="str">
        <x:v>https://www.instagram.com/tirtir_global/</x:v>
      </x:c>
      <x:c r="G264" s="56" t="str">
        <x:v>Official Social Platform</x:v>
      </x:c>
      <x:c r="H264" s="56"/>
      <x:c r="I264" s="56" t="str">
        <x:v>2026-07-30</x:v>
      </x:c>
      <x:c r="J264" s="56" t="str">
        <x:v>Verified Platform Display</x:v>
      </x:c>
      <x:c r="K264" s="56" t="str">
        <x:v>High</x:v>
      </x:c>
      <x:c r="L264" s="56" t="str">
        <x:v>Yes</x:v>
      </x:c>
      <x:c r="M264" s="56"/>
      <x:c r="N264" s="56" t="str">
        <x:v>Global follower base; not U.S.-only.</x:v>
      </x:c>
      <x:c r="O264" s="56" t="str">
        <x:v>Codex</x:v>
      </x:c>
    </x:row>
    <x:row r="265" ht="100" customHeight="1">
      <x:c r="A265" s="56" t="str">
        <x:v>SRC-TIR-006</x:v>
      </x:c>
      <x:c r="B265" s="56" t="str">
        <x:v>KB006</x:v>
      </x:c>
      <x:c r="C265" s="56" t="str">
        <x:v>Official U.S. retailer locator</x:v>
      </x:c>
      <x:c r="D265" s="56" t="str">
        <x:v>Brand-owned retailer page emphasizes Ulta offline stores and confirms the current U.S. national specialty relationship.</x:v>
      </x:c>
      <x:c r="E265" s="56" t="str">
        <x:v>TIRTIR Retailers</x:v>
      </x:c>
      <x:c r="F265" s="56" t="str">
        <x:v>https://tirtir.global/pages/retailers</x:v>
      </x:c>
      <x:c r="G265" s="56" t="str">
        <x:v>Official Retailer Locator</x:v>
      </x:c>
      <x:c r="H265" s="56"/>
      <x:c r="I265" s="56" t="str">
        <x:v>2026-07-30</x:v>
      </x:c>
      <x:c r="J265" s="56" t="str">
        <x:v>Verified Channel Fact</x:v>
      </x:c>
      <x:c r="K265" s="56" t="str">
        <x:v>High</x:v>
      </x:c>
      <x:c r="L265" s="56" t="str">
        <x:v>Yes</x:v>
      </x:c>
      <x:c r="M265" s="56"/>
      <x:c r="N265" s="56" t="str">
        <x:v>Exact doors and exclusivity require confirmation.</x:v>
      </x:c>
      <x:c r="O265" s="56" t="str">
        <x:v>Codex</x:v>
      </x:c>
    </x:row>
    <x:row r="266" ht="100" customHeight="1">
      <x:c r="A266" s="56" t="str">
        <x:v>SRC-TIR-007</x:v>
      </x:c>
      <x:c r="B266" s="56" t="str">
        <x:v>KB006</x:v>
      </x:c>
      <x:c r="C266" s="56" t="str">
        <x:v>Ownership and U.S. infrastructure</x:v>
      </x:c>
      <x:c r="D266" s="56" t="str">
        <x:v>GOODAI acquired TIRTIR in Aug. 2024, Hansung USA in Feb. 2026 and established GOODAI GLOBAL USA in Apr. 2026.</x:v>
      </x:c>
      <x:c r="E266" s="56" t="str">
        <x:v>GOODAI GLOBAL Milestones</x:v>
      </x:c>
      <x:c r="F266" s="56" t="str">
        <x:v>https://www.goodai-global.com/en/company/history</x:v>
      </x:c>
      <x:c r="G266" s="56" t="str">
        <x:v>Official Corporate Site</x:v>
      </x:c>
      <x:c r="H266" s="56"/>
      <x:c r="I266" s="56" t="str">
        <x:v>2026-07-30</x:v>
      </x:c>
      <x:c r="J266" s="56" t="str">
        <x:v>Verified Ownership / Distribution Context</x:v>
      </x:c>
      <x:c r="K266" s="56" t="str">
        <x:v>High</x:v>
      </x:c>
      <x:c r="L266" s="56" t="str">
        <x:v>Yes</x:v>
      </x:c>
      <x:c r="M266" s="56"/>
      <x:c r="N266" s="56" t="str">
        <x:v>Materially reduces independent distributor whitespace.</x:v>
      </x:c>
      <x:c r="O266" s="56" t="str">
        <x:v>Codex</x:v>
      </x:c>
    </x:row>
    <x:row r="267" ht="100" customHeight="1">
      <x:c r="A267" s="56" t="str">
        <x:v>SRC-TIR-008</x:v>
      </x:c>
      <x:c r="B267" s="56" t="str">
        <x:v>KB006</x:v>
      </x:c>
      <x:c r="C267" s="56" t="str">
        <x:v>Korean company and business contacts</x:v>
      </x:c>
      <x:c r="D267" s="56" t="str">
        <x:v>Official Korean terms identify TIRTIR Co., Ltd. and publish export/partnership contacts.</x:v>
      </x:c>
      <x:c r="E267" s="56" t="str">
        <x:v>TIRTIR Korea Agreement</x:v>
      </x:c>
      <x:c r="F267" s="56" t="str">
        <x:v>https://m.tirtir.co.kr/service/agreement.php</x:v>
      </x:c>
      <x:c r="G267" s="56" t="str">
        <x:v>Official Legal / Contact Page</x:v>
      </x:c>
      <x:c r="H267" s="56"/>
      <x:c r="I267" s="56" t="str">
        <x:v>2026-07-30</x:v>
      </x:c>
      <x:c r="J267" s="56" t="str">
        <x:v>Verified Entity / Contact Fact</x:v>
      </x:c>
      <x:c r="K267" s="56" t="str">
        <x:v>High</x:v>
      </x:c>
      <x:c r="L267" s="56" t="str">
        <x:v>Yes</x:v>
      </x:c>
      <x:c r="M267" s="56"/>
      <x:c r="N267" s="56" t="str">
        <x:v>Use raheelim@tirtir.co.kr and biz@tirtir.co.kr only for authorized outreach.</x:v>
      </x:c>
      <x:c r="O267" s="56" t="str">
        <x:v>Codex</x:v>
      </x:c>
    </x:row>
    <x:row r="268" ht="100" customHeight="1">
      <x:c r="A268" s="56" t="str">
        <x:v>SRC-TIR-009</x:v>
      </x:c>
      <x:c r="B268" s="56" t="str">
        <x:v>KB006</x:v>
      </x:c>
      <x:c r="C268" s="56" t="str">
        <x:v>U.S. address and entity continuity</x:v>
      </x:c>
      <x:c r="D268" s="56" t="str">
        <x:v>Privacy policy identifies TIRTIR USA Inc. and a Cypress, California address.</x:v>
      </x:c>
      <x:c r="E268" s="56" t="str">
        <x:v>TIRTIR Privacy Policy</x:v>
      </x:c>
      <x:c r="F268" s="56" t="str">
        <x:v>https://tirtir.global/policies/privacy-policy</x:v>
      </x:c>
      <x:c r="G268" s="56" t="str">
        <x:v>Official Legal Page</x:v>
      </x:c>
      <x:c r="H268" s="56" t="str">
        <x:v>2024-12-02</x:v>
      </x:c>
      <x:c r="I268" s="56" t="str">
        <x:v>2026-07-30</x:v>
      </x:c>
      <x:c r="J268" s="56" t="str">
        <x:v>Verified Entity Fact</x:v>
      </x:c>
      <x:c r="K268" s="56" t="str">
        <x:v>High</x:v>
      </x:c>
      <x:c r="L268" s="56" t="str">
        <x:v>Yes</x:v>
      </x:c>
      <x:c r="M268" s="56"/>
      <x:c r="N268" s="56" t="str">
        <x:v>Confirm current address and invoicing entity before contracting.</x:v>
      </x:c>
      <x:c r="O268" s="56" t="str">
        <x:v>Codex</x:v>
      </x:c>
    </x:row>
    <x:row r="269" ht="100" customHeight="1">
      <x:c r="A269" s="56" t="str">
        <x:v>SRC-TIR-010</x:v>
      </x:c>
      <x:c r="B269" s="56" t="str">
        <x:v>KB006</x:v>
      </x:c>
      <x:c r="C269" s="56" t="str">
        <x:v>2026 U.S. consumer award</x:v>
      </x:c>
      <x:c r="D269" s="56" t="str">
        <x:v>GOODAI states Red Cushion won Allure 2026 Readers' Choice Favorite K-Beauty Product.</x:v>
      </x:c>
      <x:c r="E269" s="56" t="str">
        <x:v>GOODAI Newsroom</x:v>
      </x:c>
      <x:c r="F269" s="56" t="str">
        <x:v>https://www.goodai-global.com/ko/newsroom/news/17</x:v>
      </x:c>
      <x:c r="G269" s="56" t="str">
        <x:v>Official Corporate News</x:v>
      </x:c>
      <x:c r="H269" s="56" t="str">
        <x:v>2026-07-09</x:v>
      </x:c>
      <x:c r="I269" s="56" t="str">
        <x:v>2026-07-30</x:v>
      </x:c>
      <x:c r="J269" s="56" t="str">
        <x:v>Verified Award Fact</x:v>
      </x:c>
      <x:c r="K269" s="56" t="str">
        <x:v>High</x:v>
      </x:c>
      <x:c r="L269" s="56" t="str">
        <x:v>Yes</x:v>
      </x:c>
      <x:c r="M269" s="56"/>
      <x:c r="N269" s="56" t="str">
        <x:v>Allure methodology is reader-voted.</x:v>
      </x:c>
      <x:c r="O269" s="56" t="str">
        <x:v>Codex</x:v>
      </x:c>
    </x:row>
    <x:row r="270" ht="100" customHeight="1">
      <x:c r="A270" s="56" t="str">
        <x:v>SRC-TIR-011</x:v>
      </x:c>
      <x:c r="B270" s="56" t="str">
        <x:v>KB006</x:v>
      </x:c>
      <x:c r="C270" s="56" t="str">
        <x:v>Shade expansion and viral awareness</x:v>
      </x:c>
      <x:c r="D270" s="56" t="str">
        <x:v>Teen Vogue documents expansion from 3 to 40 shades in under a year and creator-driven BeautyTok momentum.</x:v>
      </x:c>
      <x:c r="E270" s="56" t="str">
        <x:v>Teen Vogue</x:v>
      </x:c>
      <x:c r="F270" s="56" t="str">
        <x:v>https://www.teenvogue.com/story/tirtir-viral-red-cushion-foundation-shade-expansion-interview</x:v>
      </x:c>
      <x:c r="G270" s="56" t="str">
        <x:v>Editorial Interview</x:v>
      </x:c>
      <x:c r="H270" s="56" t="str">
        <x:v>2024-08-21</x:v>
      </x:c>
      <x:c r="I270" s="56" t="str">
        <x:v>2026-07-30</x:v>
      </x:c>
      <x:c r="J270" s="56" t="str">
        <x:v>Verified Historical Awareness Evidence</x:v>
      </x:c>
      <x:c r="K270" s="56" t="str">
        <x:v>High</x:v>
      </x:c>
      <x:c r="L270" s="56" t="str">
        <x:v>Yes</x:v>
      </x:c>
      <x:c r="M270" s="56"/>
      <x:c r="N270" s="56" t="str">
        <x:v>Replaces the controlling source's outdated 30-shade description.</x:v>
      </x:c>
      <x:c r="O270" s="56" t="str">
        <x:v>Codex</x:v>
      </x:c>
    </x:row>
    <x:row r="271" ht="100" customHeight="1">
      <x:c r="A271" s="56" t="str">
        <x:v>SRC-TIR-012</x:v>
      </x:c>
      <x:c r="B271" s="56" t="str">
        <x:v>KB006</x:v>
      </x:c>
      <x:c r="C271" s="56" t="str">
        <x:v>2025 editorial award</x:v>
      </x:c>
      <x:c r="D271" s="56" t="str">
        <x:v>Allure lists Mask Fit Makeup Fixer as the 2025 Best of Beauty setting-spray winner.</x:v>
      </x:c>
      <x:c r="E271" s="56" t="str">
        <x:v>Allure</x:v>
      </x:c>
      <x:c r="F271" s="56" t="str">
        <x:v>https://www.allure.com/story/best-of-beauty-2025-all-winners-index</x:v>
      </x:c>
      <x:c r="G271" s="56" t="str">
        <x:v>Editorial Award</x:v>
      </x:c>
      <x:c r="H271" s="56" t="str">
        <x:v>2025-09-16</x:v>
      </x:c>
      <x:c r="I271" s="56" t="str">
        <x:v>2026-07-30</x:v>
      </x:c>
      <x:c r="J271" s="56" t="str">
        <x:v>Verified Award Fact</x:v>
      </x:c>
      <x:c r="K271" s="56" t="str">
        <x:v>High</x:v>
      </x:c>
      <x:c r="L271" s="56" t="str">
        <x:v>Yes</x:v>
      </x:c>
      <x:c r="M271" s="56"/>
      <x:c r="N271" s="56" t="str">
        <x:v>Award pertains to Makeup Fixer, not Waterproof Setting Spray.</x:v>
      </x:c>
      <x:c r="O271" s="56" t="str">
        <x:v>Codex</x:v>
      </x:c>
    </x:row>
    <x:row r="272" ht="100" customHeight="1">
      <x:c r="A272" s="56" t="str">
        <x:v>SRC-TIR-013</x:v>
      </x:c>
      <x:c r="B272" s="56" t="str">
        <x:v>KB006</x:v>
      </x:c>
      <x:c r="C272" s="56" t="str">
        <x:v>Shade-expansion video scale</x:v>
      </x:c>
      <x:c r="D272" s="56" t="str">
        <x:v>Official YouTube shade-expansion video displayed approximately 2.40M views and 128K likes during direct review.</x:v>
      </x:c>
      <x:c r="E272" s="56" t="str">
        <x:v>TIRTIR Global YouTube</x:v>
      </x:c>
      <x:c r="F272" s="56" t="str">
        <x:v>https://www.youtube.com/watch?v=0TkiUsl0rZQ</x:v>
      </x:c>
      <x:c r="G272" s="56" t="str">
        <x:v>Official Video Platform</x:v>
      </x:c>
      <x:c r="H272" s="56" t="str">
        <x:v>2024-05-30</x:v>
      </x:c>
      <x:c r="I272" s="56" t="str">
        <x:v>2026-07-30</x:v>
      </x:c>
      <x:c r="J272" s="56" t="str">
        <x:v>Verified Platform Display</x:v>
      </x:c>
      <x:c r="K272" s="56" t="str">
        <x:v>Medium-High</x:v>
      </x:c>
      <x:c r="L272" s="56" t="str">
        <x:v>Yes</x:v>
      </x:c>
      <x:c r="M272" s="56"/>
      <x:c r="N272" s="56" t="str">
        <x:v>Dynamic lifetime engagement.</x:v>
      </x:c>
      <x:c r="O272" s="56" t="str">
        <x:v>Codex</x:v>
      </x:c>
    </x:row>
    <x:row r="273" ht="100" customHeight="1">
      <x:c r="A273" s="56" t="str">
        <x:v>SRC-TIR-014</x:v>
      </x:c>
      <x:c r="B273" s="56" t="str">
        <x:v>KB006</x:v>
      </x:c>
      <x:c r="C273" s="56" t="str">
        <x:v>Allure award corporate confirmation</x:v>
      </x:c>
      <x:c r="D273" s="56" t="str">
        <x:v>GOODAI newsroom confirms consecutive Allure recognition for Makeup Fixer and Red Cushion.</x:v>
      </x:c>
      <x:c r="E273" s="56" t="str">
        <x:v>GOODAI Newsroom</x:v>
      </x:c>
      <x:c r="F273" s="56" t="str">
        <x:v>https://www.goodai-global.com/ko/newsroom/news/17</x:v>
      </x:c>
      <x:c r="G273" s="56" t="str">
        <x:v>Official Corporate News</x:v>
      </x:c>
      <x:c r="H273" s="56" t="str">
        <x:v>2026-07-09</x:v>
      </x:c>
      <x:c r="I273" s="56" t="str">
        <x:v>2026-07-30</x:v>
      </x:c>
      <x:c r="J273" s="56" t="str">
        <x:v>Verified Awareness Evidence</x:v>
      </x:c>
      <x:c r="K273" s="56" t="str">
        <x:v>High</x:v>
      </x:c>
      <x:c r="L273" s="56" t="str">
        <x:v>Yes</x:v>
      </x:c>
      <x:c r="M273" s="56"/>
      <x:c r="N273" s="56" t="str">
        <x:v>Corporate source; underlying Allure pages also reviewed.</x:v>
      </x:c>
      <x:c r="O273" s="56" t="str">
        <x:v>Codex</x:v>
      </x:c>
    </x:row>
    <x:row r="274" ht="100" customHeight="1">
      <x:c r="A274" s="56" t="str">
        <x:v>SRC-TIR-015</x:v>
      </x:c>
      <x:c r="B274" s="56" t="str">
        <x:v>KB006</x:v>
      </x:c>
      <x:c r="C274" s="56" t="str">
        <x:v>Ulta assortment and awareness</x:v>
      </x:c>
      <x:c r="D274" s="56" t="str">
        <x:v>Ulta brand page displayed 25 TIRTIR products across makeup, skincare and U.S. sunscreen.</x:v>
      </x:c>
      <x:c r="E274" s="56" t="str">
        <x:v>Ulta Beauty</x:v>
      </x:c>
      <x:c r="F274" s="56" t="str">
        <x:v>https://www.ulta.com/brand/tirtir</x:v>
      </x:c>
      <x:c r="G274" s="56" t="str">
        <x:v>Authorized Retailer</x:v>
      </x:c>
      <x:c r="H274" s="56"/>
      <x:c r="I274" s="56" t="str">
        <x:v>2026-07-30</x:v>
      </x:c>
      <x:c r="J274" s="56" t="str">
        <x:v>Verified Retailer Display</x:v>
      </x:c>
      <x:c r="K274" s="56" t="str">
        <x:v>High</x:v>
      </x:c>
      <x:c r="L274" s="56" t="str">
        <x:v>Yes</x:v>
      </x:c>
      <x:c r="M274" s="56"/>
      <x:c r="N274" s="56" t="str">
        <x:v>Item count, prices and offers are dynamic.</x:v>
      </x:c>
      <x:c r="O274" s="56" t="str">
        <x:v>Codex</x:v>
      </x:c>
    </x:row>
    <x:row r="275" ht="100" customHeight="1">
      <x:c r="A275" s="56" t="str">
        <x:v>SRC-TIR-016</x:v>
      </x:c>
      <x:c r="B275" s="56" t="str">
        <x:v>KB006</x:v>
      </x:c>
      <x:c r="C275" s="56" t="str">
        <x:v>Amazon — Waterproof Setting Spray</x:v>
      </x:c>
      <x:c r="D275" s="56" t="str">
        <x:v>Direct check showed $12.75, 4.4/1,416, 20K+ bought/month, #313 Beauty, #3 Foundation Primers, sold by TIRTIR. INC and shipped by Amazon.</x:v>
      </x:c>
      <x:c r="E275" s="56" t="str">
        <x:v>Amazon U.S.</x:v>
      </x:c>
      <x:c r="F275" s="56" t="str">
        <x:v>https://www.amazon.com/dp/B0DZMMBF3J</x:v>
      </x:c>
      <x:c r="G275" s="56" t="str">
        <x:v>Marketplace</x:v>
      </x:c>
      <x:c r="H275" s="56"/>
      <x:c r="I275" s="56" t="str">
        <x:v>2026-07-30</x:v>
      </x:c>
      <x:c r="J275" s="56" t="str">
        <x:v>Verified Platform Display</x:v>
      </x:c>
      <x:c r="K275" s="56" t="str">
        <x:v>High</x:v>
      </x:c>
      <x:c r="L275" s="56" t="str">
        <x:v>Yes</x:v>
      </x:c>
      <x:c r="M275" s="56"/>
      <x:c r="N275" s="56" t="str">
        <x:v>ASIN B0DZMMBF3J; category mapping is imperfect.</x:v>
      </x:c>
      <x:c r="O275" s="56" t="str">
        <x:v>Codex</x:v>
      </x:c>
    </x:row>
    <x:row r="276" ht="100" customHeight="1">
      <x:c r="A276" s="56" t="str">
        <x:v>SRC-TIR-017</x:v>
      </x:c>
      <x:c r="B276" s="56" t="str">
        <x:v>KB006</x:v>
      </x:c>
      <x:c r="C276" s="56" t="str">
        <x:v>Amazon — Makeup Fixer</x:v>
      </x:c>
      <x:c r="D276" s="56" t="str">
        <x:v>Direct check showed $12.75, 4.4/5,431 and 10K+ bought/month, sold by TIRTIR. INC and shipped by Amazon.</x:v>
      </x:c>
      <x:c r="E276" s="56" t="str">
        <x:v>Amazon U.S.</x:v>
      </x:c>
      <x:c r="F276" s="56" t="str">
        <x:v>https://www.amazon.com/dp/B0BT1D5J52</x:v>
      </x:c>
      <x:c r="G276" s="56" t="str">
        <x:v>Marketplace</x:v>
      </x:c>
      <x:c r="H276" s="56"/>
      <x:c r="I276" s="56" t="str">
        <x:v>2026-07-30</x:v>
      </x:c>
      <x:c r="J276" s="56" t="str">
        <x:v>Verified Platform Display</x:v>
      </x:c>
      <x:c r="K276" s="56" t="str">
        <x:v>High</x:v>
      </x:c>
      <x:c r="L276" s="56" t="str">
        <x:v>Yes</x:v>
      </x:c>
      <x:c r="M276" s="56"/>
      <x:c r="N276" s="56" t="str">
        <x:v>Excluded from lower-bound math due possible parent-family overlap with Waterproof Spray.</x:v>
      </x:c>
      <x:c r="O276" s="56" t="str">
        <x:v>Codex</x:v>
      </x:c>
    </x:row>
    <x:row r="277" ht="100" customHeight="1">
      <x:c r="A277" s="56" t="str">
        <x:v>SRC-TIR-018</x:v>
      </x:c>
      <x:c r="B277" s="56" t="str">
        <x:v>KB006</x:v>
      </x:c>
      <x:c r="C277" s="56" t="str">
        <x:v>Amazon — Milk Skin Toner</x:v>
      </x:c>
      <x:c r="D277" s="56" t="str">
        <x:v>Direct check showed $20, 4.6/8,107, 9K+ bought/month, #1,166 Beauty and #14 Facial Toners, official seller/Amazon fulfillment.</x:v>
      </x:c>
      <x:c r="E277" s="56" t="str">
        <x:v>Amazon U.S.</x:v>
      </x:c>
      <x:c r="F277" s="56" t="str">
        <x:v>https://www.amazon.com/dp/B0CG1H8YRS</x:v>
      </x:c>
      <x:c r="G277" s="56" t="str">
        <x:v>Marketplace</x:v>
      </x:c>
      <x:c r="H277" s="56"/>
      <x:c r="I277" s="56" t="str">
        <x:v>2026-07-30</x:v>
      </x:c>
      <x:c r="J277" s="56" t="str">
        <x:v>Verified Platform Display</x:v>
      </x:c>
      <x:c r="K277" s="56" t="str">
        <x:v>High</x:v>
      </x:c>
      <x:c r="L277" s="56" t="str">
        <x:v>Yes</x:v>
      </x:c>
      <x:c r="M277" s="56"/>
      <x:c r="N277" s="56" t="str">
        <x:v>ASIN B0CG1H8YRS.</x:v>
      </x:c>
      <x:c r="O277" s="56" t="str">
        <x:v>Codex</x:v>
      </x:c>
    </x:row>
    <x:row r="278" ht="100" customHeight="1">
      <x:c r="A278" s="56" t="str">
        <x:v>SRC-TIR-019</x:v>
      </x:c>
      <x:c r="B278" s="56" t="str">
        <x:v>KB006</x:v>
      </x:c>
      <x:c r="C278" s="56" t="str">
        <x:v>Amazon — Red Cushion shade</x:v>
      </x:c>
      <x:c r="D278" s="56" t="str">
        <x:v>Direct #21N check showed $18.75, 4.3/7,927, 1K+ bought/month, #802 Beauty and #10 Foundation Makeup, official seller/Amazon fulfillment.</x:v>
      </x:c>
      <x:c r="E278" s="56" t="str">
        <x:v>Amazon U.S.</x:v>
      </x:c>
      <x:c r="F278" s="56" t="str">
        <x:v>https://www.amazon.com/dp/B09LCMQM44</x:v>
      </x:c>
      <x:c r="G278" s="56" t="str">
        <x:v>Marketplace</x:v>
      </x:c>
      <x:c r="H278" s="56"/>
      <x:c r="I278" s="56" t="str">
        <x:v>2026-07-30</x:v>
      </x:c>
      <x:c r="J278" s="56" t="str">
        <x:v>Verified Platform Display</x:v>
      </x:c>
      <x:c r="K278" s="56" t="str">
        <x:v>High</x:v>
      </x:c>
      <x:c r="L278" s="56" t="str">
        <x:v>Yes</x:v>
      </x:c>
      <x:c r="M278" s="56"/>
      <x:c r="N278" s="56" t="str">
        <x:v>Shade-specific ASIN; aggregate cushion demand is understated.</x:v>
      </x:c>
      <x:c r="O278" s="56" t="str">
        <x:v>Codex</x:v>
      </x:c>
    </x:row>
    <x:row r="279" ht="100" customHeight="1">
      <x:c r="A279" s="56" t="str">
        <x:v>SRC-TIR-020</x:v>
      </x:c>
      <x:c r="B279" s="56" t="str">
        <x:v>KB006</x:v>
      </x:c>
      <x:c r="C279" s="56" t="str">
        <x:v>Amazon — Ceramic Milk Ampoule</x:v>
      </x:c>
      <x:c r="D279" s="56" t="str">
        <x:v>Direct check showed $20, 4.6/2,184, 3K+ bought/month, #5,368 Beauty and #146 Facial Serums, official seller/Amazon fulfillment.</x:v>
      </x:c>
      <x:c r="E279" s="56" t="str">
        <x:v>Amazon U.S.</x:v>
      </x:c>
      <x:c r="F279" s="56" t="str">
        <x:v>https://www.amazon.com/dp/B0BSLFPGXT</x:v>
      </x:c>
      <x:c r="G279" s="56" t="str">
        <x:v>Marketplace</x:v>
      </x:c>
      <x:c r="H279" s="56"/>
      <x:c r="I279" s="56" t="str">
        <x:v>2026-07-30</x:v>
      </x:c>
      <x:c r="J279" s="56" t="str">
        <x:v>Verified Platform Display</x:v>
      </x:c>
      <x:c r="K279" s="56" t="str">
        <x:v>High</x:v>
      </x:c>
      <x:c r="L279" s="56" t="str">
        <x:v>Yes</x:v>
      </x:c>
      <x:c r="M279" s="56"/>
      <x:c r="N279" s="56" t="str">
        <x:v>Used only in brand-level Amazon lower-bound proxy.</x:v>
      </x:c>
      <x:c r="O279" s="56" t="str">
        <x:v>Codex</x:v>
      </x:c>
    </x:row>
    <x:row r="280" ht="100" customHeight="1">
      <x:c r="A280" s="56" t="str">
        <x:v>SRC-TIR-021</x:v>
      </x:c>
      <x:c r="B280" s="56" t="str">
        <x:v>KB006</x:v>
      </x:c>
      <x:c r="C280" s="56" t="str">
        <x:v>Amazon breadth and AI Cushion variants</x:v>
      </x:c>
      <x:c r="D280" s="56" t="str">
        <x:v>Amazon search displayed about 170 TIRTIR results; sampled AI Cushion shades showed $18.75 and 200–300+ bought/month with roughly 4.0–4.2 ratings.</x:v>
      </x:c>
      <x:c r="E280" s="56" t="str">
        <x:v>Amazon U.S. Search</x:v>
      </x:c>
      <x:c r="F280" s="56" t="str">
        <x:v>https://www.amazon.com/s?k=TIRTIR</x:v>
      </x:c>
      <x:c r="G280" s="56" t="str">
        <x:v>Marketplace Search</x:v>
      </x:c>
      <x:c r="H280" s="56"/>
      <x:c r="I280" s="56" t="str">
        <x:v>2026-07-30</x:v>
      </x:c>
      <x:c r="J280" s="56" t="str">
        <x:v>Verified Platform Display</x:v>
      </x:c>
      <x:c r="K280" s="56" t="str">
        <x:v>Medium-High</x:v>
      </x:c>
      <x:c r="L280" s="56" t="str">
        <x:v>Yes</x:v>
      </x:c>
      <x:c r="M280" s="56"/>
      <x:c r="N280" s="56" t="str">
        <x:v>Do not sum fragmented shades without deduplication.</x:v>
      </x:c>
      <x:c r="O280" s="56" t="str">
        <x:v>Codex</x:v>
      </x:c>
    </x:row>
    <x:row r="281" ht="100" customHeight="1">
      <x:c r="A281" s="56" t="str">
        <x:v>SRC-TIR-022</x:v>
      </x:c>
      <x:c r="B281" s="56" t="str">
        <x:v>KB006</x:v>
      </x:c>
      <x:c r="C281" s="56" t="str">
        <x:v>Red Cushion product facts</x:v>
      </x:c>
      <x:c r="D281" s="56" t="str">
        <x:v>Official page lists 40 shades, 18 g, $25 MSRP/$18.75 observed sale and 4.7/777.</x:v>
      </x:c>
      <x:c r="E281" s="56" t="str">
        <x:v>TIRTIR Official</x:v>
      </x:c>
      <x:c r="F281" s="56" t="str">
        <x:v>https://tirtir.global/collections/cushion/products/mask-fit-red-cushion</x:v>
      </x:c>
      <x:c r="G281" s="56" t="str">
        <x:v>Official Product Page</x:v>
      </x:c>
      <x:c r="H281" s="56"/>
      <x:c r="I281" s="56" t="str">
        <x:v>2026-07-30</x:v>
      </x:c>
      <x:c r="J281" s="56" t="str">
        <x:v>Verified Product Fact</x:v>
      </x:c>
      <x:c r="K281" s="56" t="str">
        <x:v>High</x:v>
      </x:c>
      <x:c r="L281" s="56" t="str">
        <x:v>Yes</x:v>
      </x:c>
      <x:c r="M281" s="56"/>
      <x:c r="N281" s="56" t="str">
        <x:v>U.S.-serving page did not present the cross-border SPF 40/PA++ claim.</x:v>
      </x:c>
      <x:c r="O281" s="56" t="str">
        <x:v>Codex</x:v>
      </x:c>
    </x:row>
    <x:row r="282" ht="100" customHeight="1">
      <x:c r="A282" s="56" t="str">
        <x:v>SRC-TIR-023</x:v>
      </x:c>
      <x:c r="B282" s="56" t="str">
        <x:v>KB006</x:v>
      </x:c>
      <x:c r="C282" s="56" t="str">
        <x:v>AI Cushion product facts</x:v>
      </x:c>
      <x:c r="D282" s="56" t="str">
        <x:v>Official page lists 30 current shades, $25 MSRP/$18.75 observed sale, 4.7/317 and ThinTech/72-hour matte-blur positioning.</x:v>
      </x:c>
      <x:c r="E282" s="56" t="str">
        <x:v>TIRTIR Official</x:v>
      </x:c>
      <x:c r="F282" s="56" t="str">
        <x:v>https://tirtir.global/collections/la-pop-up/products/mask-fit-ai-filter-cushion</x:v>
      </x:c>
      <x:c r="G282" s="56" t="str">
        <x:v>Official Product Page</x:v>
      </x:c>
      <x:c r="H282" s="56"/>
      <x:c r="I282" s="56" t="str">
        <x:v>2026-07-30</x:v>
      </x:c>
      <x:c r="J282" s="56" t="str">
        <x:v>Verified Product Fact</x:v>
      </x:c>
      <x:c r="K282" s="56" t="str">
        <x:v>High</x:v>
      </x:c>
      <x:c r="L282" s="56" t="str">
        <x:v>Yes</x:v>
      </x:c>
      <x:c r="M282" s="56"/>
      <x:c r="N282" s="56" t="str">
        <x:v>Thirty shades counted from current variants; claims require substantiation.</x:v>
      </x:c>
      <x:c r="O282" s="56" t="str">
        <x:v>Codex</x:v>
      </x:c>
    </x:row>
    <x:row r="283" ht="100" customHeight="1">
      <x:c r="A283" s="56" t="str">
        <x:v>SRC-TIR-024</x:v>
      </x:c>
      <x:c r="B283" s="56" t="str">
        <x:v>KB006</x:v>
      </x:c>
      <x:c r="C283" s="56" t="str">
        <x:v>Waterproof Setting Spray facts</x:v>
      </x:c>
      <x:c r="D283" s="56" t="str">
        <x:v>Official page lists $15 MSRP/$12.75 observed sale, 4.9/134 and waterproof/sweat/transfer/chlorine-resistant positioning.</x:v>
      </x:c>
      <x:c r="E283" s="56" t="str">
        <x:v>TIRTIR Official</x:v>
      </x:c>
      <x:c r="F283" s="56" t="str">
        <x:v>https://tirtir.global/products/mask-fit-waterproof-setting-spray</x:v>
      </x:c>
      <x:c r="G283" s="56" t="str">
        <x:v>Official Product Page</x:v>
      </x:c>
      <x:c r="H283" s="56"/>
      <x:c r="I283" s="56" t="str">
        <x:v>2026-07-30</x:v>
      </x:c>
      <x:c r="J283" s="56" t="str">
        <x:v>Verified Product Fact</x:v>
      </x:c>
      <x:c r="K283" s="56" t="str">
        <x:v>High</x:v>
      </x:c>
      <x:c r="L283" s="56" t="str">
        <x:v>Yes</x:v>
      </x:c>
      <x:c r="M283" s="56"/>
      <x:c r="N283" s="56" t="str">
        <x:v>80 mL size verified from official Korea page.</x:v>
      </x:c>
      <x:c r="O283" s="56" t="str">
        <x:v>Codex</x:v>
      </x:c>
    </x:row>
    <x:row r="284" ht="100" customHeight="1">
      <x:c r="A284" s="56" t="str">
        <x:v>SRC-TIR-025</x:v>
      </x:c>
      <x:c r="B284" s="56" t="str">
        <x:v>KB006</x:v>
      </x:c>
      <x:c r="C284" s="56" t="str">
        <x:v>Glide &amp; Hide product facts</x:v>
      </x:c>
      <x:c r="D284" s="56" t="str">
        <x:v>Official page lists $16, 4.8/255 and a two-in-one liquid/stick concealer in 23 current variants.</x:v>
      </x:c>
      <x:c r="E284" s="56" t="str">
        <x:v>TIRTIR Official</x:v>
      </x:c>
      <x:c r="F284" s="56" t="str">
        <x:v>https://tirtir.global/collections/la-pop-up/products/glide-hide-blurring-concealer</x:v>
      </x:c>
      <x:c r="G284" s="56" t="str">
        <x:v>Official Product Page</x:v>
      </x:c>
      <x:c r="H284" s="56"/>
      <x:c r="I284" s="56" t="str">
        <x:v>2026-07-30</x:v>
      </x:c>
      <x:c r="J284" s="56" t="str">
        <x:v>Verified Product Fact</x:v>
      </x:c>
      <x:c r="K284" s="56" t="str">
        <x:v>High</x:v>
      </x:c>
      <x:c r="L284" s="56" t="str">
        <x:v>Yes</x:v>
      </x:c>
      <x:c r="M284" s="56"/>
      <x:c r="N284" s="56" t="str">
        <x:v>Ulta displayed 20 colors and 0.28 fl oz.</x:v>
      </x:c>
      <x:c r="O284" s="56" t="str">
        <x:v>Codex</x:v>
      </x:c>
    </x:row>
    <x:row r="285" ht="100" customHeight="1">
      <x:c r="A285" s="56" t="str">
        <x:v>SRC-TIR-026</x:v>
      </x:c>
      <x:c r="B285" s="56" t="str">
        <x:v>KB006</x:v>
      </x:c>
      <x:c r="C285" s="56" t="str">
        <x:v>Milk Skin Toner product facts</x:v>
      </x:c>
      <x:c r="D285" s="56" t="str">
        <x:v>Official page lists 20/50/150 mL sizes, 4.9/340 and 2% niacinamide, rice bran, ceramide, panthenol, cica and witch-hazel positioning.</x:v>
      </x:c>
      <x:c r="E285" s="56" t="str">
        <x:v>TIRTIR Official</x:v>
      </x:c>
      <x:c r="F285" s="56" t="str">
        <x:v>https://tirtir.global/products/milk-skin-toner</x:v>
      </x:c>
      <x:c r="G285" s="56" t="str">
        <x:v>Official Product Page</x:v>
      </x:c>
      <x:c r="H285" s="56"/>
      <x:c r="I285" s="56" t="str">
        <x:v>2026-07-30</x:v>
      </x:c>
      <x:c r="J285" s="56" t="str">
        <x:v>Verified Product Fact</x:v>
      </x:c>
      <x:c r="K285" s="56" t="str">
        <x:v>High</x:v>
      </x:c>
      <x:c r="L285" s="56" t="str">
        <x:v>Yes</x:v>
      </x:c>
      <x:c r="M285" s="56"/>
      <x:c r="N285" s="56" t="str">
        <x:v>The selected page defaulted to 50 mL/$13; 150 mL MSRP verified at Ulta.</x:v>
      </x:c>
      <x:c r="O285" s="56" t="str">
        <x:v>Codex</x:v>
      </x:c>
    </x:row>
    <x:row r="286" ht="100" customHeight="1">
      <x:c r="A286" s="56" t="str">
        <x:v>SRC-TIR-027</x:v>
      </x:c>
      <x:c r="B286" s="56" t="str">
        <x:v>KB006</x:v>
      </x:c>
      <x:c r="C286" s="56" t="str">
        <x:v>TikTok product-level scale</x:v>
      </x:c>
      <x:c r="D286" s="56" t="str">
        <x:v>Official shop displayed AI Cushion 169.5K sold, Glide &amp; Hide 128.3K, Waterproof Spray 91.0K, Red Cushion 64.2K and Milk Toner 31.3K.</x:v>
      </x:c>
      <x:c r="E286" s="56" t="str">
        <x:v>TikTok Shop U.S.</x:v>
      </x:c>
      <x:c r="F286" s="56" t="str">
        <x:v>https://shop.tiktok.com/us/store/tirtir-inc/7495857443730262618</x:v>
      </x:c>
      <x:c r="G286" s="56" t="str">
        <x:v>Official Social-Commerce Platform</x:v>
      </x:c>
      <x:c r="H286" s="56"/>
      <x:c r="I286" s="56" t="str">
        <x:v>2026-07-30</x:v>
      </x:c>
      <x:c r="J286" s="56" t="str">
        <x:v>Verified Platform Display</x:v>
      </x:c>
      <x:c r="K286" s="56" t="str">
        <x:v>Medium-High</x:v>
      </x:c>
      <x:c r="L286" s="56" t="str">
        <x:v>Yes</x:v>
      </x:c>
      <x:c r="M286" s="56"/>
      <x:c r="N286" s="56" t="str">
        <x:v>Dynamic cumulative sold displays, not audited U.S. revenue.</x:v>
      </x:c>
      <x:c r="O286" s="56" t="str">
        <x:v>Codex</x:v>
      </x:c>
    </x:row>
    <x:row r="287" ht="100" customHeight="1">
      <x:c r="A287" s="56" t="str">
        <x:v>SRC-TIR-028</x:v>
      </x:c>
      <x:c r="B287" s="56" t="str">
        <x:v>KB006</x:v>
      </x:c>
      <x:c r="C287" s="56" t="str">
        <x:v>Costco — VC Glow Toning Mask</x:v>
      </x:c>
      <x:c r="D287" s="56" t="str">
        <x:v>Costco direct page displayed a TIRTIR VC Glow Toning Mask two-pack.</x:v>
      </x:c>
      <x:c r="E287" s="56" t="str">
        <x:v>Costco</x:v>
      </x:c>
      <x:c r="F287" s="56" t="str">
        <x:v>https://www.costco.com/p/-/tirtir-vc-glow-toning-mask-27-fl-oz-2-pack/4000215564</x:v>
      </x:c>
      <x:c r="G287" s="56" t="str">
        <x:v>Retailer</x:v>
      </x:c>
      <x:c r="H287" s="56"/>
      <x:c r="I287" s="56" t="str">
        <x:v>2026-07-30</x:v>
      </x:c>
      <x:c r="J287" s="56" t="str">
        <x:v>Verified Retailer Display</x:v>
      </x:c>
      <x:c r="K287" s="56" t="str">
        <x:v>High</x:v>
      </x:c>
      <x:c r="L287" s="56" t="str">
        <x:v>Yes</x:v>
      </x:c>
      <x:c r="M287" s="56"/>
      <x:c r="N287" s="56" t="str">
        <x:v>Availability and member price can change.</x:v>
      </x:c>
      <x:c r="O287" s="56" t="str">
        <x:v>Codex</x:v>
      </x:c>
    </x:row>
    <x:row r="288" ht="100" customHeight="1">
      <x:c r="A288" s="56" t="str">
        <x:v>SRC-TIR-029</x:v>
      </x:c>
      <x:c r="B288" s="56" t="str">
        <x:v>KB006</x:v>
      </x:c>
      <x:c r="C288" s="56" t="str">
        <x:v>Costco — Ceramic Cream</x:v>
      </x:c>
      <x:c r="D288" s="56" t="str">
        <x:v>Costco direct page establishes TIRTIR Ceramic Cream club-channel presence.</x:v>
      </x:c>
      <x:c r="E288" s="56" t="str">
        <x:v>Costco</x:v>
      </x:c>
      <x:c r="F288" s="56" t="str">
        <x:v>https://www.costco.com/tirtir-ceramic-cream%2C-3.38-fl-oz.product.4000312503.html</x:v>
      </x:c>
      <x:c r="G288" s="56" t="str">
        <x:v>Retailer</x:v>
      </x:c>
      <x:c r="H288" s="56"/>
      <x:c r="I288" s="56" t="str">
        <x:v>2026-07-30</x:v>
      </x:c>
      <x:c r="J288" s="56" t="str">
        <x:v>Verified Retailer Display</x:v>
      </x:c>
      <x:c r="K288" s="56" t="str">
        <x:v>Medium-High</x:v>
      </x:c>
      <x:c r="L288" s="56" t="str">
        <x:v>Yes</x:v>
      </x:c>
      <x:c r="M288" s="56"/>
      <x:c r="N288" s="56" t="str">
        <x:v>Page may represent current or recent program.</x:v>
      </x:c>
      <x:c r="O288" s="56" t="str">
        <x:v>Codex</x:v>
      </x:c>
    </x:row>
    <x:row r="289" ht="100" customHeight="1">
      <x:c r="A289" s="56" t="str">
        <x:v>SRC-TIR-030</x:v>
      </x:c>
      <x:c r="B289" s="56" t="str">
        <x:v>KB006</x:v>
      </x:c>
      <x:c r="C289" s="56" t="str">
        <x:v>Costco — Ceramic Milk Ampoule</x:v>
      </x:c>
      <x:c r="D289" s="56" t="str">
        <x:v>Costco same-day page displayed Ceramic Milk Ampoule two-pack availability.</x:v>
      </x:c>
      <x:c r="E289" s="56" t="str">
        <x:v>Costco Same-Day</x:v>
      </x:c>
      <x:c r="F289" s="56" t="str">
        <x:v>https://sameday.costco.com/store/costco/products/90316835-tirtir-ceramic-milk-ampoule-135-fl-oz-135-fl-oz</x:v>
      </x:c>
      <x:c r="G289" s="56" t="str">
        <x:v>Retailer</x:v>
      </x:c>
      <x:c r="H289" s="56"/>
      <x:c r="I289" s="56" t="str">
        <x:v>2026-07-30</x:v>
      </x:c>
      <x:c r="J289" s="56" t="str">
        <x:v>Verified Retailer Display</x:v>
      </x:c>
      <x:c r="K289" s="56" t="str">
        <x:v>Medium-High</x:v>
      </x:c>
      <x:c r="L289" s="56" t="str">
        <x:v>Yes</x:v>
      </x:c>
      <x:c r="M289" s="56"/>
      <x:c r="N289" s="56" t="str">
        <x:v>Regional same-day availability changes.</x:v>
      </x:c>
      <x:c r="O289" s="56" t="str">
        <x:v>Codex</x:v>
      </x:c>
    </x:row>
    <x:row r="290" ht="100" customHeight="1">
      <x:c r="A290" s="56" t="str">
        <x:v>SRC-TIR-031</x:v>
      </x:c>
      <x:c r="B290" s="56" t="str">
        <x:v>KB006</x:v>
      </x:c>
      <x:c r="C290" s="56" t="str">
        <x:v>iHerb — Milk Skin Toner</x:v>
      </x:c>
      <x:c r="D290" s="56" t="str">
        <x:v>iHerb displayed 150 mL at $22, about 4.7/~2,005, 1K+ sold in 30 days and direct/authorized sourcing language.</x:v>
      </x:c>
      <x:c r="E290" s="56" t="str">
        <x:v>iHerb</x:v>
      </x:c>
      <x:c r="F290" s="56" t="str">
        <x:v>https://www.iherb.com/pr/tirtir-milk-skin-toner-5-07-fl-oz-150-ml/138593</x:v>
      </x:c>
      <x:c r="G290" s="56" t="str">
        <x:v>Authorized Retailer</x:v>
      </x:c>
      <x:c r="H290" s="56"/>
      <x:c r="I290" s="56" t="str">
        <x:v>2026-07-30</x:v>
      </x:c>
      <x:c r="J290" s="56" t="str">
        <x:v>Verified Retailer Display</x:v>
      </x:c>
      <x:c r="K290" s="56" t="str">
        <x:v>High</x:v>
      </x:c>
      <x:c r="L290" s="56" t="str">
        <x:v>Yes</x:v>
      </x:c>
      <x:c r="M290" s="56"/>
      <x:c r="N290" s="56" t="str">
        <x:v>Counts and price are dynamic.</x:v>
      </x:c>
      <x:c r="O290" s="56" t="str">
        <x:v>Codex</x:v>
      </x:c>
    </x:row>
    <x:row r="291" ht="100" customHeight="1">
      <x:c r="A291" s="56" t="str">
        <x:v>SRC-TIR-032</x:v>
      </x:c>
      <x:c r="B291" s="56" t="str">
        <x:v>KB006</x:v>
      </x:c>
      <x:c r="C291" s="56" t="str">
        <x:v>YesStyle — cross-border Red Cushion</x:v>
      </x:c>
      <x:c r="D291" s="56" t="str">
        <x:v>Page displayed $18.75/$25, 40 shades, 6,434 reviews and SPF 40 PA++ language for the imported version.</x:v>
      </x:c>
      <x:c r="E291" s="56" t="str">
        <x:v>YesStyle</x:v>
      </x:c>
      <x:c r="F291" s="56" t="str">
        <x:v>https://www.yesstyle.com/en/tirtir-mask-fit-red-cushion-40-colors-37c-almond/info.html/pid.1129266174</x:v>
      </x:c>
      <x:c r="G291" s="56" t="str">
        <x:v>Cross-Border Retailer</x:v>
      </x:c>
      <x:c r="H291" s="56"/>
      <x:c r="I291" s="56" t="str">
        <x:v>2026-07-30</x:v>
      </x:c>
      <x:c r="J291" s="56" t="str">
        <x:v>Verified Channel / Regulatory Risk Signal</x:v>
      </x:c>
      <x:c r="K291" s="56" t="str">
        <x:v>High</x:v>
      </x:c>
      <x:c r="L291" s="56" t="str">
        <x:v>Yes</x:v>
      </x:c>
      <x:c r="M291" s="56"/>
      <x:c r="N291" s="56" t="str">
        <x:v>Do not use imported SPF-labeled packaging for U.S. cosmetic resale.</x:v>
      </x:c>
      <x:c r="O291" s="56" t="str">
        <x:v>Codex</x:v>
      </x:c>
    </x:row>
    <x:row r="292" ht="100" customHeight="1">
      <x:c r="A292" s="56" t="str">
        <x:v>SRC-TIR-033</x:v>
      </x:c>
      <x:c r="B292" s="56" t="str">
        <x:v>KB006</x:v>
      </x:c>
      <x:c r="C292" s="56" t="str">
        <x:v>Walmart marketplace seller ambiguity</x:v>
      </x:c>
      <x:c r="D292" s="56" t="str">
        <x:v>Sample Red Cushion page was sold and shipped by Azura LLC; reviews referenced other sellers.</x:v>
      </x:c>
      <x:c r="E292" s="56" t="str">
        <x:v>Walmart U.S.</x:v>
      </x:c>
      <x:c r="F292" s="56" t="str">
        <x:v>https://www.walmart.com/ip/5779257672</x:v>
      </x:c>
      <x:c r="G292" s="56" t="str">
        <x:v>Marketplace</x:v>
      </x:c>
      <x:c r="H292" s="56"/>
      <x:c r="I292" s="56" t="str">
        <x:v>2026-07-30</x:v>
      </x:c>
      <x:c r="J292" s="56" t="str">
        <x:v>Verified Risk Signal</x:v>
      </x:c>
      <x:c r="K292" s="56" t="str">
        <x:v>High</x:v>
      </x:c>
      <x:c r="L292" s="56" t="str">
        <x:v>Yes</x:v>
      </x:c>
      <x:c r="M292" s="56"/>
      <x:c r="N292" s="56" t="str">
        <x:v>Seller and fulfillment are dynamic; not proof of counterfeit.</x:v>
      </x:c>
      <x:c r="O292" s="56" t="str">
        <x:v>Codex</x:v>
      </x:c>
    </x:row>
    <x:row r="293" ht="100" customHeight="1">
      <x:c r="A293" s="56" t="str">
        <x:v>SRC-TIR-034</x:v>
      </x:c>
      <x:c r="B293" s="56" t="str">
        <x:v>KB006</x:v>
      </x:c>
      <x:c r="C293" s="56" t="str">
        <x:v>Target absence check</x:v>
      </x:c>
      <x:c r="D293" s="56" t="str">
        <x:v>Target search for TIRTIR foundation returned other brands and did not establish a current TIRTIR assortment.</x:v>
      </x:c>
      <x:c r="E293" s="56" t="str">
        <x:v>Target U.S.</x:v>
      </x:c>
      <x:c r="F293" s="56" t="str">
        <x:v>https://www.target.com/s/tirtir%2Bfoundation</x:v>
      </x:c>
      <x:c r="G293" s="56" t="str">
        <x:v>Retailer Search</x:v>
      </x:c>
      <x:c r="H293" s="56"/>
      <x:c r="I293" s="56" t="str">
        <x:v>2026-07-30</x:v>
      </x:c>
      <x:c r="J293" s="56" t="str">
        <x:v>Verified Absence Check</x:v>
      </x:c>
      <x:c r="K293" s="56" t="str">
        <x:v>Medium</x:v>
      </x:c>
      <x:c r="L293" s="56" t="str">
        <x:v>Yes</x:v>
      </x:c>
      <x:c r="M293" s="56"/>
      <x:c r="N293" s="56" t="str">
        <x:v>Re-check before any external claim or proposal.</x:v>
      </x:c>
      <x:c r="O293" s="56" t="str">
        <x:v>Codex</x:v>
      </x:c>
    </x:row>
    <x:row r="294" ht="100" customHeight="1">
      <x:c r="A294" s="56" t="str">
        <x:v>SRC-TIR-035</x:v>
      </x:c>
      <x:c r="B294" s="56" t="str">
        <x:v>KB006</x:v>
      </x:c>
      <x:c r="C294" s="56" t="str">
        <x:v>DTC reseller restriction</x:v>
      </x:c>
      <x:c r="D294" s="56" t="str">
        <x:v>Terms allow quantity/eligibility limits and cancellation of orders that appear dealer/reseller/distributor-like.</x:v>
      </x:c>
      <x:c r="E294" s="56" t="str">
        <x:v>TIRTIR Terms</x:v>
      </x:c>
      <x:c r="F294" s="56" t="str">
        <x:v>https://tirtir.global/policies/terms-of-service</x:v>
      </x:c>
      <x:c r="G294" s="56" t="str">
        <x:v>Official Legal Page</x:v>
      </x:c>
      <x:c r="H294" s="56"/>
      <x:c r="I294" s="56" t="str">
        <x:v>2026-07-30</x:v>
      </x:c>
      <x:c r="J294" s="56" t="str">
        <x:v>Verified Channel-Control Fact</x:v>
      </x:c>
      <x:c r="K294" s="56" t="str">
        <x:v>High</x:v>
      </x:c>
      <x:c r="L294" s="56" t="str">
        <x:v>Yes</x:v>
      </x:c>
      <x:c r="M294" s="56"/>
      <x:c r="N294" s="56" t="str">
        <x:v>DTC is not an authorized wholesale sourcing route.</x:v>
      </x:c>
      <x:c r="O294" s="56" t="str">
        <x:v>Codex</x:v>
      </x:c>
    </x:row>
    <x:row r="295" ht="100" customHeight="1">
      <x:c r="A295" s="56" t="str">
        <x:v>SRC-TIR-036</x:v>
      </x:c>
      <x:c r="B295" s="56" t="str">
        <x:v>KB006</x:v>
      </x:c>
      <x:c r="C295" s="56" t="str">
        <x:v>U.S. sunscreen OTC label</x:v>
      </x:c>
      <x:c r="D295" s="56" t="str">
        <x:v>DailyMed lists Hydro UV Shield SPF 50 Broad Spectrum, NDC 87496-201, M020, TIRTIR USA Inc. and four U.S. sunscreen actives.</x:v>
      </x:c>
      <x:c r="E295" s="56" t="str">
        <x:v>DailyMed / U.S. NLM</x:v>
      </x:c>
      <x:c r="F295" s="56" t="str">
        <x:v>https://dailymed.nlm.nih.gov/dailymed/drugInfo.cfm?setid=4ec04105-e54f-a82e-e063-6394a90a6c5a</x:v>
      </x:c>
      <x:c r="G295" s="56" t="str">
        <x:v>Regulator Label Repository</x:v>
      </x:c>
      <x:c r="H295" s="56" t="str">
        <x:v>2026-04-05</x:v>
      </x:c>
      <x:c r="I295" s="56" t="str">
        <x:v>2026-07-30</x:v>
      </x:c>
      <x:c r="J295" s="56" t="str">
        <x:v>Verified U.S. Drug Label</x:v>
      </x:c>
      <x:c r="K295" s="56" t="str">
        <x:v>High</x:v>
      </x:c>
      <x:c r="L295" s="56" t="str">
        <x:v>Yes</x:v>
      </x:c>
      <x:c r="M295" s="56"/>
      <x:c r="N295" s="56" t="str">
        <x:v>Label presence does not replace complete vendor OTC diligence.</x:v>
      </x:c>
      <x:c r="O295" s="56" t="str">
        <x:v>Codex</x:v>
      </x:c>
    </x:row>
    <x:row r="296" ht="100" customHeight="1">
      <x:c r="A296" s="56" t="str">
        <x:v>SRC-TIR-037</x:v>
      </x:c>
      <x:c r="B296" s="56" t="str">
        <x:v>KB006</x:v>
      </x:c>
      <x:c r="C296" s="56" t="str">
        <x:v>MoCRA registration and listing</x:v>
      </x:c>
      <x:c r="D296" s="56" t="str">
        <x:v>FDA explains cosmetic responsible-person product-listing and facility-registration duties and updates.</x:v>
      </x:c>
      <x:c r="E296" s="56" t="str">
        <x:v>U.S. FDA</x:v>
      </x:c>
      <x:c r="F296" s="56" t="str">
        <x:v>https://www.fda.gov/cosmetics/registration-listing-cosmetic-product-facilities-and-products</x:v>
      </x:c>
      <x:c r="G296" s="56" t="str">
        <x:v>Regulator</x:v>
      </x:c>
      <x:c r="H296" s="56"/>
      <x:c r="I296" s="56" t="str">
        <x:v>2026-07-30</x:v>
      </x:c>
      <x:c r="J296" s="56" t="str">
        <x:v>Verified Regulatory Requirement</x:v>
      </x:c>
      <x:c r="K296" s="56" t="str">
        <x:v>High</x:v>
      </x:c>
      <x:c r="L296" s="56" t="str">
        <x:v>Yes</x:v>
      </x:c>
      <x:c r="M296" s="56"/>
      <x:c r="N296" s="56" t="str">
        <x:v>Registration/listing is not FDA approval.</x:v>
      </x:c>
      <x:c r="O296" s="56" t="str">
        <x:v>Codex</x:v>
      </x:c>
    </x:row>
    <x:row r="297" ht="100" customHeight="1">
      <x:c r="A297" s="56" t="str">
        <x:v>SRC-TIR-038</x:v>
      </x:c>
      <x:c r="B297" s="56" t="str">
        <x:v>KB006</x:v>
      </x:c>
      <x:c r="C297" s="56" t="str">
        <x:v>Cosmetic versus drug claims</x:v>
      </x:c>
      <x:c r="D297" s="56" t="str">
        <x:v>FDA explains that disease or structure/function intended-use claims can make a cosmetic a drug.</x:v>
      </x:c>
      <x:c r="E297" s="56" t="str">
        <x:v>U.S. FDA</x:v>
      </x:c>
      <x:c r="F297" s="56" t="str">
        <x:v>https://www.fda.gov/cosmetics/cosmetics-laws-regulations/it-cosmetic-drug-or-both-or-it-soap</x:v>
      </x:c>
      <x:c r="G297" s="56" t="str">
        <x:v>Regulator</x:v>
      </x:c>
      <x:c r="H297" s="56"/>
      <x:c r="I297" s="56" t="str">
        <x:v>2026-07-30</x:v>
      </x:c>
      <x:c r="J297" s="56" t="str">
        <x:v>Verified Regulatory Requirement</x:v>
      </x:c>
      <x:c r="K297" s="56" t="str">
        <x:v>High</x:v>
      </x:c>
      <x:c r="L297" s="56" t="str">
        <x:v>Yes</x:v>
      </x:c>
      <x:c r="M297" s="56"/>
      <x:c r="N297" s="56" t="str">
        <x:v>Review pore-strengthening, barrier, acne and SPF wording.</x:v>
      </x:c>
      <x:c r="O297" s="56" t="str">
        <x:v>Codex</x:v>
      </x:c>
    </x:row>
    <x:row r="298" ht="100" customHeight="1">
      <x:c r="A298" s="56" t="str">
        <x:v>SRC-TIR-039</x:v>
      </x:c>
      <x:c r="B298" s="56" t="str">
        <x:v>KB006</x:v>
      </x:c>
      <x:c r="C298" s="56" t="str">
        <x:v>Cosmetic recall authority</x:v>
      </x:c>
      <x:c r="D298" s="56" t="str">
        <x:v>FDA guidance summarizes MoCRA-related cosmetic recall authority and compliance expectations.</x:v>
      </x:c>
      <x:c r="E298" s="56" t="str">
        <x:v>U.S. FDA</x:v>
      </x:c>
      <x:c r="F298" s="56" t="str">
        <x:v>https://www.fda.gov/cosmetics/cosmetics-compliance-enforcement/fda-recall-policy-cosmetics</x:v>
      </x:c>
      <x:c r="G298" s="56" t="str">
        <x:v>Regulator</x:v>
      </x:c>
      <x:c r="H298" s="56" t="str">
        <x:v>2025</x:v>
      </x:c>
      <x:c r="I298" s="56" t="str">
        <x:v>2026-07-30</x:v>
      </x:c>
      <x:c r="J298" s="56" t="str">
        <x:v>Verified Regulatory Requirement</x:v>
      </x:c>
      <x:c r="K298" s="56" t="str">
        <x:v>High</x:v>
      </x:c>
      <x:c r="L298" s="56" t="str">
        <x:v>Yes</x:v>
      </x:c>
      <x:c r="M298" s="56"/>
      <x:c r="N298" s="56" t="str">
        <x:v>Require serious-adverse-event and recall SOPs.</x:v>
      </x:c>
      <x:c r="O298" s="56" t="str">
        <x:v>Codex</x:v>
      </x:c>
    </x:row>
    <x:row r="299" ht="100" customHeight="1">
      <x:c r="A299" s="56" t="str">
        <x:v>SRC-TIR-040</x:v>
      </x:c>
      <x:c r="B299" s="56" t="str">
        <x:v>KB006</x:v>
      </x:c>
      <x:c r="C299" s="56" t="str">
        <x:v>Reddit — oxidation risk</x:v>
      </x:c>
      <x:c r="D299" s="56" t="str">
        <x:v>Large thread documents material Red Cushion oxidation/orange shift for some users with mixed counterexamples.</x:v>
      </x:c>
      <x:c r="E299" s="56" t="str">
        <x:v>Reddit r/AsianBeauty</x:v>
      </x:c>
      <x:c r="F299" s="56" t="str">
        <x:v>https://www.reddit.com/r/AsianBeauty/comments/1ed4r84/warning_about_the_oxidation_in_tirtir_cushion/</x:v>
      </x:c>
      <x:c r="G299" s="56" t="str">
        <x:v>Consumer Forum</x:v>
      </x:c>
      <x:c r="H299" s="56" t="str">
        <x:v>2024-07-27</x:v>
      </x:c>
      <x:c r="I299" s="56" t="str">
        <x:v>2026-07-30</x:v>
      </x:c>
      <x:c r="J299" s="56" t="str">
        <x:v>Anecdotal Consumer Evidence</x:v>
      </x:c>
      <x:c r="K299" s="56" t="str">
        <x:v>Low-Medium</x:v>
      </x:c>
      <x:c r="L299" s="56" t="str">
        <x:v>Mixed</x:v>
      </x:c>
      <x:c r="M299" s="56"/>
      <x:c r="N299" s="56" t="str">
        <x:v>Self-selected; shade, application and skin chemistry vary.</x:v>
      </x:c>
      <x:c r="O299" s="56" t="str">
        <x:v>Codex</x:v>
      </x:c>
    </x:row>
    <x:row r="300" ht="100" customHeight="1">
      <x:c r="A300" s="56" t="str">
        <x:v>SRC-TIR-041</x:v>
      </x:c>
      <x:c r="B300" s="56" t="str">
        <x:v>KB006</x:v>
      </x:c>
      <x:c r="C300" s="56" t="str">
        <x:v>Reddit — coverage and wear</x:v>
      </x:c>
      <x:c r="D300" s="56" t="str">
        <x:v>Threads report high coverage and long wear alongside transfer, oxidation and dry-skin concerns.</x:v>
      </x:c>
      <x:c r="E300" s="56" t="str">
        <x:v>Reddit r/AsianBeauty</x:v>
      </x:c>
      <x:c r="F300" s="56" t="str">
        <x:v>https://www.reddit.com/r/AsianBeauty/comments/1e66mcm/what_are_your_thoughts_on_the_tirtir_mask_fit_red/</x:v>
      </x:c>
      <x:c r="G300" s="56" t="str">
        <x:v>Consumer Forum</x:v>
      </x:c>
      <x:c r="H300" s="56" t="str">
        <x:v>2024-07-18</x:v>
      </x:c>
      <x:c r="I300" s="56" t="str">
        <x:v>2026-07-30</x:v>
      </x:c>
      <x:c r="J300" s="56" t="str">
        <x:v>Anecdotal Consumer Evidence</x:v>
      </x:c>
      <x:c r="K300" s="56" t="str">
        <x:v>Low-Medium</x:v>
      </x:c>
      <x:c r="L300" s="56" t="str">
        <x:v>Mixed</x:v>
      </x:c>
      <x:c r="M300" s="56"/>
      <x:c r="N300" s="56" t="str">
        <x:v>Technique education is a recurring mitigation.</x:v>
      </x:c>
      <x:c r="O300" s="56" t="str">
        <x:v>Codex</x:v>
      </x:c>
    </x:row>
    <x:row r="301" ht="100" customHeight="1">
      <x:c r="A301" s="56" t="str">
        <x:v>SRC-TIR-042</x:v>
      </x:c>
      <x:c r="B301" s="56" t="str">
        <x:v>KB006</x:v>
      </x:c>
      <x:c r="C301" s="56" t="str">
        <x:v>Reddit — Milk Toner polarization</x:v>
      </x:c>
      <x:c r="D301" s="56" t="str">
        <x:v>Multi-year discussion ranges from glow/hydration praise to stickiness, burning, rough texture and breakout reports.</x:v>
      </x:c>
      <x:c r="E301" s="56" t="str">
        <x:v>Reddit r/AsianBeauty</x:v>
      </x:c>
      <x:c r="F301" s="56" t="str">
        <x:v>https://www.reddit.com/r/AsianBeauty/comments/1cyqblf/is_the_tirtir_toner_worth_it/</x:v>
      </x:c>
      <x:c r="G301" s="56" t="str">
        <x:v>Consumer Forum</x:v>
      </x:c>
      <x:c r="H301" s="56" t="str">
        <x:v>2024-05-23</x:v>
      </x:c>
      <x:c r="I301" s="56" t="str">
        <x:v>2026-07-30</x:v>
      </x:c>
      <x:c r="J301" s="56" t="str">
        <x:v>Anecdotal Consumer Evidence</x:v>
      </x:c>
      <x:c r="K301" s="56" t="str">
        <x:v>Low-Medium</x:v>
      </x:c>
      <x:c r="L301" s="56" t="str">
        <x:v>Mixed</x:v>
      </x:c>
      <x:c r="M301" s="56"/>
      <x:c r="N301" s="56" t="str">
        <x:v>No causation; patch testing and ingredient review remain appropriate.</x:v>
      </x:c>
      <x:c r="O301" s="56" t="str">
        <x:v>Codex</x:v>
      </x:c>
    </x:row>
    <x:row r="302" ht="100" customHeight="1">
      <x:c r="A302" s="56" t="str">
        <x:v>SRC-TIR-043</x:v>
      </x:c>
      <x:c r="B302" s="56" t="str">
        <x:v>KB006</x:v>
      </x:c>
      <x:c r="C302" s="56" t="str">
        <x:v>Reddit — dry/sensitive Milk line</x:v>
      </x:c>
      <x:c r="D302" s="56" t="str">
        <x:v>Detailed dry/sensitive-skin review praises hydration while noting niacinamide/witch-hazel/botanical sensitivity and mixed breakouts.</x:v>
      </x:c>
      <x:c r="E302" s="56" t="str">
        <x:v>Reddit r/AsianBeauty</x:v>
      </x:c>
      <x:c r="F302" s="56" t="str">
        <x:v>https://www.reddit.com/r/AsianBeauty/comments/1g8440i</x:v>
      </x:c>
      <x:c r="G302" s="56" t="str">
        <x:v>Consumer Forum</x:v>
      </x:c>
      <x:c r="H302" s="56" t="str">
        <x:v>2024-10-20</x:v>
      </x:c>
      <x:c r="I302" s="56" t="str">
        <x:v>2026-07-30</x:v>
      </x:c>
      <x:c r="J302" s="56" t="str">
        <x:v>Anecdotal Consumer Evidence</x:v>
      </x:c>
      <x:c r="K302" s="56" t="str">
        <x:v>Low-Medium</x:v>
      </x:c>
      <x:c r="L302" s="56" t="str">
        <x:v>Mixed</x:v>
      </x:c>
      <x:c r="M302" s="56"/>
      <x:c r="N302" s="56" t="str">
        <x:v>Self-selected and individual.</x:v>
      </x:c>
      <x:c r="O302" s="56" t="str">
        <x:v>Codex</x:v>
      </x:c>
    </x:row>
    <x:row r="303" ht="100" customHeight="1">
      <x:c r="A303" s="56" t="str">
        <x:v>SRC-TIR-044</x:v>
      </x:c>
      <x:c r="B303" s="56" t="str">
        <x:v>KB006</x:v>
      </x:c>
      <x:c r="C303" s="56" t="str">
        <x:v>Reddit — packaging/authenticity confusion</x:v>
      </x:c>
      <x:c r="D303" s="56" t="str">
        <x:v>Consumer compared two official-store Amazon toner packages; brand explained yearly U.S. ingredient-notation updates and corrected sulfate-free confusion.</x:v>
      </x:c>
      <x:c r="E303" s="56" t="str">
        <x:v>Reddit r/AsianBeauty</x:v>
      </x:c>
      <x:c r="F303" s="56" t="str">
        <x:v>https://www.reddit.com/r/AsianBeauty/comments/1ddhhkj</x:v>
      </x:c>
      <x:c r="G303" s="56" t="str">
        <x:v>Consumer Forum</x:v>
      </x:c>
      <x:c r="H303" s="56" t="str">
        <x:v>2024-06-11</x:v>
      </x:c>
      <x:c r="I303" s="56" t="str">
        <x:v>2026-07-30</x:v>
      </x:c>
      <x:c r="J303" s="56" t="str">
        <x:v>Anecdotal Label / Authenticity Evidence</x:v>
      </x:c>
      <x:c r="K303" s="56" t="str">
        <x:v>Low-Medium</x:v>
      </x:c>
      <x:c r="L303" s="56" t="str">
        <x:v>Mixed</x:v>
      </x:c>
      <x:c r="M303" s="56"/>
      <x:c r="N303" s="56" t="str">
        <x:v>Vendor-controlled current artwork and lot traceability are required.</x:v>
      </x:c>
      <x:c r="O303" s="56" t="str">
        <x:v>Codex</x:v>
      </x:c>
    </x:row>
    <x:row r="304" ht="100" customHeight="1">
      <x:c r="A304" s="56" t="str">
        <x:v>SRC-TIR-045</x:v>
      </x:c>
      <x:c r="B304" s="56" t="str">
        <x:v>KB006</x:v>
      </x:c>
      <x:c r="C304" s="56" t="str">
        <x:v>Ulta — Red Cushion</x:v>
      </x:c>
      <x:c r="D304" s="56" t="str">
        <x:v>Ulta displayed Red Cushion at $25, 40 colors, 4.3/308 and Only at Ulta labeling.</x:v>
      </x:c>
      <x:c r="E304" s="56" t="str">
        <x:v>Ulta Beauty</x:v>
      </x:c>
      <x:c r="F304" s="56" t="str">
        <x:v>https://www.ulta.com/p/mask-fit-red-cushion-pimprod2053403</x:v>
      </x:c>
      <x:c r="G304" s="56" t="str">
        <x:v>Authorized Retailer</x:v>
      </x:c>
      <x:c r="H304" s="56"/>
      <x:c r="I304" s="56" t="str">
        <x:v>2026-07-30</x:v>
      </x:c>
      <x:c r="J304" s="56" t="str">
        <x:v>Verified Retailer Display</x:v>
      </x:c>
      <x:c r="K304" s="56" t="str">
        <x:v>High</x:v>
      </x:c>
      <x:c r="L304" s="56" t="str">
        <x:v>Yes</x:v>
      </x:c>
      <x:c r="M304" s="56"/>
      <x:c r="N304" s="56" t="str">
        <x:v>Rating, count, offers and exclusivity labels change.</x:v>
      </x:c>
      <x:c r="O304" s="56" t="str">
        <x:v>Codex</x:v>
      </x:c>
    </x:row>
    <x:row r="305" ht="100" customHeight="1">
      <x:c r="A305" s="56" t="str">
        <x:v>SRC-TIR-046</x:v>
      </x:c>
      <x:c r="B305" s="56" t="str">
        <x:v>KB006</x:v>
      </x:c>
      <x:c r="C305" s="56" t="str">
        <x:v>Ulta — Glide &amp; Hide Concealer</x:v>
      </x:c>
      <x:c r="D305" s="56" t="str">
        <x:v>Ulta displayed $16, 20 colors, 0.28 fl oz and approximately 4.6/158.</x:v>
      </x:c>
      <x:c r="E305" s="56" t="str">
        <x:v>Ulta Beauty</x:v>
      </x:c>
      <x:c r="F305" s="56" t="str">
        <x:v>https://www.ulta.com/p/glide-hide-blurring-concealer-pimprod2053414</x:v>
      </x:c>
      <x:c r="G305" s="56" t="str">
        <x:v>Authorized Retailer</x:v>
      </x:c>
      <x:c r="H305" s="56"/>
      <x:c r="I305" s="56" t="str">
        <x:v>2026-07-30</x:v>
      </x:c>
      <x:c r="J305" s="56" t="str">
        <x:v>Verified Retailer Display</x:v>
      </x:c>
      <x:c r="K305" s="56" t="str">
        <x:v>High</x:v>
      </x:c>
      <x:c r="L305" s="56" t="str">
        <x:v>Yes</x:v>
      </x:c>
      <x:c r="M305" s="56"/>
      <x:c r="N305" s="56" t="str">
        <x:v>Some reviews disclosed incentivized product.</x:v>
      </x:c>
      <x:c r="O305" s="56" t="str">
        <x:v>Codex</x:v>
      </x:c>
    </x:row>
    <x:row r="306" ht="100" customHeight="1">
      <x:c r="A306" s="56" t="str">
        <x:v>SRC-TIR-047</x:v>
      </x:c>
      <x:c r="B306" s="56" t="str">
        <x:v>KB006</x:v>
      </x:c>
      <x:c r="C306" s="56" t="str">
        <x:v>iHerb — Milk Toner reviews</x:v>
      </x:c>
      <x:c r="D306" s="56" t="str">
        <x:v>iHerb review page displayed about 4.7/~2,005 with strong hydration/glow themes and a small negative tail.</x:v>
      </x:c>
      <x:c r="E306" s="56" t="str">
        <x:v>iHerb Reviews</x:v>
      </x:c>
      <x:c r="F306" s="56" t="str">
        <x:v>https://www.iherb.com/r/tirtir-milk-skin-toner-5-07-fl-oz-150-ml/138593</x:v>
      </x:c>
      <x:c r="G306" s="56" t="str">
        <x:v>Retailer Reviews</x:v>
      </x:c>
      <x:c r="H306" s="56"/>
      <x:c r="I306" s="56" t="str">
        <x:v>2026-07-30</x:v>
      </x:c>
      <x:c r="J306" s="56" t="str">
        <x:v>Verified Consumer Aggregate</x:v>
      </x:c>
      <x:c r="K306" s="56" t="str">
        <x:v>High</x:v>
      </x:c>
      <x:c r="L306" s="56" t="str">
        <x:v>Yes</x:v>
      </x:c>
      <x:c r="M306" s="56"/>
      <x:c r="N306" s="56" t="str">
        <x:v>Retailer AI summary is secondary to aggregate distribution.</x:v>
      </x:c>
      <x:c r="O306" s="56" t="str">
        <x:v>Codex</x:v>
      </x:c>
    </x:row>
    <x:row r="307" ht="100" customHeight="1">
      <x:c r="A307" s="56" t="str">
        <x:v>SRC-TIR-048</x:v>
      </x:c>
      <x:c r="B307" s="56" t="str">
        <x:v>KB006</x:v>
      </x:c>
      <x:c r="C307" s="56" t="str">
        <x:v>Competitor — CLIO Mesh Glow</x:v>
      </x:c>
      <x:c r="D307" s="56" t="str">
        <x:v>Authorized YesStyle page displayed CLIO Kill Cover Mesh Glow Cushion Set at $23.58 with 3,831 reviews and a 15 g refill.</x:v>
      </x:c>
      <x:c r="E307" s="56" t="str">
        <x:v>YesStyle / CLIO</x:v>
      </x:c>
      <x:c r="F307" s="56" t="str">
        <x:v>https://www.yesstyle.com/en/clio-kill-cover-mesh-glow-cushion-set-fond-de-teint-cushion-recharge/info.html/pid.1119395362</x:v>
      </x:c>
      <x:c r="G307" s="56" t="str">
        <x:v>Authorized Competitor Retailer</x:v>
      </x:c>
      <x:c r="H307" s="56"/>
      <x:c r="I307" s="56" t="str">
        <x:v>2026-07-30</x:v>
      </x:c>
      <x:c r="J307" s="56" t="str">
        <x:v>Verified Competitor Fact</x:v>
      </x:c>
      <x:c r="K307" s="56" t="str">
        <x:v>High</x:v>
      </x:c>
      <x:c r="L307" s="56" t="str">
        <x:v>Yes</x:v>
      </x:c>
      <x:c r="M307" s="56"/>
      <x:c r="N307" s="56" t="str">
        <x:v>Current price and shade availability change.</x:v>
      </x:c>
      <x:c r="O307" s="56" t="str">
        <x:v>Codex</x:v>
      </x:c>
    </x:row>
    <x:row r="308" ht="100" customHeight="1">
      <x:c r="A308" s="56" t="str">
        <x:v>SRC-TIR-049</x:v>
      </x:c>
      <x:c r="B308" s="56" t="str">
        <x:v>KB006</x:v>
      </x:c>
      <x:c r="C308" s="56" t="str">
        <x:v>Competitor — CLIO Mesh Blur</x:v>
      </x:c>
      <x:c r="D308" s="56" t="str">
        <x:v>Authorized YesStyle page displayed CLIO Mesh Blur Cushion Set at $20.96 with a refill and #46 Cushions rank.</x:v>
      </x:c>
      <x:c r="E308" s="56" t="str">
        <x:v>YesStyle / CLIO</x:v>
      </x:c>
      <x:c r="F308" s="56" t="str">
        <x:v>https://www.yesstyle.com/en/clio-kill-cover-mesh-blur-cushion-set-5-colors-19c-light/info.html/pid.1134841902</x:v>
      </x:c>
      <x:c r="G308" s="56" t="str">
        <x:v>Authorized Competitor Retailer</x:v>
      </x:c>
      <x:c r="H308" s="56"/>
      <x:c r="I308" s="56" t="str">
        <x:v>2026-07-30</x:v>
      </x:c>
      <x:c r="J308" s="56" t="str">
        <x:v>Verified Competitor Fact</x:v>
      </x:c>
      <x:c r="K308" s="56" t="str">
        <x:v>High</x:v>
      </x:c>
      <x:c r="L308" s="56" t="str">
        <x:v>Yes</x:v>
      </x:c>
      <x:c r="M308" s="56"/>
      <x:c r="N308" s="56" t="str">
        <x:v>Newer review base is small.</x:v>
      </x:c>
      <x:c r="O308" s="56" t="str">
        <x:v>Codex</x:v>
      </x:c>
    </x:row>
    <x:row r="309" ht="100" customHeight="1">
      <x:c r="A309" s="56" t="str">
        <x:v>SRC-TIR-050</x:v>
      </x:c>
      <x:c r="B309" s="56" t="str">
        <x:v>KB006</x:v>
      </x:c>
      <x:c r="C309" s="56" t="str">
        <x:v>Competitor — Urban Decay setting spray</x:v>
      </x:c>
      <x:c r="D309" s="56" t="str">
        <x:v>Ulta displayed All Nighter Waterproof Setting Spray at $34, 4.6/3,232 and 95% recommendation.</x:v>
      </x:c>
      <x:c r="E309" s="56" t="str">
        <x:v>Ulta Beauty</x:v>
      </x:c>
      <x:c r="F309" s="56" t="str">
        <x:v>https://www.ulta.com/p/all-nighter-waterproof-makeup-setting-spray-pimprod2053044</x:v>
      </x:c>
      <x:c r="G309" s="56" t="str">
        <x:v>Authorized Competitor Retailer</x:v>
      </x:c>
      <x:c r="H309" s="56"/>
      <x:c r="I309" s="56" t="str">
        <x:v>2026-07-30</x:v>
      </x:c>
      <x:c r="J309" s="56" t="str">
        <x:v>Verified Competitor Fact</x:v>
      </x:c>
      <x:c r="K309" s="56" t="str">
        <x:v>High</x:v>
      </x:c>
      <x:c r="L309" s="56" t="str">
        <x:v>Yes</x:v>
      </x:c>
      <x:c r="M309" s="56"/>
      <x:c r="N309" s="56" t="str">
        <x:v>Current reformulation/reviews and offers change.</x:v>
      </x:c>
      <x:c r="O309" s="56" t="str">
        <x:v>Codex</x:v>
      </x:c>
    </x:row>
    <x:row r="310" ht="100" customHeight="1">
      <x:c r="A310" s="56" t="str">
        <x:v>SRC-TIR-051</x:v>
      </x:c>
      <x:c r="B310" s="56" t="str">
        <x:v>KB006</x:v>
      </x:c>
      <x:c r="C310" s="56" t="str">
        <x:v>Competitor — NYX concealer</x:v>
      </x:c>
      <x:c r="D310" s="56" t="str">
        <x:v>Ulta displayed Bare With Me Concealer Serum at $12 and 4.5/1,575.</x:v>
      </x:c>
      <x:c r="E310" s="56" t="str">
        <x:v>Ulta Beauty</x:v>
      </x:c>
      <x:c r="F310" s="56" t="str">
        <x:v>https://www.ulta.com/p/bare-with-me-hydrating-face-body-concealer-serum-pimprod2028567</x:v>
      </x:c>
      <x:c r="G310" s="56" t="str">
        <x:v>Authorized Competitor Retailer</x:v>
      </x:c>
      <x:c r="H310" s="56"/>
      <x:c r="I310" s="56" t="str">
        <x:v>2026-07-30</x:v>
      </x:c>
      <x:c r="J310" s="56" t="str">
        <x:v>Verified Competitor Fact</x:v>
      </x:c>
      <x:c r="K310" s="56" t="str">
        <x:v>High</x:v>
      </x:c>
      <x:c r="L310" s="56" t="str">
        <x:v>Yes</x:v>
      </x:c>
      <x:c r="M310" s="56"/>
      <x:c r="N310" s="56" t="str">
        <x:v>Current shades and offers change.</x:v>
      </x:c>
      <x:c r="O310" s="56" t="str">
        <x:v>Codex</x:v>
      </x:c>
    </x:row>
    <x:row r="311" ht="100" customHeight="1">
      <x:c r="A311" s="56" t="str">
        <x:v>SRC-TIR-052</x:v>
      </x:c>
      <x:c r="B311" s="56" t="str">
        <x:v>KB006</x:v>
      </x:c>
      <x:c r="C311" s="56" t="str">
        <x:v>Competitor — LANEIGE milky toner</x:v>
      </x:c>
      <x:c r="D311" s="56" t="str">
        <x:v>Sephora displayed Cream Skin Milky Toner at $36/170 mL with about 1.6K reviews, refill formats and strong hydration/glow signals.</x:v>
      </x:c>
      <x:c r="E311" s="56" t="str">
        <x:v>Sephora / LANEIGE</x:v>
      </x:c>
      <x:c r="F311" s="56" t="str">
        <x:v>https://www.sephora.com/product/cream-skin-refillable-toner-moisturizer-with-ceramides-peptides-P505897</x:v>
      </x:c>
      <x:c r="G311" s="56" t="str">
        <x:v>Authorized Competitor Retailer</x:v>
      </x:c>
      <x:c r="H311" s="56"/>
      <x:c r="I311" s="56" t="str">
        <x:v>2026-07-30</x:v>
      </x:c>
      <x:c r="J311" s="56" t="str">
        <x:v>Verified Competitor Fact</x:v>
      </x:c>
      <x:c r="K311" s="56" t="str">
        <x:v>High</x:v>
      </x:c>
      <x:c r="L311" s="56" t="str">
        <x:v>Yes</x:v>
      </x:c>
      <x:c r="M311" s="56"/>
      <x:c r="N311" s="56" t="str">
        <x:v>Prestige benchmark; counts and price change.</x:v>
      </x:c>
      <x:c r="O311" s="56" t="str">
        <x:v>Codex</x:v>
      </x:c>
    </x:row>
    <x:row r="312" ht="106" customHeight="1">
      <x:c r="A312" s="56" t="str">
        <x:v>SRC-VT-001</x:v>
      </x:c>
      <x:c r="B312" s="56" t="str">
        <x:v>KB007</x:v>
      </x:c>
      <x:c r="C312" s="56" t="str">
        <x:v>Core verification — Official Website</x:v>
      </x:c>
      <x:c r="D312" s="56" t="str">
        <x:v>The current U.S.-serving official storefront is https://globalvt-cosmetics.com and ships to the U.S. in USD.</x:v>
      </x:c>
      <x:c r="E312" s="56" t="str">
        <x:v>VT Cosmetics Official Global</x:v>
      </x:c>
      <x:c r="F312" s="56" t="str">
        <x:v>https://globalvt-cosmetics.com</x:v>
      </x:c>
      <x:c r="G312" s="56" t="str">
        <x:v>Official Brand Site</x:v>
      </x:c>
      <x:c r="H312" s="56"/>
      <x:c r="I312" s="56" t="str">
        <x:v>2026-07-30</x:v>
      </x:c>
      <x:c r="J312" s="56" t="str">
        <x:v>Verified Fact</x:v>
      </x:c>
      <x:c r="K312" s="56" t="str">
        <x:v>High</x:v>
      </x:c>
      <x:c r="L312" s="56" t="str">
        <x:v>Yes</x:v>
      </x:c>
      <x:c r="M312" s="56"/>
      <x:c r="N312" s="56" t="str">
        <x:v>Used as Verified Official Website.</x:v>
      </x:c>
      <x:c r="O312" s="56" t="str">
        <x:v>Codex</x:v>
      </x:c>
    </x:row>
    <x:row r="313" ht="106" customHeight="1">
      <x:c r="A313" s="56" t="str">
        <x:v>SRC-VT-002</x:v>
      </x:c>
      <x:c r="B313" s="56" t="str">
        <x:v>KB007</x:v>
      </x:c>
      <x:c r="C313" s="56" t="str">
        <x:v>Source website correction</x:v>
      </x:c>
      <x:c r="D313" s="56" t="str">
        <x:v>The controlling https://vtcosmetics.com domain resolves but exposed no verifiable storefront content; the Korean official hub is https://vt-cosmetics.com and it links to the global site.</x:v>
      </x:c>
      <x:c r="E313" s="56" t="str">
        <x:v>VT Cosmetics Korean Official</x:v>
      </x:c>
      <x:c r="F313" s="56" t="str">
        <x:v>https://vt-cosmetics.com</x:v>
      </x:c>
      <x:c r="G313" s="56" t="str">
        <x:v>Official Brand Site</x:v>
      </x:c>
      <x:c r="H313" s="56"/>
      <x:c r="I313" s="56" t="str">
        <x:v>2026-07-30</x:v>
      </x:c>
      <x:c r="J313" s="56" t="str">
        <x:v>Verified with Correction</x:v>
      </x:c>
      <x:c r="K313" s="56" t="str">
        <x:v>High</x:v>
      </x:c>
      <x:c r="L313" s="56" t="str">
        <x:v>Yes</x:v>
      </x:c>
      <x:c r="M313" s="56"/>
      <x:c r="N313" s="56" t="str">
        <x:v>Source field preserved; Verified field uses the current U.S.-serving global site.</x:v>
      </x:c>
      <x:c r="O313" s="56" t="str">
        <x:v>Codex</x:v>
      </x:c>
    </x:row>
    <x:row r="314" ht="106" customHeight="1">
      <x:c r="A314" s="56" t="str">
        <x:v>SRC-VT-003</x:v>
      </x:c>
      <x:c r="B314" s="56" t="str">
        <x:v>KB007</x:v>
      </x:c>
      <x:c r="C314" s="56" t="str">
        <x:v>Core verification — Primary Category</x:v>
      </x:c>
      <x:c r="D314" s="56" t="str">
        <x:v>Official navigation lists creams/moisturizers, ampoules/serums, toners/mists, masks, cleansers, lip, spot, eye, hair/body and multiple skincare lines.</x:v>
      </x:c>
      <x:c r="E314" s="56" t="str">
        <x:v>VT Cosmetics Official Global</x:v>
      </x:c>
      <x:c r="F314" s="56" t="str">
        <x:v>https://globalvt-cosmetics.com</x:v>
      </x:c>
      <x:c r="G314" s="56" t="str">
        <x:v>Official Brand Site</x:v>
      </x:c>
      <x:c r="H314" s="56"/>
      <x:c r="I314" s="56" t="str">
        <x:v>2026-07-30</x:v>
      </x:c>
      <x:c r="J314" s="56" t="str">
        <x:v>Verified Category Fact</x:v>
      </x:c>
      <x:c r="K314" s="56" t="str">
        <x:v>High</x:v>
      </x:c>
      <x:c r="L314" s="56" t="str">
        <x:v>Yes</x:v>
      </x:c>
      <x:c r="M314" s="56"/>
      <x:c r="N314" s="56" t="str">
        <x:v>Skincare-led with lip and hair extensions.</x:v>
      </x:c>
      <x:c r="O314" s="56" t="str">
        <x:v>Codex</x:v>
      </x:c>
    </x:row>
    <x:row r="315" ht="106" customHeight="1">
      <x:c r="A315" s="56" t="str">
        <x:v>SRC-VT-004</x:v>
      </x:c>
      <x:c r="B315" s="56" t="str">
        <x:v>KB007</x:v>
      </x:c>
      <x:c r="C315" s="56" t="str">
        <x:v>Brand positioning and claims</x:v>
      </x:c>
      <x:c r="D315" s="56" t="str">
        <x:v>Official About/homepage positions Cica Reedle spicules, micro-needling, absorption, liposome and exosome technology as brand differentiation.</x:v>
      </x:c>
      <x:c r="E315" s="56" t="str">
        <x:v>VT Cosmetics About</x:v>
      </x:c>
      <x:c r="F315" s="56" t="str">
        <x:v>https://globalvt-cosmetics.com/pages/about</x:v>
      </x:c>
      <x:c r="G315" s="56" t="str">
        <x:v>Official Brand Page</x:v>
      </x:c>
      <x:c r="H315" s="56"/>
      <x:c r="I315" s="56" t="str">
        <x:v>2026-07-30</x:v>
      </x:c>
      <x:c r="J315" s="56" t="str">
        <x:v>Verified Brand Claim</x:v>
      </x:c>
      <x:c r="K315" s="56" t="str">
        <x:v>High</x:v>
      </x:c>
      <x:c r="L315" s="56" t="str">
        <x:v>Yes</x:v>
      </x:c>
      <x:c r="M315" s="56"/>
      <x:c r="N315" s="56" t="str">
        <x:v>Claims are brand statements and require U.S. substantiation review.</x:v>
      </x:c>
      <x:c r="O315" s="56" t="str">
        <x:v>Codex</x:v>
      </x:c>
    </x:row>
    <x:row r="316" ht="106" customHeight="1">
      <x:c r="A316" s="56" t="str">
        <x:v>SRC-VT-005</x:v>
      </x:c>
      <x:c r="B316" s="56" t="str">
        <x:v>KB007</x:v>
      </x:c>
      <x:c r="C316" s="56" t="str">
        <x:v>Authorized retailer list</x:v>
      </x:c>
      <x:c r="D316" s="56" t="str">
        <x:v>Official page names Song of Skin and Moida as U.S. authorized sellers, Amazon.US and TikTok Shop as official U.S. malls, plus YesStyle, StyleKorean, iHerb and Olive Young Global among global sellers.</x:v>
      </x:c>
      <x:c r="E316" s="56" t="str">
        <x:v>VT Cosmetics Retailers</x:v>
      </x:c>
      <x:c r="F316" s="56" t="str">
        <x:v>https://globalvt-cosmetics.com/pages/retailers</x:v>
      </x:c>
      <x:c r="G316" s="56" t="str">
        <x:v>Official Authorized-Seller List</x:v>
      </x:c>
      <x:c r="H316" s="56"/>
      <x:c r="I316" s="56" t="str">
        <x:v>2026-07-30</x:v>
      </x:c>
      <x:c r="J316" s="56" t="str">
        <x:v>Verified Channel Fact</x:v>
      </x:c>
      <x:c r="K316" s="56" t="str">
        <x:v>High</x:v>
      </x:c>
      <x:c r="L316" s="56" t="str">
        <x:v>Yes</x:v>
      </x:c>
      <x:c r="M316" s="56"/>
      <x:c r="N316" s="56" t="str">
        <x:v>Page may lag newer Ulta/Target/Nordstrom/Costco placements.</x:v>
      </x:c>
      <x:c r="O316" s="56" t="str">
        <x:v>Codex</x:v>
      </x:c>
    </x:row>
    <x:row r="317" ht="106" customHeight="1">
      <x:c r="A317" s="56" t="str">
        <x:v>SRC-VT-006</x:v>
      </x:c>
      <x:c r="B317" s="56" t="str">
        <x:v>KB007</x:v>
      </x:c>
      <x:c r="C317" s="56" t="str">
        <x:v>Core verification — U.S. awareness</x:v>
      </x:c>
      <x:c r="D317" s="56" t="str">
        <x:v>Official U.S. TikTok Shop displayed 164.2K+ followers, 361.9K sold, 1,594 videos and Official Shop status.</x:v>
      </x:c>
      <x:c r="E317" s="56" t="str">
        <x:v>TikTok Shop U.S.</x:v>
      </x:c>
      <x:c r="F317" s="56" t="str">
        <x:v>https://shop.tiktok.com/us/store/vt-cosmetics-us/7495823638047000965</x:v>
      </x:c>
      <x:c r="G317" s="56" t="str">
        <x:v>Official Social-Commerce Platform</x:v>
      </x:c>
      <x:c r="H317" s="56"/>
      <x:c r="I317" s="56" t="str">
        <x:v>2026-07-30</x:v>
      </x:c>
      <x:c r="J317" s="56" t="str">
        <x:v>Verified Platform Display</x:v>
      </x:c>
      <x:c r="K317" s="56" t="str">
        <x:v>Medium-High</x:v>
      </x:c>
      <x:c r="L317" s="56" t="str">
        <x:v>Yes</x:v>
      </x:c>
      <x:c r="M317" s="56"/>
      <x:c r="N317" s="56" t="str">
        <x:v>Dynamic cumulative signals.</x:v>
      </x:c>
      <x:c r="O317" s="56" t="str">
        <x:v>Codex</x:v>
      </x:c>
    </x:row>
    <x:row r="318" ht="106" customHeight="1">
      <x:c r="A318" s="56" t="str">
        <x:v>SRC-VT-007</x:v>
      </x:c>
      <x:c r="B318" s="56" t="str">
        <x:v>KB007</x:v>
      </x:c>
      <x:c r="C318" s="56" t="str">
        <x:v>TikTok hero — Lip Plumper</x:v>
      </x:c>
      <x:c r="D318" s="56" t="str">
        <x:v>Official shop displayed Reedle Shot Lip Plumper at 3.8 and 187.9K sold for the viral product family.</x:v>
      </x:c>
      <x:c r="E318" s="56" t="str">
        <x:v>TikTok Shop U.S.</x:v>
      </x:c>
      <x:c r="F318" s="56" t="str">
        <x:v>https://shop.tiktok.com/us/pdp/lip-plumper-vt-cosmetics-reedle-shot-gloss-with-cica-jojoba-oil/1730766974399910277</x:v>
      </x:c>
      <x:c r="G318" s="56" t="str">
        <x:v>Official Social-Commerce Product</x:v>
      </x:c>
      <x:c r="H318" s="56"/>
      <x:c r="I318" s="56" t="str">
        <x:v>2026-07-30</x:v>
      </x:c>
      <x:c r="J318" s="56" t="str">
        <x:v>Verified Platform Display</x:v>
      </x:c>
      <x:c r="K318" s="56" t="str">
        <x:v>Medium-High</x:v>
      </x:c>
      <x:c r="L318" s="56" t="str">
        <x:v>Yes</x:v>
      </x:c>
      <x:c r="M318" s="56"/>
      <x:c r="N318" s="56" t="str">
        <x:v>Dynamic cumulative display; variants grouped.</x:v>
      </x:c>
      <x:c r="O318" s="56" t="str">
        <x:v>Codex</x:v>
      </x:c>
    </x:row>
    <x:row r="319" ht="106" customHeight="1">
      <x:c r="A319" s="56" t="str">
        <x:v>SRC-VT-008</x:v>
      </x:c>
      <x:c r="B319" s="56" t="str">
        <x:v>KB007</x:v>
      </x:c>
      <x:c r="C319" s="56" t="str">
        <x:v>TikTok diversification — Hair Ampoule</x:v>
      </x:c>
      <x:c r="D319" s="56" t="str">
        <x:v>Official shop displayed PDRN Reedle Shot Hair Ampoule at 4.2/1.6K and 30.3K sold.</x:v>
      </x:c>
      <x:c r="E319" s="56" t="str">
        <x:v>TikTok Shop U.S.</x:v>
      </x:c>
      <x:c r="F319" s="56" t="str">
        <x:v>https://shop.tiktok.com/us/pdp/pdrn-reedle-shot-hair-ampoule-by-vt-cosmetics-hair-growth-serum-cica-reedle-technology-revitalizing-/1731039086479708549</x:v>
      </x:c>
      <x:c r="G319" s="56" t="str">
        <x:v>Official Social-Commerce Product</x:v>
      </x:c>
      <x:c r="H319" s="56"/>
      <x:c r="I319" s="56" t="str">
        <x:v>2026-07-30</x:v>
      </x:c>
      <x:c r="J319" s="56" t="str">
        <x:v>Verified Platform Display</x:v>
      </x:c>
      <x:c r="K319" s="56" t="str">
        <x:v>Medium-High</x:v>
      </x:c>
      <x:c r="L319" s="56" t="str">
        <x:v>Yes</x:v>
      </x:c>
      <x:c r="M319" s="56"/>
      <x:c r="N319" s="56" t="str">
        <x:v>Hair-growth/strength claims need separate review.</x:v>
      </x:c>
      <x:c r="O319" s="56" t="str">
        <x:v>Codex</x:v>
      </x:c>
    </x:row>
    <x:row r="320" ht="106" customHeight="1">
      <x:c r="A320" s="56" t="str">
        <x:v>SRC-VT-009</x:v>
      </x:c>
      <x:c r="B320" s="56" t="str">
        <x:v>KB007</x:v>
      </x:c>
      <x:c r="C320" s="56" t="str">
        <x:v>Ulta brand breadth</x:v>
      </x:c>
      <x:c r="D320" s="56" t="str">
        <x:v>Ulta displayed 36 VT Cosmetics products, including 31 skincare items and multiple Only-at-Ulta labels.</x:v>
      </x:c>
      <x:c r="E320" s="56" t="str">
        <x:v>Ulta Beauty</x:v>
      </x:c>
      <x:c r="F320" s="56" t="str">
        <x:v>https://www.ulta.com/brand/vt-cosmetics</x:v>
      </x:c>
      <x:c r="G320" s="56" t="str">
        <x:v>Authorized Retailer</x:v>
      </x:c>
      <x:c r="H320" s="56"/>
      <x:c r="I320" s="56" t="str">
        <x:v>2026-07-30</x:v>
      </x:c>
      <x:c r="J320" s="56" t="str">
        <x:v>Verified Retailer Display</x:v>
      </x:c>
      <x:c r="K320" s="56" t="str">
        <x:v>High</x:v>
      </x:c>
      <x:c r="L320" s="56" t="str">
        <x:v>Yes</x:v>
      </x:c>
      <x:c r="M320" s="56"/>
      <x:c r="N320" s="56" t="str">
        <x:v>Prices, counts and exclusivity labels change.</x:v>
      </x:c>
      <x:c r="O320" s="56" t="str">
        <x:v>Codex</x:v>
      </x:c>
    </x:row>
    <x:row r="321" ht="106" customHeight="1">
      <x:c r="A321" s="56" t="str">
        <x:v>SRC-VT-010</x:v>
      </x:c>
      <x:c r="B321" s="56" t="str">
        <x:v>KB007</x:v>
      </x:c>
      <x:c r="C321" s="56" t="str">
        <x:v>Nordstrom brand breadth</x:v>
      </x:c>
      <x:c r="D321" s="56" t="str">
        <x:v>Nordstrom displayed 20 new VT products across Reedle, PDRN, lip, cleanser and hair.</x:v>
      </x:c>
      <x:c r="E321" s="56" t="str">
        <x:v>Nordstrom</x:v>
      </x:c>
      <x:c r="F321" s="56" t="str">
        <x:v>https://www.nordstrom.com/browse/beauty?filterByBrand=vt-cosmetics</x:v>
      </x:c>
      <x:c r="G321" s="56" t="str">
        <x:v>Retailer</x:v>
      </x:c>
      <x:c r="H321" s="56"/>
      <x:c r="I321" s="56" t="str">
        <x:v>2026-07-30</x:v>
      </x:c>
      <x:c r="J321" s="56" t="str">
        <x:v>Verified Retailer Display</x:v>
      </x:c>
      <x:c r="K321" s="56" t="str">
        <x:v>High</x:v>
      </x:c>
      <x:c r="L321" s="56" t="str">
        <x:v>Yes</x:v>
      </x:c>
      <x:c r="M321" s="56"/>
      <x:c r="N321" s="56" t="str">
        <x:v>New assortment; availability changes.</x:v>
      </x:c>
      <x:c r="O321" s="56" t="str">
        <x:v>Codex</x:v>
      </x:c>
    </x:row>
    <x:row r="322" ht="106" customHeight="1">
      <x:c r="A322" s="56" t="str">
        <x:v>SRC-VT-011</x:v>
      </x:c>
      <x:c r="B322" s="56" t="str">
        <x:v>KB007</x:v>
      </x:c>
      <x:c r="C322" s="56" t="str">
        <x:v>Costco presence</x:v>
      </x:c>
      <x:c r="D322" s="56" t="str">
        <x:v>Costco displayed a Reedle Shot 100 3.03 fl oz set and referenced a Reedle Shot 300 two-pack through Costco Next.</x:v>
      </x:c>
      <x:c r="E322" s="56" t="str">
        <x:v>Costco</x:v>
      </x:c>
      <x:c r="F322" s="56" t="str">
        <x:v>https://www.costco.com/p/-/vt-reedle-shot-100-essence-303-fl-oz-set/4000413266</x:v>
      </x:c>
      <x:c r="G322" s="56" t="str">
        <x:v>Retailer</x:v>
      </x:c>
      <x:c r="H322" s="56"/>
      <x:c r="I322" s="56" t="str">
        <x:v>2026-07-30</x:v>
      </x:c>
      <x:c r="J322" s="56" t="str">
        <x:v>Verified Retailer Display</x:v>
      </x:c>
      <x:c r="K322" s="56" t="str">
        <x:v>High</x:v>
      </x:c>
      <x:c r="L322" s="56" t="str">
        <x:v>Yes</x:v>
      </x:c>
      <x:c r="M322" s="56"/>
      <x:c r="N322" s="56" t="str">
        <x:v>Item was unavailable at the observed location; program history still verified.</x:v>
      </x:c>
      <x:c r="O322" s="56" t="str">
        <x:v>Codex</x:v>
      </x:c>
    </x:row>
    <x:row r="323" ht="106" customHeight="1">
      <x:c r="A323" s="56" t="str">
        <x:v>SRC-VT-012</x:v>
      </x:c>
      <x:c r="B323" s="56" t="str">
        <x:v>KB007</x:v>
      </x:c>
      <x:c r="C323" s="56" t="str">
        <x:v>iHerb presence</x:v>
      </x:c>
      <x:c r="D323" s="56" t="str">
        <x:v>iHerb displayed 25 VT treatment/serum results; Reedle Shot 100 showed 2,413 reviews, 200+ sold/30 days and $29.18.</x:v>
      </x:c>
      <x:c r="E323" s="56" t="str">
        <x:v>iHerb</x:v>
      </x:c>
      <x:c r="F323" s="56" t="str">
        <x:v>https://www.iherb.com/c/vt-cosmetics/k-beauty-treatments-serums</x:v>
      </x:c>
      <x:c r="G323" s="56" t="str">
        <x:v>Authorized Global Retailer</x:v>
      </x:c>
      <x:c r="H323" s="56"/>
      <x:c r="I323" s="56" t="str">
        <x:v>2026-07-30</x:v>
      </x:c>
      <x:c r="J323" s="56" t="str">
        <x:v>Verified Retailer Display</x:v>
      </x:c>
      <x:c r="K323" s="56" t="str">
        <x:v>High</x:v>
      </x:c>
      <x:c r="L323" s="56" t="str">
        <x:v>Yes</x:v>
      </x:c>
      <x:c r="M323" s="56"/>
      <x:c r="N323" s="56" t="str">
        <x:v>Country settings and prices change.</x:v>
      </x:c>
      <x:c r="O323" s="56" t="str">
        <x:v>Codex</x:v>
      </x:c>
    </x:row>
    <x:row r="324" ht="106" customHeight="1">
      <x:c r="A324" s="56" t="str">
        <x:v>SRC-VT-013</x:v>
      </x:c>
      <x:c r="B324" s="56" t="str">
        <x:v>KB007</x:v>
      </x:c>
      <x:c r="C324" s="56" t="str">
        <x:v>Walmart marketplace presence</x:v>
      </x:c>
      <x:c r="D324" s="56" t="str">
        <x:v>Walmart displayed Reedle Shot 100 at $29.99, 4.0/15, fulfilled by Walmart and sold by T.E.R Glow; the VT brand browse showed four items.</x:v>
      </x:c>
      <x:c r="E324" s="56" t="str">
        <x:v>Walmart U.S.</x:v>
      </x:c>
      <x:c r="F324" s="56" t="str">
        <x:v>https://www.walmart.com/ip/5105205780</x:v>
      </x:c>
      <x:c r="G324" s="56" t="str">
        <x:v>Marketplace</x:v>
      </x:c>
      <x:c r="H324" s="56"/>
      <x:c r="I324" s="56" t="str">
        <x:v>2026-07-30</x:v>
      </x:c>
      <x:c r="J324" s="56" t="str">
        <x:v>Verified Marketplace Display</x:v>
      </x:c>
      <x:c r="K324" s="56" t="str">
        <x:v>High</x:v>
      </x:c>
      <x:c r="L324" s="56" t="str">
        <x:v>Yes</x:v>
      </x:c>
      <x:c r="M324" s="56"/>
      <x:c r="N324" s="56" t="str">
        <x:v>Seller not named on official U.S. authorized list.</x:v>
      </x:c>
      <x:c r="O324" s="56" t="str">
        <x:v>Codex</x:v>
      </x:c>
    </x:row>
    <x:row r="325" ht="106" customHeight="1">
      <x:c r="A325" s="56" t="str">
        <x:v>SRC-VT-014</x:v>
      </x:c>
      <x:c r="B325" s="56" t="str">
        <x:v>KB007</x:v>
      </x:c>
      <x:c r="C325" s="56" t="str">
        <x:v>Corporate entity and history</x:v>
      </x:c>
      <x:c r="D325" s="56" t="str">
        <x:v>KRX filing identifies VT CO., Ltd., establishment in 1986, cosmetics manufacturing/sales/distribution/e-commerce and the 2019 absorption of former VT Cosmetics.</x:v>
      </x:c>
      <x:c r="E325" s="56" t="str">
        <x:v>Korea Exchange Filing</x:v>
      </x:c>
      <x:c r="F325" s="56" t="str">
        <x:v>https://kind.krx.co.kr/external/2025/03/19/001106/20250319004800/11011.htm</x:v>
      </x:c>
      <x:c r="G325" s="56" t="str">
        <x:v>Regulatory / Corporate Filing</x:v>
      </x:c>
      <x:c r="H325" s="56" t="str">
        <x:v>2025-03-19</x:v>
      </x:c>
      <x:c r="I325" s="56" t="str">
        <x:v>2026-07-30</x:v>
      </x:c>
      <x:c r="J325" s="56" t="str">
        <x:v>Verified Corporate Fact</x:v>
      </x:c>
      <x:c r="K325" s="56" t="str">
        <x:v>High</x:v>
      </x:c>
      <x:c r="L325" s="56" t="str">
        <x:v>Yes</x:v>
      </x:c>
      <x:c r="M325" s="56"/>
      <x:c r="N325" s="56" t="str">
        <x:v>Consumer-brand launch year remains vendor-confirmation item.</x:v>
      </x:c>
      <x:c r="O325" s="56" t="str">
        <x:v>Codex</x:v>
      </x:c>
    </x:row>
    <x:row r="326" ht="106" customHeight="1">
      <x:c r="A326" s="56" t="str">
        <x:v>SRC-VT-015</x:v>
      </x:c>
      <x:c r="B326" s="56" t="str">
        <x:v>KB007</x:v>
      </x:c>
      <x:c r="C326" s="56" t="str">
        <x:v>Official corporate/contact details</x:v>
      </x:c>
      <x:c r="D326" s="56" t="str">
        <x:v>Korean official site lists company registration 539-85-01130, Seoul address, CEOs and overseas sales email.</x:v>
      </x:c>
      <x:c r="E326" s="56" t="str">
        <x:v>VT Cosmetics Korean Official</x:v>
      </x:c>
      <x:c r="F326" s="56" t="str">
        <x:v>https://vt-cosmetics.com/shopinfo/brandstory.html</x:v>
      </x:c>
      <x:c r="G326" s="56" t="str">
        <x:v>Official Brand / Legal Page</x:v>
      </x:c>
      <x:c r="H326" s="56"/>
      <x:c r="I326" s="56" t="str">
        <x:v>2026-07-30</x:v>
      </x:c>
      <x:c r="J326" s="56" t="str">
        <x:v>Verified Entity / Contact Fact</x:v>
      </x:c>
      <x:c r="K326" s="56" t="str">
        <x:v>High</x:v>
      </x:c>
      <x:c r="L326" s="56" t="str">
        <x:v>Yes</x:v>
      </x:c>
      <x:c r="M326" s="56"/>
      <x:c r="N326" s="56" t="str">
        <x:v>Exact U.S. entity roles remain unconfirmed.</x:v>
      </x:c>
      <x:c r="O326" s="56" t="str">
        <x:v>Codex</x:v>
      </x:c>
    </x:row>
    <x:row r="327" ht="106" customHeight="1">
      <x:c r="A327" s="56" t="str">
        <x:v>SRC-VT-016</x:v>
      </x:c>
      <x:c r="B327" s="56" t="str">
        <x:v>KB007</x:v>
      </x:c>
      <x:c r="C327" s="56" t="str">
        <x:v>Historical U.S. awareness and Amazon scale</x:v>
      </x:c>
      <x:c r="D327" s="56" t="str">
        <x:v>Official July 2025 release reported 5.5K Reedle Shot reviews, 10K bought/month, 6K PDRN Essence bought/month and a planned NYC pop-up.</x:v>
      </x:c>
      <x:c r="E327" s="56" t="str">
        <x:v>VT Cosmetics / PR Newswire</x:v>
      </x:c>
      <x:c r="F327" s="56" t="str">
        <x:v>https://www.prnewswire.com/news-releases/vt-cosmetics-unveils-exclusive-amazon-prime-day-deals-on-viral-k-beauty-skincare-302500112.html</x:v>
      </x:c>
      <x:c r="G327" s="56" t="str">
        <x:v>Official Press Release</x:v>
      </x:c>
      <x:c r="H327" s="56" t="str">
        <x:v>2025-07-08</x:v>
      </x:c>
      <x:c r="I327" s="56" t="str">
        <x:v>2026-07-30</x:v>
      </x:c>
      <x:c r="J327" s="56" t="str">
        <x:v>Historical Brand Claim</x:v>
      </x:c>
      <x:c r="K327" s="56" t="str">
        <x:v>Medium-High</x:v>
      </x:c>
      <x:c r="L327" s="56" t="str">
        <x:v>Yes</x:v>
      </x:c>
      <x:c r="M327" s="56"/>
      <x:c r="N327" s="56" t="str">
        <x:v>Current direct checks supersede historical counts.</x:v>
      </x:c>
      <x:c r="O327" s="56" t="str">
        <x:v>Codex</x:v>
      </x:c>
    </x:row>
    <x:row r="328" ht="106" customHeight="1">
      <x:c r="A328" s="56" t="str">
        <x:v>SRC-VT-017</x:v>
      </x:c>
      <x:c r="B328" s="56" t="str">
        <x:v>KB007</x:v>
      </x:c>
      <x:c r="C328" s="56" t="str">
        <x:v>Core verification — Amazon Reedle Shot 100</x:v>
      </x:c>
      <x:c r="D328" s="56" t="str">
        <x:v>Direct page showed $20.34, 4.5/12,535, 10K+ bought/month, #746 Beauty, #27 Facial Serums, sold by VT Cosmetics US and fulfilled by Amazon.</x:v>
      </x:c>
      <x:c r="E328" s="56" t="str">
        <x:v>Amazon U.S.</x:v>
      </x:c>
      <x:c r="F328" s="56" t="str">
        <x:v>https://www.amazon.com/dp/B0C2TQ24VY</x:v>
      </x:c>
      <x:c r="G328" s="56" t="str">
        <x:v>Marketplace</x:v>
      </x:c>
      <x:c r="H328" s="56"/>
      <x:c r="I328" s="56" t="str">
        <x:v>2026-07-30</x:v>
      </x:c>
      <x:c r="J328" s="56" t="str">
        <x:v>Verified Platform Display</x:v>
      </x:c>
      <x:c r="K328" s="56" t="str">
        <x:v>High</x:v>
      </x:c>
      <x:c r="L328" s="56" t="str">
        <x:v>Yes</x:v>
      </x:c>
      <x:c r="M328" s="56"/>
      <x:c r="N328" s="56" t="str">
        <x:v>ASIN B0C2TQ24VY; dynamic.</x:v>
      </x:c>
      <x:c r="O328" s="56" t="str">
        <x:v>Codex</x:v>
      </x:c>
    </x:row>
    <x:row r="329" ht="106" customHeight="1">
      <x:c r="A329" s="56" t="str">
        <x:v>SRC-VT-018</x:v>
      </x:c>
      <x:c r="B329" s="56" t="str">
        <x:v>KB007</x:v>
      </x:c>
      <x:c r="C329" s="56" t="str">
        <x:v>Core verification — Amazon PDRN Essence 100</x:v>
      </x:c>
      <x:c r="D329" s="56" t="str">
        <x:v>Direct page showed $22.10 subscribe-and-save, 4.6/2,506, 10K+ bought/month, #2,245 Beauty, #68 Facial Serums, official seller and Amazon fulfillment.</x:v>
      </x:c>
      <x:c r="E329" s="56" t="str">
        <x:v>Amazon U.S.</x:v>
      </x:c>
      <x:c r="F329" s="56" t="str">
        <x:v>https://www.amazon.com/dp/B0CRKPZ9PQ</x:v>
      </x:c>
      <x:c r="G329" s="56" t="str">
        <x:v>Marketplace</x:v>
      </x:c>
      <x:c r="H329" s="56"/>
      <x:c r="I329" s="56" t="str">
        <x:v>2026-07-30</x:v>
      </x:c>
      <x:c r="J329" s="56" t="str">
        <x:v>Verified Platform Display</x:v>
      </x:c>
      <x:c r="K329" s="56" t="str">
        <x:v>High</x:v>
      </x:c>
      <x:c r="L329" s="56" t="str">
        <x:v>Yes</x:v>
      </x:c>
      <x:c r="M329" s="56"/>
      <x:c r="N329" s="56" t="str">
        <x:v>ASIN B0CRKPZ9PQ; one-time price was $26.</x:v>
      </x:c>
      <x:c r="O329" s="56" t="str">
        <x:v>Codex</x:v>
      </x:c>
    </x:row>
    <x:row r="330" ht="106" customHeight="1">
      <x:c r="A330" s="56" t="str">
        <x:v>SRC-VT-019</x:v>
      </x:c>
      <x:c r="B330" s="56" t="str">
        <x:v>KB007</x:v>
      </x:c>
      <x:c r="C330" s="56" t="str">
        <x:v>Core verification — Amazon PDRN Capsule Cream 100</x:v>
      </x:c>
      <x:c r="D330" s="56" t="str">
        <x:v>Direct page showed $20 one-time, 10K+ bought/month, #5,231 Beauty and #145 Face Moisturizers, sold by VT Cosmetics US and shipped by Amazon.</x:v>
      </x:c>
      <x:c r="E330" s="56" t="str">
        <x:v>Amazon U.S.</x:v>
      </x:c>
      <x:c r="F330" s="56" t="str">
        <x:v>https://www.amazon.com/dp/B0FCMH43M9</x:v>
      </x:c>
      <x:c r="G330" s="56" t="str">
        <x:v>Marketplace</x:v>
      </x:c>
      <x:c r="H330" s="56"/>
      <x:c r="I330" s="56" t="str">
        <x:v>2026-07-30</x:v>
      </x:c>
      <x:c r="J330" s="56" t="str">
        <x:v>Verified Platform Display</x:v>
      </x:c>
      <x:c r="K330" s="56" t="str">
        <x:v>High</x:v>
      </x:c>
      <x:c r="L330" s="56" t="str">
        <x:v>Yes</x:v>
      </x:c>
      <x:c r="M330" s="56"/>
      <x:c r="N330" s="56" t="str">
        <x:v>ASIN B0FCMH43M9; review count not reliably captured.</x:v>
      </x:c>
      <x:c r="O330" s="56" t="str">
        <x:v>Codex</x:v>
      </x:c>
    </x:row>
    <x:row r="331" ht="106" customHeight="1">
      <x:c r="A331" s="56" t="str">
        <x:v>SRC-VT-020</x:v>
      </x:c>
      <x:c r="B331" s="56" t="str">
        <x:v>KB007</x:v>
      </x:c>
      <x:c r="C331" s="56" t="str">
        <x:v>Amazon lower-bound methodology</x:v>
      </x:c>
      <x:c r="D331" s="56" t="str">
        <x:v>Three non-overlapping rounded purchase badges multiplied by observed prices equal at least $624,400/month: $203,400 Reedle + $221,000 Essence + $200,000 Cream.</x:v>
      </x:c>
      <x:c r="E331" s="56" t="str">
        <x:v>Analyst Calculation</x:v>
      </x:c>
      <x:c r="F331" s="56" t="str">
        <x:v>https://www.amazon.com/s?k=VT+Cosmetics</x:v>
      </x:c>
      <x:c r="G331" s="56" t="str">
        <x:v>Derived from Marketplace Displays</x:v>
      </x:c>
      <x:c r="H331" s="56"/>
      <x:c r="I331" s="56" t="str">
        <x:v>2026-07-30</x:v>
      </x:c>
      <x:c r="J331" s="56" t="str">
        <x:v>Conservative Sales Proxy</x:v>
      </x:c>
      <x:c r="K331" s="56" t="str">
        <x:v>Medium-High</x:v>
      </x:c>
      <x:c r="L331" s="56" t="str">
        <x:v>Yes</x:v>
      </x:c>
      <x:c r="M331" s="56"/>
      <x:c r="N331" s="56" t="str">
        <x:v>Not audited revenue; excludes all other SKUs, tax, returns, coupons and variant overlap.</x:v>
      </x:c>
      <x:c r="O331" s="56" t="str">
        <x:v>Codex</x:v>
      </x:c>
    </x:row>
    <x:row r="332" ht="106" customHeight="1">
      <x:c r="A332" s="56" t="str">
        <x:v>SRC-VT-021</x:v>
      </x:c>
      <x:c r="B332" s="56" t="str">
        <x:v>KB007</x:v>
      </x:c>
      <x:c r="C332" s="56" t="str">
        <x:v>Reedle Shot 100 product facts and claim risk</x:v>
      </x:c>
      <x:c r="D332" s="56" t="str">
        <x:v>Official page lists 50 mL, $30.72 list/$27.65 observed sale and uses microneedling, acne-scar, pustule, pigmentation, absorption, repair and regeneration language.</x:v>
      </x:c>
      <x:c r="E332" s="56" t="str">
        <x:v>VT Cosmetics Official</x:v>
      </x:c>
      <x:c r="F332" s="56" t="str">
        <x:v>https://globalvt-cosmetics.com/products/vt-reedle-shot-100</x:v>
      </x:c>
      <x:c r="G332" s="56" t="str">
        <x:v>Official Product Page</x:v>
      </x:c>
      <x:c r="H332" s="56"/>
      <x:c r="I332" s="56" t="str">
        <x:v>2026-07-30</x:v>
      </x:c>
      <x:c r="J332" s="56" t="str">
        <x:v>Verified Product Fact / Claim Risk</x:v>
      </x:c>
      <x:c r="K332" s="56" t="str">
        <x:v>High</x:v>
      </x:c>
      <x:c r="L332" s="56" t="str">
        <x:v>Yes</x:v>
      </x:c>
      <x:c r="M332" s="56"/>
      <x:c r="N332" s="56" t="str">
        <x:v>Do not reuse aggressive claims without U.S. counsel.</x:v>
      </x:c>
      <x:c r="O332" s="56" t="str">
        <x:v>Codex</x:v>
      </x:c>
    </x:row>
    <x:row r="333" ht="106" customHeight="1">
      <x:c r="A333" s="56" t="str">
        <x:v>SRC-VT-022</x:v>
      </x:c>
      <x:c r="B333" s="56" t="str">
        <x:v>KB007</x:v>
      </x:c>
      <x:c r="C333" s="56" t="str">
        <x:v>PDRN Essence 100 product facts</x:v>
      </x:c>
      <x:c r="D333" s="56" t="str">
        <x:v>Official page lists 30 mL, $43.20 list/$34.56 observed sale, 100,000 ppm ginseng-derived PDRN and glow/elasticity positioning.</x:v>
      </x:c>
      <x:c r="E333" s="56" t="str">
        <x:v>VT Cosmetics Official</x:v>
      </x:c>
      <x:c r="F333" s="56" t="str">
        <x:v>https://globalvt-cosmetics.com/products/pdrn-essence-100</x:v>
      </x:c>
      <x:c r="G333" s="56" t="str">
        <x:v>Official Product Page</x:v>
      </x:c>
      <x:c r="H333" s="56"/>
      <x:c r="I333" s="56" t="str">
        <x:v>2026-07-30</x:v>
      </x:c>
      <x:c r="J333" s="56" t="str">
        <x:v>Verified Product Fact / Claim Risk</x:v>
      </x:c>
      <x:c r="K333" s="56" t="str">
        <x:v>High</x:v>
      </x:c>
      <x:c r="L333" s="56" t="str">
        <x:v>Yes</x:v>
      </x:c>
      <x:c r="M333" s="56"/>
      <x:c r="N333" s="56" t="str">
        <x:v>Restoration, fine-line and regeneration language requires substantiation.</x:v>
      </x:c>
      <x:c r="O333" s="56" t="str">
        <x:v>Codex</x:v>
      </x:c>
    </x:row>
    <x:row r="334" ht="106" customHeight="1">
      <x:c r="A334" s="56" t="str">
        <x:v>SRC-VT-023</x:v>
      </x:c>
      <x:c r="B334" s="56" t="str">
        <x:v>KB007</x:v>
      </x:c>
      <x:c r="C334" s="56" t="str">
        <x:v>PDRN Capsule Cream product facts</x:v>
      </x:c>
      <x:c r="D334" s="56" t="str">
        <x:v>Official page lists 50 mL, $32.64 list/$21.22 observed sale and a plant-PDRN capsule gel-cream concept.</x:v>
      </x:c>
      <x:c r="E334" s="56" t="str">
        <x:v>VT Cosmetics Official</x:v>
      </x:c>
      <x:c r="F334" s="56" t="str">
        <x:v>https://globalvt-cosmetics.com/products/pdrn-capsule-cream-100</x:v>
      </x:c>
      <x:c r="G334" s="56" t="str">
        <x:v>Official Product Page</x:v>
      </x:c>
      <x:c r="H334" s="56"/>
      <x:c r="I334" s="56" t="str">
        <x:v>2026-07-30</x:v>
      </x:c>
      <x:c r="J334" s="56" t="str">
        <x:v>Verified Product Fact / Claim Risk</x:v>
      </x:c>
      <x:c r="K334" s="56" t="str">
        <x:v>High</x:v>
      </x:c>
      <x:c r="L334" s="56" t="str">
        <x:v>Yes</x:v>
      </x:c>
      <x:c r="M334" s="56"/>
      <x:c r="N334" s="56" t="str">
        <x:v>Current U.S. shelf price is lower at Ulta/Amazon.</x:v>
      </x:c>
      <x:c r="O334" s="56" t="str">
        <x:v>Codex</x:v>
      </x:c>
    </x:row>
    <x:row r="335" ht="106" customHeight="1">
      <x:c r="A335" s="56" t="str">
        <x:v>SRC-VT-024</x:v>
      </x:c>
      <x:c r="B335" s="56" t="str">
        <x:v>KB007</x:v>
      </x:c>
      <x:c r="C335" s="56" t="str">
        <x:v>Lip Plumper Expert U.S. facts</x:v>
      </x:c>
      <x:c r="D335" s="56" t="str">
        <x:v>Ulta displayed $16, 0.15 oz, 4.6/48 and warnings around strong tingling, sensitive/damaged lips and irritation.</x:v>
      </x:c>
      <x:c r="E335" s="56" t="str">
        <x:v>Ulta Beauty</x:v>
      </x:c>
      <x:c r="F335" s="56" t="str">
        <x:v>https://www.ulta.com/p/reedle-shot-lip-plumper-expert-pimprod2056423</x:v>
      </x:c>
      <x:c r="G335" s="56" t="str">
        <x:v>Authorized Retailer</x:v>
      </x:c>
      <x:c r="H335" s="56"/>
      <x:c r="I335" s="56" t="str">
        <x:v>2026-07-30</x:v>
      </x:c>
      <x:c r="J335" s="56" t="str">
        <x:v>Verified Product / Review Fact</x:v>
      </x:c>
      <x:c r="K335" s="56" t="str">
        <x:v>High</x:v>
      </x:c>
      <x:c r="L335" s="56" t="str">
        <x:v>Yes</x:v>
      </x:c>
      <x:c r="M335" s="56"/>
      <x:c r="N335" s="56" t="str">
        <x:v>Current offers and rating change.</x:v>
      </x:c>
      <x:c r="O335" s="56" t="str">
        <x:v>Codex</x:v>
      </x:c>
    </x:row>
    <x:row r="336" ht="106" customHeight="1">
      <x:c r="A336" s="56" t="str">
        <x:v>SRC-VT-025</x:v>
      </x:c>
      <x:c r="B336" s="56" t="str">
        <x:v>KB007</x:v>
      </x:c>
      <x:c r="C336" s="56" t="str">
        <x:v>Cica Daily Soothing Mask facts</x:v>
      </x:c>
      <x:c r="D336" s="56" t="str">
        <x:v>Official storefront lists 30 sheets/350 g at $21.12 with daily calming/soothing positioning.</x:v>
      </x:c>
      <x:c r="E336" s="56" t="str">
        <x:v>VT Cosmetics Official</x:v>
      </x:c>
      <x:c r="F336" s="56" t="str">
        <x:v>https://globalvt-cosmetics.com/products/vt-cica-daily-soothing-mask-30pcs</x:v>
      </x:c>
      <x:c r="G336" s="56" t="str">
        <x:v>Official Product Page</x:v>
      </x:c>
      <x:c r="H336" s="56"/>
      <x:c r="I336" s="56" t="str">
        <x:v>2026-07-30</x:v>
      </x:c>
      <x:c r="J336" s="56" t="str">
        <x:v>Verified Product Fact</x:v>
      </x:c>
      <x:c r="K336" s="56" t="str">
        <x:v>High</x:v>
      </x:c>
      <x:c r="L336" s="56" t="str">
        <x:v>Yes</x:v>
      </x:c>
      <x:c r="M336" s="56"/>
      <x:c r="N336" s="56" t="str">
        <x:v>Current direct Amazon rank/sales badge not established.</x:v>
      </x:c>
      <x:c r="O336" s="56" t="str">
        <x:v>Codex</x:v>
      </x:c>
    </x:row>
    <x:row r="337" ht="106" customHeight="1">
      <x:c r="A337" s="56" t="str">
        <x:v>SRC-VT-026</x:v>
      </x:c>
      <x:c r="B337" s="56" t="str">
        <x:v>KB007</x:v>
      </x:c>
      <x:c r="C337" s="56" t="str">
        <x:v>Ulta — Reedle Shot 100</x:v>
      </x:c>
      <x:c r="D337" s="56" t="str">
        <x:v>Ulta displayed Reedle Shot 100 at $26, 4.8/535 and Only-at-Ulta labeling.</x:v>
      </x:c>
      <x:c r="E337" s="56" t="str">
        <x:v>Ulta Beauty</x:v>
      </x:c>
      <x:c r="F337" s="56" t="str">
        <x:v>https://www.ulta.com/p/reedle-shot-100-pimprod2051958</x:v>
      </x:c>
      <x:c r="G337" s="56" t="str">
        <x:v>Authorized Retailer</x:v>
      </x:c>
      <x:c r="H337" s="56"/>
      <x:c r="I337" s="56" t="str">
        <x:v>2026-07-30</x:v>
      </x:c>
      <x:c r="J337" s="56" t="str">
        <x:v>Verified Retailer Display</x:v>
      </x:c>
      <x:c r="K337" s="56" t="str">
        <x:v>High</x:v>
      </x:c>
      <x:c r="L337" s="56" t="str">
        <x:v>Yes</x:v>
      </x:c>
      <x:c r="M337" s="56"/>
      <x:c r="N337" s="56" t="str">
        <x:v>Many reviews may be incentivized.</x:v>
      </x:c>
      <x:c r="O337" s="56" t="str">
        <x:v>Codex</x:v>
      </x:c>
    </x:row>
    <x:row r="338" ht="106" customHeight="1">
      <x:c r="A338" s="56" t="str">
        <x:v>SRC-VT-027</x:v>
      </x:c>
      <x:c r="B338" s="56" t="str">
        <x:v>KB007</x:v>
      </x:c>
      <x:c r="C338" s="56" t="str">
        <x:v>Ulta — PDRN Essence 100</x:v>
      </x:c>
      <x:c r="D338" s="56" t="str">
        <x:v>Ulta displayed PDRN Essence 100 at $28, 4.9/527 and Only-at-Ulta labeling.</x:v>
      </x:c>
      <x:c r="E338" s="56" t="str">
        <x:v>Ulta Beauty</x:v>
      </x:c>
      <x:c r="F338" s="56" t="str">
        <x:v>https://www.ulta.com/p/pdrn-essence-100-pimprod2051957</x:v>
      </x:c>
      <x:c r="G338" s="56" t="str">
        <x:v>Authorized Retailer</x:v>
      </x:c>
      <x:c r="H338" s="56"/>
      <x:c r="I338" s="56" t="str">
        <x:v>2026-07-30</x:v>
      </x:c>
      <x:c r="J338" s="56" t="str">
        <x:v>Verified Retailer Display</x:v>
      </x:c>
      <x:c r="K338" s="56" t="str">
        <x:v>High</x:v>
      </x:c>
      <x:c r="L338" s="56" t="str">
        <x:v>Yes</x:v>
      </x:c>
      <x:c r="M338" s="56"/>
      <x:c r="N338" s="56" t="str">
        <x:v>Many sampled reviews disclosed free product.</x:v>
      </x:c>
      <x:c r="O338" s="56" t="str">
        <x:v>Codex</x:v>
      </x:c>
    </x:row>
    <x:row r="339" ht="106" customHeight="1">
      <x:c r="A339" s="56" t="str">
        <x:v>SRC-VT-028</x:v>
      </x:c>
      <x:c r="B339" s="56" t="str">
        <x:v>KB007</x:v>
      </x:c>
      <x:c r="C339" s="56" t="str">
        <x:v>Ulta — PDRN Capsule Cream 100</x:v>
      </x:c>
      <x:c r="D339" s="56" t="str">
        <x:v>Ulta displayed Capsule Cream at $20 and 4.9/35.</x:v>
      </x:c>
      <x:c r="E339" s="56" t="str">
        <x:v>Ulta Beauty</x:v>
      </x:c>
      <x:c r="F339" s="56" t="str">
        <x:v>https://www.ulta.com/p/pdrn-capsule-cream-100-pimprod2056426</x:v>
      </x:c>
      <x:c r="G339" s="56" t="str">
        <x:v>Authorized Retailer</x:v>
      </x:c>
      <x:c r="H339" s="56"/>
      <x:c r="I339" s="56" t="str">
        <x:v>2026-07-30</x:v>
      </x:c>
      <x:c r="J339" s="56" t="str">
        <x:v>Verified Retailer Display</x:v>
      </x:c>
      <x:c r="K339" s="56" t="str">
        <x:v>High</x:v>
      </x:c>
      <x:c r="L339" s="56" t="str">
        <x:v>Yes</x:v>
      </x:c>
      <x:c r="M339" s="56"/>
      <x:c r="N339" s="56" t="str">
        <x:v>Small current review base.</x:v>
      </x:c>
      <x:c r="O339" s="56" t="str">
        <x:v>Codex</x:v>
      </x:c>
    </x:row>
    <x:row r="340" ht="106" customHeight="1">
      <x:c r="A340" s="56" t="str">
        <x:v>SRC-VT-029</x:v>
      </x:c>
      <x:c r="B340" s="56" t="str">
        <x:v>KB007</x:v>
      </x:c>
      <x:c r="C340" s="56" t="str">
        <x:v>Reddit — sensitive-skin tolerance</x:v>
      </x:c>
      <x:c r="D340" s="56" t="str">
        <x:v>Thread reports prickling, hours of redness and variable acclimation; some sensitive users tolerate Reedle 50/100 cautiously.</x:v>
      </x:c>
      <x:c r="E340" s="56" t="str">
        <x:v>Reddit r/AsianBeauty</x:v>
      </x:c>
      <x:c r="F340" s="56" t="str">
        <x:v>https://www.reddit.com/r/AsianBeauty/comments/1d4mgx8/has_anyone_with_sensitive_skin_tried_the_vt/</x:v>
      </x:c>
      <x:c r="G340" s="56" t="str">
        <x:v>Consumer Forum</x:v>
      </x:c>
      <x:c r="H340" s="56" t="str">
        <x:v>2024-05-30</x:v>
      </x:c>
      <x:c r="I340" s="56" t="str">
        <x:v>2026-07-30</x:v>
      </x:c>
      <x:c r="J340" s="56" t="str">
        <x:v>Anecdotal Consumer Evidence</x:v>
      </x:c>
      <x:c r="K340" s="56" t="str">
        <x:v>Low-Medium</x:v>
      </x:c>
      <x:c r="L340" s="56" t="str">
        <x:v>Mixed</x:v>
      </x:c>
      <x:c r="M340" s="56"/>
      <x:c r="N340" s="56" t="str">
        <x:v>Self-selected; no causation.</x:v>
      </x:c>
      <x:c r="O340" s="56" t="str">
        <x:v>Codex</x:v>
      </x:c>
    </x:row>
    <x:row r="341" ht="106" customHeight="1">
      <x:c r="A341" s="56" t="str">
        <x:v>SRC-VT-030</x:v>
      </x:c>
      <x:c r="B341" s="56" t="str">
        <x:v>KB007</x:v>
      </x:c>
      <x:c r="C341" s="56" t="str">
        <x:v>Reddit — general Reedle experience</x:v>
      </x:c>
      <x:c r="D341" s="56" t="str">
        <x:v>Large discussion covers texture/glow benefits, prickling sensation, active-stacking questions and safety uncertainty.</x:v>
      </x:c>
      <x:c r="E341" s="56" t="str">
        <x:v>Reddit r/AsianBeauty</x:v>
      </x:c>
      <x:c r="F341" s="56" t="str">
        <x:v>https://www.reddit.com/r/AsianBeauty/comments/1aw5qv8/vt_cosmetics_reedle_shot/</x:v>
      </x:c>
      <x:c r="G341" s="56" t="str">
        <x:v>Consumer Forum</x:v>
      </x:c>
      <x:c r="H341" s="56" t="str">
        <x:v>2024-02-22</x:v>
      </x:c>
      <x:c r="I341" s="56" t="str">
        <x:v>2026-07-30</x:v>
      </x:c>
      <x:c r="J341" s="56" t="str">
        <x:v>Anecdotal Consumer Evidence</x:v>
      </x:c>
      <x:c r="K341" s="56" t="str">
        <x:v>Low-Medium</x:v>
      </x:c>
      <x:c r="L341" s="56" t="str">
        <x:v>Mixed</x:v>
      </x:c>
      <x:c r="M341" s="56"/>
      <x:c r="N341" s="56" t="str">
        <x:v>Useful for education themes.</x:v>
      </x:c>
      <x:c r="O341" s="56" t="str">
        <x:v>Codex</x:v>
      </x:c>
    </x:row>
    <x:row r="342" ht="106" customHeight="1">
      <x:c r="A342" s="56" t="str">
        <x:v>SRC-VT-031</x:v>
      </x:c>
      <x:c r="B342" s="56" t="str">
        <x:v>KB007</x:v>
      </x:c>
      <x:c r="C342" s="56" t="str">
        <x:v>Reddit — recent positive brand review</x:v>
      </x:c>
      <x:c r="D342" s="56" t="str">
        <x:v>Recent multi-product review reports texture/glow benefits while commenters note high sponsorship density.</x:v>
      </x:c>
      <x:c r="E342" s="56" t="str">
        <x:v>Reddit r/AsianBeauty</x:v>
      </x:c>
      <x:c r="F342" s="56" t="str">
        <x:v>https://www.reddit.com/r/AsianBeauty/comments/1q61zh6/vt_cosmetics_review/</x:v>
      </x:c>
      <x:c r="G342" s="56" t="str">
        <x:v>Consumer Forum</x:v>
      </x:c>
      <x:c r="H342" s="56" t="str">
        <x:v>2026-01-08</x:v>
      </x:c>
      <x:c r="I342" s="56" t="str">
        <x:v>2026-07-30</x:v>
      </x:c>
      <x:c r="J342" s="56" t="str">
        <x:v>Anecdotal Consumer Evidence</x:v>
      </x:c>
      <x:c r="K342" s="56" t="str">
        <x:v>Low-Medium</x:v>
      </x:c>
      <x:c r="L342" s="56" t="str">
        <x:v>Mixed</x:v>
      </x:c>
      <x:c r="M342" s="56"/>
      <x:c r="N342" s="56" t="str">
        <x:v>Independent disclosure quality varies.</x:v>
      </x:c>
      <x:c r="O342" s="56" t="str">
        <x:v>Codex</x:v>
      </x:c>
    </x:row>
    <x:row r="343" ht="106" customHeight="1">
      <x:c r="A343" s="56" t="str">
        <x:v>SRC-VT-032</x:v>
      </x:c>
      <x:c r="B343" s="56" t="str">
        <x:v>KB007</x:v>
      </x:c>
      <x:c r="C343" s="56" t="str">
        <x:v>Reddit — critical/overhyped view</x:v>
      </x:c>
      <x:c r="D343" s="56" t="str">
        <x:v>Critical thread reports whiteheads, pimples, reactions and improvement after stopping for some users.</x:v>
      </x:c>
      <x:c r="E343" s="56" t="str">
        <x:v>Reddit r/AsianBeauty</x:v>
      </x:c>
      <x:c r="F343" s="56" t="str">
        <x:v>https://www.reddit.com/r/AsianBeauty/comments/1pujpi0/unpopular_opinion_vt_reedle_products_are/</x:v>
      </x:c>
      <x:c r="G343" s="56" t="str">
        <x:v>Consumer Forum</x:v>
      </x:c>
      <x:c r="H343" s="56" t="str">
        <x:v>2025-12-22</x:v>
      </x:c>
      <x:c r="I343" s="56" t="str">
        <x:v>2026-07-30</x:v>
      </x:c>
      <x:c r="J343" s="56" t="str">
        <x:v>Anecdotal Adverse-Experience Evidence</x:v>
      </x:c>
      <x:c r="K343" s="56" t="str">
        <x:v>Low-Medium</x:v>
      </x:c>
      <x:c r="L343" s="56" t="str">
        <x:v>Mixed</x:v>
      </x:c>
      <x:c r="M343" s="56"/>
      <x:c r="N343" s="56" t="str">
        <x:v>Self-selected; no causation.</x:v>
      </x:c>
      <x:c r="O343" s="56" t="str">
        <x:v>Codex</x:v>
      </x:c>
    </x:row>
    <x:row r="344" ht="106" customHeight="1">
      <x:c r="A344" s="56" t="str">
        <x:v>SRC-VT-033</x:v>
      </x:c>
      <x:c r="B344" s="56" t="str">
        <x:v>KB007</x:v>
      </x:c>
      <x:c r="C344" s="56" t="str">
        <x:v>Reddit — recent Reedle/PDRN review</x:v>
      </x:c>
      <x:c r="D344" s="56" t="str">
        <x:v>Recent detailed review describes PDRN ampoule and Reedle use, including packaging and sensory observations.</x:v>
      </x:c>
      <x:c r="E344" s="56" t="str">
        <x:v>Reddit r/AsianBeauty</x:v>
      </x:c>
      <x:c r="F344" s="56" t="str">
        <x:v>https://www.reddit.com/r/AsianBeauty/comments/1txdwxh/vt_cosmetics_review_pdrn_ampoule_and_vt_reedle/</x:v>
      </x:c>
      <x:c r="G344" s="56" t="str">
        <x:v>Consumer Forum</x:v>
      </x:c>
      <x:c r="H344" s="56" t="str">
        <x:v>2026-06</x:v>
      </x:c>
      <x:c r="I344" s="56" t="str">
        <x:v>2026-07-30</x:v>
      </x:c>
      <x:c r="J344" s="56" t="str">
        <x:v>Anecdotal Consumer Evidence</x:v>
      </x:c>
      <x:c r="K344" s="56" t="str">
        <x:v>Low</x:v>
      </x:c>
      <x:c r="L344" s="56" t="str">
        <x:v>Mixed</x:v>
      </x:c>
      <x:c r="M344" s="56"/>
      <x:c r="N344" s="56" t="str">
        <x:v>Recent but small sample.</x:v>
      </x:c>
      <x:c r="O344" s="56" t="str">
        <x:v>Codex</x:v>
      </x:c>
    </x:row>
    <x:row r="345" ht="106" customHeight="1">
      <x:c r="A345" s="56" t="str">
        <x:v>SRC-VT-034</x:v>
      </x:c>
      <x:c r="B345" s="56" t="str">
        <x:v>KB007</x:v>
      </x:c>
      <x:c r="C345" s="56" t="str">
        <x:v>Reddit — suspected fake Reedle Shot</x:v>
      </x:c>
      <x:c r="D345" s="56" t="str">
        <x:v>Consumers discuss packaging differences and wrong-product/seller concerns.</x:v>
      </x:c>
      <x:c r="E345" s="56" t="str">
        <x:v>Reddit r/koreanskincare</x:v>
      </x:c>
      <x:c r="F345" s="56" t="str">
        <x:v>https://www.reddit.com/r/koreanskincare/comments/1utdaf8/reedle_shot_100_fake/</x:v>
      </x:c>
      <x:c r="G345" s="56" t="str">
        <x:v>Consumer Forum</x:v>
      </x:c>
      <x:c r="H345" s="56" t="str">
        <x:v>2026-07</x:v>
      </x:c>
      <x:c r="I345" s="56" t="str">
        <x:v>2026-07-30</x:v>
      </x:c>
      <x:c r="J345" s="56" t="str">
        <x:v>Anecdotal Authenticity Risk</x:v>
      </x:c>
      <x:c r="K345" s="56" t="str">
        <x:v>Low-Medium</x:v>
      </x:c>
      <x:c r="L345" s="56" t="str">
        <x:v>Mixed</x:v>
      </x:c>
      <x:c r="M345" s="56"/>
      <x:c r="N345" s="56" t="str">
        <x:v>Not proof of counterfeit; supports lot/seller verification need.</x:v>
      </x:c>
      <x:c r="O345" s="56" t="str">
        <x:v>Codex</x:v>
      </x:c>
    </x:row>
    <x:row r="346" ht="106" customHeight="1">
      <x:c r="A346" s="56" t="str">
        <x:v>SRC-VT-035</x:v>
      </x:c>
      <x:c r="B346" s="56" t="str">
        <x:v>KB007</x:v>
      </x:c>
      <x:c r="C346" s="56" t="str">
        <x:v>Reddit — topical PDRN skepticism</x:v>
      </x:c>
      <x:c r="D346" s="56" t="str">
        <x:v>Community discussion combines repurchase/hydration reports with skepticism about topical PDRN evidence and mechanism.</x:v>
      </x:c>
      <x:c r="E346" s="56" t="str">
        <x:v>Reddit r/AsianBeauty</x:v>
      </x:c>
      <x:c r="F346" s="56" t="str">
        <x:v>https://www.reddit.com/r/AsianBeauty/comments/1e2p52p/thoughts_on_pdrn_as_a_topical_skincare_ingredient/</x:v>
      </x:c>
      <x:c r="G346" s="56" t="str">
        <x:v>Consumer Forum</x:v>
      </x:c>
      <x:c r="H346" s="56" t="str">
        <x:v>2024-07-13</x:v>
      </x:c>
      <x:c r="I346" s="56" t="str">
        <x:v>2026-07-30</x:v>
      </x:c>
      <x:c r="J346" s="56" t="str">
        <x:v>Anecdotal Consumer / Evidence Sentiment</x:v>
      </x:c>
      <x:c r="K346" s="56" t="str">
        <x:v>Low-Medium</x:v>
      </x:c>
      <x:c r="L346" s="56" t="str">
        <x:v>Mixed</x:v>
      </x:c>
      <x:c r="M346" s="56"/>
      <x:c r="N346" s="56" t="str">
        <x:v>Does not substitute for scientific review.</x:v>
      </x:c>
      <x:c r="O346" s="56" t="str">
        <x:v>Codex</x:v>
      </x:c>
    </x:row>
    <x:row r="347" ht="106" customHeight="1">
      <x:c r="A347" s="56" t="str">
        <x:v>SRC-VT-036</x:v>
      </x:c>
      <x:c r="B347" s="56" t="str">
        <x:v>KB007</x:v>
      </x:c>
      <x:c r="C347" s="56" t="str">
        <x:v>Reddit — Capsule Cream review</x:v>
      </x:c>
      <x:c r="D347" s="56" t="str">
        <x:v>Single review describes light texture, fast absorption, glow and non-oily finish.</x:v>
      </x:c>
      <x:c r="E347" s="56" t="str">
        <x:v>Reddit r/AsianBeauty</x:v>
      </x:c>
      <x:c r="F347" s="56" t="str">
        <x:v>https://www.reddit.com/r/AsianBeauty/comments/1qzed0g/vt_cosmetics_pdrn_capsule_cream_review/</x:v>
      </x:c>
      <x:c r="G347" s="56" t="str">
        <x:v>Consumer Forum</x:v>
      </x:c>
      <x:c r="H347" s="56" t="str">
        <x:v>2026-01-26</x:v>
      </x:c>
      <x:c r="I347" s="56" t="str">
        <x:v>2026-07-30</x:v>
      </x:c>
      <x:c r="J347" s="56" t="str">
        <x:v>Anecdotal Consumer Evidence</x:v>
      </x:c>
      <x:c r="K347" s="56" t="str">
        <x:v>Low</x:v>
      </x:c>
      <x:c r="L347" s="56" t="str">
        <x:v>Mixed</x:v>
      </x:c>
      <x:c r="M347" s="56"/>
      <x:c r="N347" s="56" t="str">
        <x:v>Single-user evidence.</x:v>
      </x:c>
      <x:c r="O347" s="56" t="str">
        <x:v>Codex</x:v>
      </x:c>
    </x:row>
    <x:row r="348" ht="106" customHeight="1">
      <x:c r="A348" s="56" t="str">
        <x:v>SRC-VT-037</x:v>
      </x:c>
      <x:c r="B348" s="56" t="str">
        <x:v>KB007</x:v>
      </x:c>
      <x:c r="C348" s="56" t="str">
        <x:v>Reddit — daily sheet masks</x:v>
      </x:c>
      <x:c r="D348" s="56" t="str">
        <x:v>Discussion supports calming/hydration convenience but questions necessity of daily masking and notes sensitivity/hygiene considerations.</x:v>
      </x:c>
      <x:c r="E348" s="56" t="str">
        <x:v>Reddit r/AsianBeauty</x:v>
      </x:c>
      <x:c r="F348" s="56" t="str">
        <x:v>https://www.reddit.com/r/AsianBeauty/comments/1cq0j38/sheet_masks_every_day_reviving_an_old_topic/</x:v>
      </x:c>
      <x:c r="G348" s="56" t="str">
        <x:v>Consumer Forum</x:v>
      </x:c>
      <x:c r="H348" s="56" t="str">
        <x:v>2024-05-14</x:v>
      </x:c>
      <x:c r="I348" s="56" t="str">
        <x:v>2026-07-30</x:v>
      </x:c>
      <x:c r="J348" s="56" t="str">
        <x:v>Anecdotal Category Evidence</x:v>
      </x:c>
      <x:c r="K348" s="56" t="str">
        <x:v>Low-Medium</x:v>
      </x:c>
      <x:c r="L348" s="56" t="str">
        <x:v>Mixed</x:v>
      </x:c>
      <x:c r="M348" s="56"/>
      <x:c r="N348" s="56" t="str">
        <x:v>Category-level, not VT-only.</x:v>
      </x:c>
      <x:c r="O348" s="56" t="str">
        <x:v>Codex</x:v>
      </x:c>
    </x:row>
    <x:row r="349" ht="106" customHeight="1">
      <x:c r="A349" s="56" t="str">
        <x:v>SRC-VT-038</x:v>
      </x:c>
      <x:c r="B349" s="56" t="str">
        <x:v>KB007</x:v>
      </x:c>
      <x:c r="C349" s="56" t="str">
        <x:v>TikTok Lip Plumper product review detail</x:v>
      </x:c>
      <x:c r="D349" s="56" t="str">
        <x:v>Official listing displayed 3.8/17.8K, 188.4K sold and verified-purchase examples describing high plumping and high pain.</x:v>
      </x:c>
      <x:c r="E349" s="56" t="str">
        <x:v>TikTok Shop U.S.</x:v>
      </x:c>
      <x:c r="F349" s="56" t="str">
        <x:v>https://shop.tiktok.com/us/pdp/lip-plumper-vt-cosmetics-reedle-shot-gloss-with-cica-jojoba-oil/1730766974399910277</x:v>
      </x:c>
      <x:c r="G349" s="56" t="str">
        <x:v>Official Social-Commerce Product</x:v>
      </x:c>
      <x:c r="H349" s="56"/>
      <x:c r="I349" s="56" t="str">
        <x:v>2026-07-30</x:v>
      </x:c>
      <x:c r="J349" s="56" t="str">
        <x:v>Verified Platform / Consumer Aggregate</x:v>
      </x:c>
      <x:c r="K349" s="56" t="str">
        <x:v>Medium-High</x:v>
      </x:c>
      <x:c r="L349" s="56" t="str">
        <x:v>Yes</x:v>
      </x:c>
      <x:c r="M349" s="56"/>
      <x:c r="N349" s="56" t="str">
        <x:v>Counts are dynamic and variant-grouped.</x:v>
      </x:c>
      <x:c r="O349" s="56" t="str">
        <x:v>Codex</x:v>
      </x:c>
    </x:row>
    <x:row r="350" ht="106" customHeight="1">
      <x:c r="A350" s="56" t="str">
        <x:v>SRC-VT-039</x:v>
      </x:c>
      <x:c r="B350" s="56" t="str">
        <x:v>KB007</x:v>
      </x:c>
      <x:c r="C350" s="56" t="str">
        <x:v>FDA — cosmetic labeling claims</x:v>
      </x:c>
      <x:c r="D350" s="56" t="str">
        <x:v>FDA states that disease-treatment or structure/function claims can make a product a drug even if it affects appearance.</x:v>
      </x:c>
      <x:c r="E350" s="56" t="str">
        <x:v>U.S. FDA</x:v>
      </x:c>
      <x:c r="F350" s="56" t="str">
        <x:v>https://www.fda.gov/cosmetics/cosmetics-labeling/cosmetics-labeling-claims</x:v>
      </x:c>
      <x:c r="G350" s="56" t="str">
        <x:v>Regulator</x:v>
      </x:c>
      <x:c r="H350" s="56"/>
      <x:c r="I350" s="56" t="str">
        <x:v>2026-07-30</x:v>
      </x:c>
      <x:c r="J350" s="56" t="str">
        <x:v>Verified Regulatory Requirement</x:v>
      </x:c>
      <x:c r="K350" s="56" t="str">
        <x:v>High</x:v>
      </x:c>
      <x:c r="L350" s="56" t="str">
        <x:v>Yes</x:v>
      </x:c>
      <x:c r="M350" s="56"/>
      <x:c r="N350" s="56" t="str">
        <x:v>Review acne, pustule, repair, regeneration and penetration language.</x:v>
      </x:c>
      <x:c r="O350" s="56" t="str">
        <x:v>Codex</x:v>
      </x:c>
    </x:row>
    <x:row r="351" ht="106" customHeight="1">
      <x:c r="A351" s="56" t="str">
        <x:v>SRC-VT-040</x:v>
      </x:c>
      <x:c r="B351" s="56" t="str">
        <x:v>KB007</x:v>
      </x:c>
      <x:c r="C351" s="56" t="str">
        <x:v>FDA — microneedling consumer guidance</x:v>
      </x:c>
      <x:c r="D351" s="56" t="str">
        <x:v>FDA distinguishes products limited to exfoliation/appearance from devices that penetrate living skin, and lists irritation/infection risks.</x:v>
      </x:c>
      <x:c r="E351" s="56" t="str">
        <x:v>U.S. FDA</x:v>
      </x:c>
      <x:c r="F351" s="56" t="str">
        <x:v>https://www.fda.gov/consumers/consumer-updates/microneedling-devices-getting-point-benefits-risks-and-safety</x:v>
      </x:c>
      <x:c r="G351" s="56" t="str">
        <x:v>Regulator</x:v>
      </x:c>
      <x:c r="H351" s="56"/>
      <x:c r="I351" s="56" t="str">
        <x:v>2026-07-30</x:v>
      </x:c>
      <x:c r="J351" s="56" t="str">
        <x:v>Verified Regulatory Context</x:v>
      </x:c>
      <x:c r="K351" s="56" t="str">
        <x:v>High</x:v>
      </x:c>
      <x:c r="L351" s="56" t="str">
        <x:v>Yes</x:v>
      </x:c>
      <x:c r="M351" s="56"/>
      <x:c r="N351" s="56" t="str">
        <x:v>VT serum is not declared a device here; intended-use review is product-specific.</x:v>
      </x:c>
      <x:c r="O351" s="56" t="str">
        <x:v>Codex</x:v>
      </x:c>
    </x:row>
    <x:row r="352" ht="106" customHeight="1">
      <x:c r="A352" s="56" t="str">
        <x:v>SRC-VT-041</x:v>
      </x:c>
      <x:c r="B352" s="56" t="str">
        <x:v>KB007</x:v>
      </x:c>
      <x:c r="C352" s="56" t="str">
        <x:v>FDA — microneedling devices</x:v>
      </x:c>
      <x:c r="D352" s="56" t="str">
        <x:v>FDA says microneedling devices are not approved for delivery of cosmetics/topicals and device status can depend on tissue penetration and claims.</x:v>
      </x:c>
      <x:c r="E352" s="56" t="str">
        <x:v>U.S. FDA</x:v>
      </x:c>
      <x:c r="F352" s="56" t="str">
        <x:v>https://www.fda.gov/medical-devices/aesthetic-cosmetic-devices/microneedling-devices</x:v>
      </x:c>
      <x:c r="G352" s="56" t="str">
        <x:v>Regulator</x:v>
      </x:c>
      <x:c r="H352" s="56"/>
      <x:c r="I352" s="56" t="str">
        <x:v>2026-07-30</x:v>
      </x:c>
      <x:c r="J352" s="56" t="str">
        <x:v>Verified Regulatory Context</x:v>
      </x:c>
      <x:c r="K352" s="56" t="str">
        <x:v>High</x:v>
      </x:c>
      <x:c r="L352" s="56" t="str">
        <x:v>Yes</x:v>
      </x:c>
      <x:c r="M352" s="56"/>
      <x:c r="N352" s="56" t="str">
        <x:v>Use as claim-boundary context, not a finding that VT is a device.</x:v>
      </x:c>
      <x:c r="O352" s="56" t="str">
        <x:v>Codex</x:v>
      </x:c>
    </x:row>
    <x:row r="353" ht="106" customHeight="1">
      <x:c r="A353" s="56" t="str">
        <x:v>SRC-VT-042</x:v>
      </x:c>
      <x:c r="B353" s="56" t="str">
        <x:v>KB007</x:v>
      </x:c>
      <x:c r="C353" s="56" t="str">
        <x:v>FDA — microneedling regulatory guidance</x:v>
      </x:c>
      <x:c r="D353" s="56" t="str">
        <x:v>Guidance explains that penetration beyond the stratum corneum and structure/function claims can trigger device considerations.</x:v>
      </x:c>
      <x:c r="E353" s="56" t="str">
        <x:v>U.S. FDA</x:v>
      </x:c>
      <x:c r="F353" s="56" t="str">
        <x:v>https://www.fda.gov/regulatory-information/search-fda-guidance-documents/regulatory-considerations-microneedling-products</x:v>
      </x:c>
      <x:c r="G353" s="56" t="str">
        <x:v>Regulator</x:v>
      </x:c>
      <x:c r="H353" s="56"/>
      <x:c r="I353" s="56" t="str">
        <x:v>2026-07-30</x:v>
      </x:c>
      <x:c r="J353" s="56" t="str">
        <x:v>Verified Regulatory Context</x:v>
      </x:c>
      <x:c r="K353" s="56" t="str">
        <x:v>High</x:v>
      </x:c>
      <x:c r="L353" s="56" t="str">
        <x:v>Yes</x:v>
      </x:c>
      <x:c r="M353" s="56"/>
      <x:c r="N353" s="56" t="str">
        <x:v>Qualified counsel should assess actual product, evidence and intended use.</x:v>
      </x:c>
      <x:c r="O353" s="56" t="str">
        <x:v>Codex</x:v>
      </x:c>
    </x:row>
    <x:row r="354" ht="106" customHeight="1">
      <x:c r="A354" s="56" t="str">
        <x:v>SRC-VT-043</x:v>
      </x:c>
      <x:c r="B354" s="56" t="str">
        <x:v>KB007</x:v>
      </x:c>
      <x:c r="C354" s="56" t="str">
        <x:v>FDA — MoCRA registration/listing</x:v>
      </x:c>
      <x:c r="D354" s="56" t="str">
        <x:v>FDA explains cosmetic facility registration and product-listing obligations and responsible-person roles.</x:v>
      </x:c>
      <x:c r="E354" s="56" t="str">
        <x:v>U.S. FDA</x:v>
      </x:c>
      <x:c r="F354" s="56" t="str">
        <x:v>https://www.fda.gov/cosmetics/registration-listing-cosmetic-product-facilities-and-products</x:v>
      </x:c>
      <x:c r="G354" s="56" t="str">
        <x:v>Regulator</x:v>
      </x:c>
      <x:c r="H354" s="56"/>
      <x:c r="I354" s="56" t="str">
        <x:v>2026-07-30</x:v>
      </x:c>
      <x:c r="J354" s="56" t="str">
        <x:v>Verified Regulatory Requirement</x:v>
      </x:c>
      <x:c r="K354" s="56" t="str">
        <x:v>High</x:v>
      </x:c>
      <x:c r="L354" s="56" t="str">
        <x:v>Yes</x:v>
      </x:c>
      <x:c r="M354" s="56"/>
      <x:c r="N354" s="56" t="str">
        <x:v>Registration/listing is not FDA approval.</x:v>
      </x:c>
      <x:c r="O354" s="56" t="str">
        <x:v>Codex</x:v>
      </x:c>
    </x:row>
    <x:row r="355" ht="106" customHeight="1">
      <x:c r="A355" s="56" t="str">
        <x:v>SRC-VT-044</x:v>
      </x:c>
      <x:c r="B355" s="56" t="str">
        <x:v>KB007</x:v>
      </x:c>
      <x:c r="C355" s="56" t="str">
        <x:v>Walmart authenticity and adverse comments</x:v>
      </x:c>
      <x:c r="D355" s="56" t="str">
        <x:v>Sample Walmart page included verified-purchase rash and alleged-fake complaints across seller contexts.</x:v>
      </x:c>
      <x:c r="E355" s="56" t="str">
        <x:v>Walmart Reviews</x:v>
      </x:c>
      <x:c r="F355" s="56" t="str">
        <x:v>https://www.walmart.com/ip/5105205780</x:v>
      </x:c>
      <x:c r="G355" s="56" t="str">
        <x:v>Marketplace Consumer Reviews</x:v>
      </x:c>
      <x:c r="H355" s="56"/>
      <x:c r="I355" s="56" t="str">
        <x:v>2026-07-30</x:v>
      </x:c>
      <x:c r="J355" s="56" t="str">
        <x:v>Verified Risk Signal</x:v>
      </x:c>
      <x:c r="K355" s="56" t="str">
        <x:v>Medium-High</x:v>
      </x:c>
      <x:c r="L355" s="56" t="str">
        <x:v>Yes</x:v>
      </x:c>
      <x:c r="M355" s="56"/>
      <x:c r="N355" s="56" t="str">
        <x:v>Anecdotal complaints; not proof that all units are counterfeit.</x:v>
      </x:c>
      <x:c r="O355" s="56" t="str">
        <x:v>Codex</x:v>
      </x:c>
    </x:row>
    <x:row r="356" ht="106" customHeight="1">
      <x:c r="A356" s="56" t="str">
        <x:v>SRC-VT-045</x:v>
      </x:c>
      <x:c r="B356" s="56" t="str">
        <x:v>KB007</x:v>
      </x:c>
      <x:c r="C356" s="56" t="str">
        <x:v>Competitor — Medicube Exosome Shot 2000</x:v>
      </x:c>
      <x:c r="D356" s="56" t="str">
        <x:v>Ulta displayed $23.90, 4.7/13 and directly overlapping spicule/exosome pore-treatment positioning.</x:v>
      </x:c>
      <x:c r="E356" s="56" t="str">
        <x:v>Ulta Beauty / Medicube</x:v>
      </x:c>
      <x:c r="F356" s="56" t="str">
        <x:v>https://www.ulta.com/p/one-day-exosome-shot-2000-pimprod2053645</x:v>
      </x:c>
      <x:c r="G356" s="56" t="str">
        <x:v>Authorized Competitor Retailer</x:v>
      </x:c>
      <x:c r="H356" s="56"/>
      <x:c r="I356" s="56" t="str">
        <x:v>2026-07-30</x:v>
      </x:c>
      <x:c r="J356" s="56" t="str">
        <x:v>Verified Competitor Fact</x:v>
      </x:c>
      <x:c r="K356" s="56" t="str">
        <x:v>High</x:v>
      </x:c>
      <x:c r="L356" s="56" t="str">
        <x:v>Yes</x:v>
      </x:c>
      <x:c r="M356" s="56"/>
      <x:c r="N356" s="56" t="str">
        <x:v>Claims also warrant review.</x:v>
      </x:c>
      <x:c r="O356" s="56" t="str">
        <x:v>Codex</x:v>
      </x:c>
    </x:row>
    <x:row r="357" ht="106" customHeight="1">
      <x:c r="A357" s="56" t="str">
        <x:v>SRC-VT-046</x:v>
      </x:c>
      <x:c r="B357" s="56" t="str">
        <x:v>KB007</x:v>
      </x:c>
      <x:c r="C357" s="56" t="str">
        <x:v>Competitor — Medicube PDRN Serum</x:v>
      </x:c>
      <x:c r="D357" s="56" t="str">
        <x:v>Ulta displayed Medicube PDRN Pink Peptide Serum at $21 and 4.2/67.</x:v>
      </x:c>
      <x:c r="E357" s="56" t="str">
        <x:v>Ulta Beauty / Medicube</x:v>
      </x:c>
      <x:c r="F357" s="56" t="str">
        <x:v>https://www.ulta.com/p/pdrn-pink-peptide-serum-pimprod2053536</x:v>
      </x:c>
      <x:c r="G357" s="56" t="str">
        <x:v>Authorized Competitor Retailer</x:v>
      </x:c>
      <x:c r="H357" s="56"/>
      <x:c r="I357" s="56" t="str">
        <x:v>2026-07-30</x:v>
      </x:c>
      <x:c r="J357" s="56" t="str">
        <x:v>Verified Competitor Fact</x:v>
      </x:c>
      <x:c r="K357" s="56" t="str">
        <x:v>High</x:v>
      </x:c>
      <x:c r="L357" s="56" t="str">
        <x:v>Yes</x:v>
      </x:c>
      <x:c r="M357" s="56"/>
      <x:c r="N357" s="56" t="str">
        <x:v>Current price and review count change.</x:v>
      </x:c>
      <x:c r="O357" s="56" t="str">
        <x:v>Codex</x:v>
      </x:c>
    </x:row>
    <x:row r="358" ht="106" customHeight="1">
      <x:c r="A358" s="56" t="str">
        <x:v>SRC-VT-047</x:v>
      </x:c>
      <x:c r="B358" s="56" t="str">
        <x:v>KB007</x:v>
      </x:c>
      <x:c r="C358" s="56" t="str">
        <x:v>Competitor — Anua PDRN Serum</x:v>
      </x:c>
      <x:c r="D358" s="56" t="str">
        <x:v>Ulta displayed Anua PDRN Hyaluronic Acid Capsule 100 Serum at $28 and 4.8/118.</x:v>
      </x:c>
      <x:c r="E358" s="56" t="str">
        <x:v>Ulta Beauty / Anua</x:v>
      </x:c>
      <x:c r="F358" s="56" t="str">
        <x:v>https://www.ulta.com/p/pdrn-hyaluronic-acid-capsule-100-serum-pimprod2051435</x:v>
      </x:c>
      <x:c r="G358" s="56" t="str">
        <x:v>Authorized Competitor Retailer</x:v>
      </x:c>
      <x:c r="H358" s="56"/>
      <x:c r="I358" s="56" t="str">
        <x:v>2026-07-30</x:v>
      </x:c>
      <x:c r="J358" s="56" t="str">
        <x:v>Verified Competitor Fact</x:v>
      </x:c>
      <x:c r="K358" s="56" t="str">
        <x:v>High</x:v>
      </x:c>
      <x:c r="L358" s="56" t="str">
        <x:v>Yes</x:v>
      </x:c>
      <x:c r="M358" s="56"/>
      <x:c r="N358" s="56" t="str">
        <x:v>Current price and review count change.</x:v>
      </x:c>
      <x:c r="O358" s="56" t="str">
        <x:v>Codex</x:v>
      </x:c>
    </x:row>
    <x:row r="359" ht="106" customHeight="1">
      <x:c r="A359" s="56" t="str">
        <x:v>SRC-VT-048</x:v>
      </x:c>
      <x:c r="B359" s="56" t="str">
        <x:v>KB007</x:v>
      </x:c>
      <x:c r="C359" s="56" t="str">
        <x:v>Competitor — NYX Lip Plumper</x:v>
      </x:c>
      <x:c r="D359" s="56" t="str">
        <x:v>Ulta displayed Duck Plump Toppers at $13 and 3.4/23, with burning/pain in critical feedback.</x:v>
      </x:c>
      <x:c r="E359" s="56" t="str">
        <x:v>Ulta Beauty / NYX</x:v>
      </x:c>
      <x:c r="F359" s="56" t="str">
        <x:v>https://www.ulta.com/p/duck-plump-plumping-lip-gloss-toppers-pimprod2049395</x:v>
      </x:c>
      <x:c r="G359" s="56" t="str">
        <x:v>Authorized Competitor Retailer</x:v>
      </x:c>
      <x:c r="H359" s="56"/>
      <x:c r="I359" s="56" t="str">
        <x:v>2026-07-30</x:v>
      </x:c>
      <x:c r="J359" s="56" t="str">
        <x:v>Verified Competitor Fact</x:v>
      </x:c>
      <x:c r="K359" s="56" t="str">
        <x:v>High</x:v>
      </x:c>
      <x:c r="L359" s="56" t="str">
        <x:v>Yes</x:v>
      </x:c>
      <x:c r="M359" s="56"/>
      <x:c r="N359" s="56" t="str">
        <x:v>Current price and review count change.</x:v>
      </x:c>
      <x:c r="O359" s="56" t="str">
        <x:v>Codex</x:v>
      </x:c>
    </x:row>
    <x:row r="360" ht="106" customHeight="1">
      <x:c r="A360" s="56" t="str">
        <x:v>SRC-VT-049</x:v>
      </x:c>
      <x:c r="B360" s="56" t="str">
        <x:v>KB007</x:v>
      </x:c>
      <x:c r="C360" s="56" t="str">
        <x:v>Competitor — MEDIHEAL Mask</x:v>
      </x:c>
      <x:c r="D360" s="56" t="str">
        <x:v>Ulta displayed Madecassoside Essential Mask 4ct at $8.80 and 4.8/2,355.</x:v>
      </x:c>
      <x:c r="E360" s="56" t="str">
        <x:v>Ulta Beauty / MEDIHEAL</x:v>
      </x:c>
      <x:c r="F360" s="56" t="str">
        <x:v>https://www.ulta.com/p/madecassoside-essential-mask-pimprod2052788</x:v>
      </x:c>
      <x:c r="G360" s="56" t="str">
        <x:v>Authorized Competitor Retailer</x:v>
      </x:c>
      <x:c r="H360" s="56"/>
      <x:c r="I360" s="56" t="str">
        <x:v>2026-07-30</x:v>
      </x:c>
      <x:c r="J360" s="56" t="str">
        <x:v>Verified Competitor Fact</x:v>
      </x:c>
      <x:c r="K360" s="56" t="str">
        <x:v>High</x:v>
      </x:c>
      <x:c r="L360" s="56" t="str">
        <x:v>Yes</x:v>
      </x:c>
      <x:c r="M360" s="56"/>
      <x:c r="N360" s="56" t="str">
        <x:v>Per-mask value differs from VT's 30-sheet tub.</x:v>
      </x:c>
      <x:c r="O360" s="56" t="str">
        <x:v>Codex</x:v>
      </x:c>
    </x:row>
    <x:row r="361" ht="106" customHeight="1">
      <x:c r="A361" s="56" t="str">
        <x:v>SRC-VT-050</x:v>
      </x:c>
      <x:c r="B361" s="56" t="str">
        <x:v>KB007</x:v>
      </x:c>
      <x:c r="C361" s="56" t="str">
        <x:v>Official legal/footer details and B2B contact</x:v>
      </x:c>
      <x:c r="D361" s="56" t="str">
        <x:v>Official global site lists CEOs, Korean company registration/address, cs_global contact and overseassales@vt-cosmetics.co.kr for B2B.</x:v>
      </x:c>
      <x:c r="E361" s="56" t="str">
        <x:v>VT Cosmetics Official Global</x:v>
      </x:c>
      <x:c r="F361" s="56" t="str">
        <x:v>https://globalvt-cosmetics.com/pages/retailers</x:v>
      </x:c>
      <x:c r="G361" s="56" t="str">
        <x:v>Official Legal / Contact Page</x:v>
      </x:c>
      <x:c r="H361" s="56"/>
      <x:c r="I361" s="56" t="str">
        <x:v>2026-07-30</x:v>
      </x:c>
      <x:c r="J361" s="56" t="str">
        <x:v>Verified Entity / Contact Fact</x:v>
      </x:c>
      <x:c r="K361" s="56" t="str">
        <x:v>High</x:v>
      </x:c>
      <x:c r="L361" s="56" t="str">
        <x:v>Yes</x:v>
      </x:c>
      <x:c r="M361" s="56"/>
      <x:c r="N361" s="56" t="str">
        <x:v>U.S. entity/importer/responsible person not specified.</x:v>
      </x:c>
      <x:c r="O361" s="56" t="str">
        <x:v>Codex</x:v>
      </x:c>
    </x:row>
    <x:row r="362" ht="106" customHeight="1">
      <x:c r="A362" s="56" t="str">
        <x:v>SRC-VT-051</x:v>
      </x:c>
      <x:c r="B362" s="56" t="str">
        <x:v>KB007</x:v>
      </x:c>
      <x:c r="C362" s="56" t="str">
        <x:v>Official Instagram handle</x:v>
      </x:c>
      <x:c r="D362" s="56" t="str">
        <x:v>@vtcosmetics_global is the official global Instagram destination; public follower count was not reliably captured.</x:v>
      </x:c>
      <x:c r="E362" s="56" t="str">
        <x:v>Instagram</x:v>
      </x:c>
      <x:c r="F362" s="56" t="str">
        <x:v>https://www.instagram.com/vtcosmetics_global/</x:v>
      </x:c>
      <x:c r="G362" s="56" t="str">
        <x:v>Official Social Profile</x:v>
      </x:c>
      <x:c r="H362" s="56"/>
      <x:c r="I362" s="56" t="str">
        <x:v>2026-07-30</x:v>
      </x:c>
      <x:c r="J362" s="56" t="str">
        <x:v>Verified Profile Link</x:v>
      </x:c>
      <x:c r="K362" s="56" t="str">
        <x:v>Medium</x:v>
      </x:c>
      <x:c r="L362" s="56" t="str">
        <x:v>Yes</x:v>
      </x:c>
      <x:c r="M362" s="56"/>
      <x:c r="N362" s="56" t="str">
        <x:v>Do not infer U.S. sales from global followers.</x:v>
      </x:c>
      <x:c r="O362" s="56" t="str">
        <x:v>Codex</x:v>
      </x:c>
    </x:row>
    <x:row r="363" ht="106" customHeight="1">
      <x:c r="A363" s="56" t="str">
        <x:v>SRC-VT-052</x:v>
      </x:c>
      <x:c r="B363" s="56" t="str">
        <x:v>KB007</x:v>
      </x:c>
      <x:c r="C363" s="56" t="str">
        <x:v>Target U.S. presence</x:v>
      </x:c>
      <x:c r="D363" s="56" t="str">
        <x:v>Target displayed Reedle Shot 100 travel size at $17.10 sale/$19 regular, 4.0/8, plus Reedle 300, starter sticks and PDRN mask visibility.</x:v>
      </x:c>
      <x:c r="E363" s="56" t="str">
        <x:v>Target U.S.</x:v>
      </x:c>
      <x:c r="F363" s="56" t="str">
        <x:v>https://www.target.com/p/-/A-94495770</x:v>
      </x:c>
      <x:c r="G363" s="56" t="str">
        <x:v>Retailer</x:v>
      </x:c>
      <x:c r="H363" s="56"/>
      <x:c r="I363" s="56" t="str">
        <x:v>2026-07-30</x:v>
      </x:c>
      <x:c r="J363" s="56" t="str">
        <x:v>Verified Retailer Display</x:v>
      </x:c>
      <x:c r="K363" s="56" t="str">
        <x:v>High</x:v>
      </x:c>
      <x:c r="L363" s="56" t="str">
        <x:v>Yes</x:v>
      </x:c>
      <x:c r="M363" s="56"/>
      <x:c r="N363" s="56" t="str">
        <x:v>Target wording includes claims requiring regulatory review.</x:v>
      </x:c>
      <x:c r="O363" s="56" t="str">
        <x:v>Codex</x:v>
      </x:c>
    </x:row>
    <x:row r="364" ht="106" customHeight="1">
      <x:c r="A364" s="56" t="str">
        <x:v>SRC-RL-001</x:v>
      </x:c>
      <x:c r="B364" s="56" t="str">
        <x:v>KB008</x:v>
      </x:c>
      <x:c r="C364" s="56" t="str">
        <x:v>Core verification — controlling official website</x:v>
      </x:c>
      <x:c r="D364" s="56" t="str">
        <x:v>The controlling source identifies https://roundlab.co.kr as the official Korean website; this source field was preserved.</x:v>
      </x:c>
      <x:c r="E364" s="56" t="str">
        <x:v>Round Lab Korea</x:v>
      </x:c>
      <x:c r="F364" s="56" t="str">
        <x:v>https://roundlab.co.kr</x:v>
      </x:c>
      <x:c r="G364" s="56" t="str">
        <x:v>Official Brand Site</x:v>
      </x:c>
      <x:c r="H364" s="56"/>
      <x:c r="I364" s="56" t="str">
        <x:v>2026-07-30</x:v>
      </x:c>
      <x:c r="J364" s="56" t="str">
        <x:v>Verified Official Source</x:v>
      </x:c>
      <x:c r="K364" s="56" t="str">
        <x:v>High</x:v>
      </x:c>
      <x:c r="L364" s="56" t="str">
        <x:v>Yes</x:v>
      </x:c>
      <x:c r="M364" s="56"/>
      <x:c r="N364" s="56" t="str">
        <x:v>Korean-language controlling source.</x:v>
      </x:c>
      <x:c r="O364" s="56" t="str">
        <x:v>Codex</x:v>
      </x:c>
    </x:row>
    <x:row r="365" ht="106" customHeight="1">
      <x:c r="A365" s="56" t="str">
        <x:v>SRC-RL-002</x:v>
      </x:c>
      <x:c r="B365" s="56" t="str">
        <x:v>KB008</x:v>
      </x:c>
      <x:c r="C365" s="56" t="str">
        <x:v>Core verification — U.S. official website</x:v>
      </x:c>
      <x:c r="D365" s="56" t="str">
        <x:v>Verified U.S. storefront is https://roundlab.com, with U.S. shipping, prices, contact and product assortment.</x:v>
      </x:c>
      <x:c r="E365" s="56" t="str">
        <x:v>Round Lab U.S.</x:v>
      </x:c>
      <x:c r="F365" s="56" t="str">
        <x:v>https://roundlab.com</x:v>
      </x:c>
      <x:c r="G365" s="56" t="str">
        <x:v>Official Brand Site</x:v>
      </x:c>
      <x:c r="H365" s="56"/>
      <x:c r="I365" s="56" t="str">
        <x:v>2026-07-30</x:v>
      </x:c>
      <x:c r="J365" s="56" t="str">
        <x:v>Verified Official Website</x:v>
      </x:c>
      <x:c r="K365" s="56" t="str">
        <x:v>High</x:v>
      </x:c>
      <x:c r="L365" s="56" t="str">
        <x:v>Yes</x:v>
      </x:c>
      <x:c r="M365" s="56"/>
      <x:c r="N365" s="56" t="str">
        <x:v>Use as Verified Official Website while preserving the Korean source site.</x:v>
      </x:c>
      <x:c r="O365" s="56" t="str">
        <x:v>Codex</x:v>
      </x:c>
    </x:row>
    <x:row r="366" ht="106" customHeight="1">
      <x:c r="A366" s="56" t="str">
        <x:v>SRC-RL-003</x:v>
      </x:c>
      <x:c r="B366" s="56" t="str">
        <x:v>KB008</x:v>
      </x:c>
      <x:c r="C366" s="56" t="str">
        <x:v>Company — Korean operator</x:v>
      </x:c>
      <x:c r="D366" s="56" t="str">
        <x:v>Official Korean footer identifies SEORIN COMPANY Co., Ltd., CEO Younghak Lee, Korean registration/address and sales/trade contacts.</x:v>
      </x:c>
      <x:c r="E366" s="56" t="str">
        <x:v>Round Lab Korea</x:v>
      </x:c>
      <x:c r="F366" s="56" t="str">
        <x:v>https://roundlab.co.kr/shopinfo/company.html</x:v>
      </x:c>
      <x:c r="G366" s="56" t="str">
        <x:v>Official Legal / Company Page</x:v>
      </x:c>
      <x:c r="H366" s="56"/>
      <x:c r="I366" s="56" t="str">
        <x:v>2026-07-30</x:v>
      </x:c>
      <x:c r="J366" s="56" t="str">
        <x:v>Verified Entity Fact</x:v>
      </x:c>
      <x:c r="K366" s="56" t="str">
        <x:v>High</x:v>
      </x:c>
      <x:c r="L366" s="56" t="str">
        <x:v>Yes</x:v>
      </x:c>
      <x:c r="M366" s="56"/>
      <x:c r="N366" s="56" t="str">
        <x:v>Exact U.S. wholesale contracting roles still require documentary confirmation.</x:v>
      </x:c>
      <x:c r="O366" s="56" t="str">
        <x:v>Codex</x:v>
      </x:c>
    </x:row>
    <x:row r="367" ht="106" customHeight="1">
      <x:c r="A367" s="56" t="str">
        <x:v>SRC-RL-004</x:v>
      </x:c>
      <x:c r="B367" s="56" t="str">
        <x:v>KB008</x:v>
      </x:c>
      <x:c r="C367" s="56" t="str">
        <x:v>Company — U.S. operator</x:v>
      </x:c>
      <x:c r="D367" s="56" t="str">
        <x:v>Official privacy policy identifies UB Round Lab LLC at 14251 Firestone Blvd #204, La Mirada, CA 90638 and hello@roundlab.com.</x:v>
      </x:c>
      <x:c r="E367" s="56" t="str">
        <x:v>Round Lab U.S.</x:v>
      </x:c>
      <x:c r="F367" s="56" t="str">
        <x:v>https://roundlab.com/policies/privacy-policy</x:v>
      </x:c>
      <x:c r="G367" s="56" t="str">
        <x:v>Official Legal Page</x:v>
      </x:c>
      <x:c r="H367" s="56"/>
      <x:c r="I367" s="56" t="str">
        <x:v>2026-07-30</x:v>
      </x:c>
      <x:c r="J367" s="56" t="str">
        <x:v>Verified U.S. Entity Fact</x:v>
      </x:c>
      <x:c r="K367" s="56" t="str">
        <x:v>High</x:v>
      </x:c>
      <x:c r="L367" s="56" t="str">
        <x:v>Yes</x:v>
      </x:c>
      <x:c r="M367" s="56"/>
      <x:c r="N367" s="56" t="str">
        <x:v>Privacy operator does not by itself establish importer/responsible-person role for every SKU.</x:v>
      </x:c>
      <x:c r="O367" s="56" t="str">
        <x:v>Codex</x:v>
      </x:c>
    </x:row>
    <x:row r="368" ht="106" customHeight="1">
      <x:c r="A368" s="56" t="str">
        <x:v>SRC-RL-005</x:v>
      </x:c>
      <x:c r="B368" s="56" t="str">
        <x:v>KB008</x:v>
      </x:c>
      <x:c r="C368" s="56" t="str">
        <x:v>Core verification — category and positioning</x:v>
      </x:c>
      <x:c r="D368" s="56" t="str">
        <x:v>Official story and product architecture connect Korean natural regions/ingredients with broad facial skincare and sun care.</x:v>
      </x:c>
      <x:c r="E368" s="56" t="str">
        <x:v>Round Lab U.S.</x:v>
      </x:c>
      <x:c r="F368" s="56" t="str">
        <x:v>https://roundlab.com/en-ca/pages/our-story</x:v>
      </x:c>
      <x:c r="G368" s="56" t="str">
        <x:v>Official Brand Story</x:v>
      </x:c>
      <x:c r="H368" s="56"/>
      <x:c r="I368" s="56" t="str">
        <x:v>2026-07-30</x:v>
      </x:c>
      <x:c r="J368" s="56" t="str">
        <x:v>Verified Category Fact</x:v>
      </x:c>
      <x:c r="K368" s="56" t="str">
        <x:v>High</x:v>
      </x:c>
      <x:c r="L368" s="56" t="str">
        <x:v>Yes</x:v>
      </x:c>
      <x:c r="M368" s="56"/>
      <x:c r="N368" s="56" t="str">
        <x:v>Supports skincare-led positioning; U.S. assortment also includes limited body/hair/lip items.</x:v>
      </x:c>
      <x:c r="O368" s="56" t="str">
        <x:v>Codex</x:v>
      </x:c>
    </x:row>
    <x:row r="369" ht="106" customHeight="1">
      <x:c r="A369" s="56" t="str">
        <x:v>SRC-RL-006</x:v>
      </x:c>
      <x:c r="B369" s="56" t="str">
        <x:v>KB008</x:v>
      </x:c>
      <x:c r="C369" s="56" t="str">
        <x:v>Core verification — awareness breadth</x:v>
      </x:c>
      <x:c r="D369" s="56" t="str">
        <x:v>Homepage displays 20M+ sunscreen units worldwide, 5M+ Dokdo Cleanser units, multiple Korean awards and broad hero assortment.</x:v>
      </x:c>
      <x:c r="E369" s="56" t="str">
        <x:v>Round Lab U.S.</x:v>
      </x:c>
      <x:c r="F369" s="56" t="str">
        <x:v>https://roundlab.com</x:v>
      </x:c>
      <x:c r="G369" s="56" t="str">
        <x:v>Official Brand Site</x:v>
      </x:c>
      <x:c r="H369" s="56"/>
      <x:c r="I369" s="56" t="str">
        <x:v>2026-07-30</x:v>
      </x:c>
      <x:c r="J369" s="56" t="str">
        <x:v>Verified Awareness Claim</x:v>
      </x:c>
      <x:c r="K369" s="56" t="str">
        <x:v>High</x:v>
      </x:c>
      <x:c r="L369" s="56" t="str">
        <x:v>Yes</x:v>
      </x:c>
      <x:c r="M369" s="56"/>
      <x:c r="N369" s="56" t="str">
        <x:v>Brand-reported figures; not independently audited U.S. sales.</x:v>
      </x:c>
      <x:c r="O369" s="56" t="str">
        <x:v>Codex</x:v>
      </x:c>
    </x:row>
    <x:row r="370" ht="106" customHeight="1">
      <x:c r="A370" s="56" t="str">
        <x:v>SRC-RL-007</x:v>
      </x:c>
      <x:c r="B370" s="56" t="str">
        <x:v>KB008</x:v>
      </x:c>
      <x:c r="C370" s="56" t="str">
        <x:v>Core verification — Birch sunscreen awareness</x:v>
      </x:c>
      <x:c r="D370" s="56" t="str">
        <x:v>Official UVLock page calls it Korea's No.1 sunscreen and states 20M+ sold worldwide at $24.99 MSRP.</x:v>
      </x:c>
      <x:c r="E370" s="56" t="str">
        <x:v>Round Lab U.S.</x:v>
      </x:c>
      <x:c r="F370" s="56" t="str">
        <x:v>https://roundlab.com/products/birch-moisturizing-uv-sunscreen</x:v>
      </x:c>
      <x:c r="G370" s="56" t="str">
        <x:v>Official Product Page</x:v>
      </x:c>
      <x:c r="H370" s="56"/>
      <x:c r="I370" s="56" t="str">
        <x:v>2026-07-30</x:v>
      </x:c>
      <x:c r="J370" s="56" t="str">
        <x:v>Verified Brand Claim / Product Fact</x:v>
      </x:c>
      <x:c r="K370" s="56" t="str">
        <x:v>High</x:v>
      </x:c>
      <x:c r="L370" s="56" t="str">
        <x:v>Yes</x:v>
      </x:c>
      <x:c r="M370" s="56"/>
      <x:c r="N370" s="56" t="str">
        <x:v>Korean ranking basis and worldwide unit methodology should be vendor-confirmed.</x:v>
      </x:c>
      <x:c r="O370" s="56" t="str">
        <x:v>Codex</x:v>
      </x:c>
    </x:row>
    <x:row r="371" ht="106" customHeight="1">
      <x:c r="A371" s="56" t="str">
        <x:v>SRC-RL-008</x:v>
      </x:c>
      <x:c r="B371" s="56" t="str">
        <x:v>KB008</x:v>
      </x:c>
      <x:c r="C371" s="56" t="str">
        <x:v>Core verification — Dokdo toner awareness</x:v>
      </x:c>
      <x:c r="D371" s="56" t="str">
        <x:v>Official blog states 2M+ users and Korea's No.1 best-selling toner for four consecutive years.</x:v>
      </x:c>
      <x:c r="E371" s="56" t="str">
        <x:v>Round Lab U.S.</x:v>
      </x:c>
      <x:c r="F371" s="56" t="str">
        <x:v>https://roundlab.com/blogs/news/dokdo-toner</x:v>
      </x:c>
      <x:c r="G371" s="56" t="str">
        <x:v>Official Brand Blog</x:v>
      </x:c>
      <x:c r="H371" s="56"/>
      <x:c r="I371" s="56" t="str">
        <x:v>2026-07-30</x:v>
      </x:c>
      <x:c r="J371" s="56" t="str">
        <x:v>Verified Brand Claim</x:v>
      </x:c>
      <x:c r="K371" s="56" t="str">
        <x:v>High</x:v>
      </x:c>
      <x:c r="L371" s="56" t="str">
        <x:v>Yes</x:v>
      </x:c>
      <x:c r="M371" s="56"/>
      <x:c r="N371" s="56" t="str">
        <x:v>Brand-reported; wording includes cell-turnover/breakout claims needing U.S. review.</x:v>
      </x:c>
      <x:c r="O371" s="56" t="str">
        <x:v>Codex</x:v>
      </x:c>
    </x:row>
    <x:row r="372" ht="106" customHeight="1">
      <x:c r="A372" s="56" t="str">
        <x:v>SRC-RL-009</x:v>
      </x:c>
      <x:c r="B372" s="56" t="str">
        <x:v>KB008</x:v>
      </x:c>
      <x:c r="C372" s="56" t="str">
        <x:v>TikTok Shop U.S. awareness</x:v>
      </x:c>
      <x:c r="D372" s="56" t="str">
        <x:v>Official Shop displayed about 74.1K followers, 145.1K sold and 880 videos.</x:v>
      </x:c>
      <x:c r="E372" s="56" t="str">
        <x:v>TikTok Shop U.S.</x:v>
      </x:c>
      <x:c r="F372" s="56" t="str">
        <x:v>https://shop.tiktok.com/us/store/round-lab/7495840792980655024</x:v>
      </x:c>
      <x:c r="G372" s="56" t="str">
        <x:v>Official Social-Commerce Store</x:v>
      </x:c>
      <x:c r="H372" s="56"/>
      <x:c r="I372" s="56" t="str">
        <x:v>2026-07-30</x:v>
      </x:c>
      <x:c r="J372" s="56" t="str">
        <x:v>Verified Platform Display</x:v>
      </x:c>
      <x:c r="K372" s="56" t="str">
        <x:v>Medium-High</x:v>
      </x:c>
      <x:c r="L372" s="56" t="str">
        <x:v>Yes</x:v>
      </x:c>
      <x:c r="M372" s="56"/>
      <x:c r="N372" s="56" t="str">
        <x:v>Counts are cumulative, dynamic and promotion-sensitive.</x:v>
      </x:c>
      <x:c r="O372" s="56" t="str">
        <x:v>Codex</x:v>
      </x:c>
    </x:row>
    <x:row r="373" ht="106" customHeight="1">
      <x:c r="A373" s="56" t="str">
        <x:v>SRC-RL-010</x:v>
      </x:c>
      <x:c r="B373" s="56" t="str">
        <x:v>KB008</x:v>
      </x:c>
      <x:c r="C373" s="56" t="str">
        <x:v>Instagram official destination</x:v>
      </x:c>
      <x:c r="D373" s="56" t="str">
        <x:v>@roundlab_us is the U.S. Instagram profile used in the brand ecosystem; reliable follower count was not captured.</x:v>
      </x:c>
      <x:c r="E373" s="56" t="str">
        <x:v>Instagram</x:v>
      </x:c>
      <x:c r="F373" s="56" t="str">
        <x:v>https://www.instagram.com/roundlab_us/</x:v>
      </x:c>
      <x:c r="G373" s="56" t="str">
        <x:v>Official Social Profile</x:v>
      </x:c>
      <x:c r="H373" s="56"/>
      <x:c r="I373" s="56" t="str">
        <x:v>2026-07-30</x:v>
      </x:c>
      <x:c r="J373" s="56" t="str">
        <x:v>Verified Profile Link</x:v>
      </x:c>
      <x:c r="K373" s="56" t="str">
        <x:v>Medium</x:v>
      </x:c>
      <x:c r="L373" s="56" t="str">
        <x:v>Yes</x:v>
      </x:c>
      <x:c r="M373" s="56"/>
      <x:c r="N373" s="56" t="str">
        <x:v>Do not infer sales from the profile alone.</x:v>
      </x:c>
      <x:c r="O373" s="56" t="str">
        <x:v>Codex</x:v>
      </x:c>
    </x:row>
    <x:row r="374" ht="106" customHeight="1">
      <x:c r="A374" s="56" t="str">
        <x:v>SRC-RL-011</x:v>
      </x:c>
      <x:c r="B374" s="56" t="str">
        <x:v>KB008</x:v>
      </x:c>
      <x:c r="C374" s="56" t="str">
        <x:v>Official authorization/navigation hub</x:v>
      </x:c>
      <x:c r="D374" s="56" t="str">
        <x:v>Official global Linktree routes to Amazon US Official, TikTok US Official, iHerb, Olive Young US/Global and YesStyle.</x:v>
      </x:c>
      <x:c r="E374" s="56" t="str">
        <x:v>Round Lab Global</x:v>
      </x:c>
      <x:c r="F374" s="56" t="str">
        <x:v>https://linktr.ee/roundlabglobal</x:v>
      </x:c>
      <x:c r="G374" s="56" t="str">
        <x:v>Official Link Hub</x:v>
      </x:c>
      <x:c r="H374" s="56"/>
      <x:c r="I374" s="56" t="str">
        <x:v>2026-07-30</x:v>
      </x:c>
      <x:c r="J374" s="56" t="str">
        <x:v>Verified Channel Link</x:v>
      </x:c>
      <x:c r="K374" s="56" t="str">
        <x:v>Medium-High</x:v>
      </x:c>
      <x:c r="L374" s="56" t="str">
        <x:v>Yes</x:v>
      </x:c>
      <x:c r="M374" s="56"/>
      <x:c r="N374" s="56" t="str">
        <x:v>Useful authorization/navigation evidence, not an exhaustive wholesale-rights matrix.</x:v>
      </x:c>
      <x:c r="O374" s="56" t="str">
        <x:v>Codex</x:v>
      </x:c>
    </x:row>
    <x:row r="375" ht="106" customHeight="1">
      <x:c r="A375" s="56" t="str">
        <x:v>SRC-RL-012</x:v>
      </x:c>
      <x:c r="B375" s="56" t="str">
        <x:v>KB008</x:v>
      </x:c>
      <x:c r="C375" s="56" t="str">
        <x:v>Ulta brand presence</x:v>
      </x:c>
      <x:c r="D375" s="56" t="str">
        <x:v>Ulta displayed 27 Round Lab products across sun care, cleansers, toner, moisturizers, masks and treatments.</x:v>
      </x:c>
      <x:c r="E375" s="56" t="str">
        <x:v>Ulta Beauty</x:v>
      </x:c>
      <x:c r="F375" s="56" t="str">
        <x:v>https://www.ulta.com/brand/round-lab?category=skin-care</x:v>
      </x:c>
      <x:c r="G375" s="56" t="str">
        <x:v>Authorized Retailer</x:v>
      </x:c>
      <x:c r="H375" s="56"/>
      <x:c r="I375" s="56" t="str">
        <x:v>2026-07-30</x:v>
      </x:c>
      <x:c r="J375" s="56" t="str">
        <x:v>Verified Retailer Display</x:v>
      </x:c>
      <x:c r="K375" s="56" t="str">
        <x:v>High</x:v>
      </x:c>
      <x:c r="L375" s="56" t="str">
        <x:v>Yes</x:v>
      </x:c>
      <x:c r="M375" s="56"/>
      <x:c r="N375" s="56" t="str">
        <x:v>Assortment count and stock change.</x:v>
      </x:c>
      <x:c r="O375" s="56" t="str">
        <x:v>Codex</x:v>
      </x:c>
    </x:row>
    <x:row r="376" ht="106" customHeight="1">
      <x:c r="A376" s="56" t="str">
        <x:v>SRC-RL-013</x:v>
      </x:c>
      <x:c r="B376" s="56" t="str">
        <x:v>KB008</x:v>
      </x:c>
      <x:c r="C376" s="56" t="str">
        <x:v>Ulta hero reviews and prices</x:v>
      </x:c>
      <x:c r="D376" s="56" t="str">
        <x:v>Ulta displayed UVLock $24.99/527-review snapshot, Mild-Up $24.99/4.0/51, Dokdo Toner $16.99/4.9/270, Cleanser $14.99/4.8/236 and Birch Cream $29.99/4.8/153.</x:v>
      </x:c>
      <x:c r="E376" s="56" t="str">
        <x:v>Ulta Beauty</x:v>
      </x:c>
      <x:c r="F376" s="56" t="str">
        <x:v>https://www.ulta.com/brand/round-lab?category=skin-care</x:v>
      </x:c>
      <x:c r="G376" s="56" t="str">
        <x:v>Authorized Retailer</x:v>
      </x:c>
      <x:c r="H376" s="56"/>
      <x:c r="I376" s="56" t="str">
        <x:v>2026-07-30</x:v>
      </x:c>
      <x:c r="J376" s="56" t="str">
        <x:v>Verified Retailer Display</x:v>
      </x:c>
      <x:c r="K376" s="56" t="str">
        <x:v>High</x:v>
      </x:c>
      <x:c r="L376" s="56" t="str">
        <x:v>Yes</x:v>
      </x:c>
      <x:c r="M376" s="56"/>
      <x:c r="N376" s="56" t="str">
        <x:v>Review incentives/syndication should be checked.</x:v>
      </x:c>
      <x:c r="O376" s="56" t="str">
        <x:v>Codex</x:v>
      </x:c>
    </x:row>
    <x:row r="377" ht="106" customHeight="1">
      <x:c r="A377" s="56" t="str">
        <x:v>SRC-RL-014</x:v>
      </x:c>
      <x:c r="B377" s="56" t="str">
        <x:v>KB008</x:v>
      </x:c>
      <x:c r="C377" s="56" t="str">
        <x:v>Target mass-market presence</x:v>
      </x:c>
      <x:c r="D377" s="56" t="str">
        <x:v>Target displayed 34 results; sampled current signals included UVLock $24.99/4.6/625, Toner $11.69/4.8/264/5K+, Cleanser $11.39/4.8/318 and Cream $25.99/4.8/674.</x:v>
      </x:c>
      <x:c r="E377" s="56" t="str">
        <x:v>Target U.S.</x:v>
      </x:c>
      <x:c r="F377" s="56" t="str">
        <x:v>https://www.target.com/b/round-lab/-/N-q643lega5t</x:v>
      </x:c>
      <x:c r="G377" s="56" t="str">
        <x:v>Authorized Retailer</x:v>
      </x:c>
      <x:c r="H377" s="56"/>
      <x:c r="I377" s="56" t="str">
        <x:v>2026-07-30</x:v>
      </x:c>
      <x:c r="J377" s="56" t="str">
        <x:v>Verified Retailer Display</x:v>
      </x:c>
      <x:c r="K377" s="56" t="str">
        <x:v>High</x:v>
      </x:c>
      <x:c r="L377" s="56" t="str">
        <x:v>Yes</x:v>
      </x:c>
      <x:c r="M377" s="56"/>
      <x:c r="N377" s="56" t="str">
        <x:v>Prices, promotions and recent-purchase badges are dynamic.</x:v>
      </x:c>
      <x:c r="O377" s="56" t="str">
        <x:v>Codex</x:v>
      </x:c>
    </x:row>
    <x:row r="378" ht="106" customHeight="1">
      <x:c r="A378" s="56" t="str">
        <x:v>SRC-RL-015</x:v>
      </x:c>
      <x:c r="B378" s="56" t="str">
        <x:v>KB008</x:v>
      </x:c>
      <x:c r="C378" s="56" t="str">
        <x:v>Core verification — Amazon UVLock</x:v>
      </x:c>
      <x:c r="D378" s="56" t="str">
        <x:v>Direct page showed 4.4/2,100, 10K+ bought/month, #1,255 Beauty and #23 Facial Sunscreens; buying options from $22.22, ROUNDLAB OFFICIAL and Amazon fulfillment.</x:v>
      </x:c>
      <x:c r="E378" s="56" t="str">
        <x:v>Amazon U.S.</x:v>
      </x:c>
      <x:c r="F378" s="56" t="str">
        <x:v>https://www.amazon.com/dp/B0DJGWH3TC</x:v>
      </x:c>
      <x:c r="G378" s="56" t="str">
        <x:v>Marketplace</x:v>
      </x:c>
      <x:c r="H378" s="56"/>
      <x:c r="I378" s="56" t="str">
        <x:v>2026-07-30</x:v>
      </x:c>
      <x:c r="J378" s="56" t="str">
        <x:v>Verified Platform Display</x:v>
      </x:c>
      <x:c r="K378" s="56" t="str">
        <x:v>High</x:v>
      </x:c>
      <x:c r="L378" s="56" t="str">
        <x:v>Yes</x:v>
      </x:c>
      <x:c r="M378" s="56"/>
      <x:c r="N378" s="56" t="str">
        <x:v>ASIN B0DJGWH3TC; no featured offer when checked.</x:v>
      </x:c>
      <x:c r="O378" s="56" t="str">
        <x:v>Codex</x:v>
      </x:c>
    </x:row>
    <x:row r="379" ht="106" customHeight="1">
      <x:c r="A379" s="56" t="str">
        <x:v>SRC-RL-016</x:v>
      </x:c>
      <x:c r="B379" s="56" t="str">
        <x:v>KB008</x:v>
      </x:c>
      <x:c r="C379" s="56" t="str">
        <x:v>Core verification — Amazon Dokdo Toner</x:v>
      </x:c>
      <x:c r="D379" s="56" t="str">
        <x:v>Direct page showed 4.7/1,842, 7K+ bought/month, #5,132 Beauty and #44 Toners; buying options from $11.69, official seller and Amazon fulfillment.</x:v>
      </x:c>
      <x:c r="E379" s="56" t="str">
        <x:v>Amazon U.S.</x:v>
      </x:c>
      <x:c r="F379" s="56" t="str">
        <x:v>https://www.amazon.com/dp/B08FM5BTF6</x:v>
      </x:c>
      <x:c r="G379" s="56" t="str">
        <x:v>Marketplace</x:v>
      </x:c>
      <x:c r="H379" s="56"/>
      <x:c r="I379" s="56" t="str">
        <x:v>2026-07-30</x:v>
      </x:c>
      <x:c r="J379" s="56" t="str">
        <x:v>Verified Platform Display</x:v>
      </x:c>
      <x:c r="K379" s="56" t="str">
        <x:v>High</x:v>
      </x:c>
      <x:c r="L379" s="56" t="str">
        <x:v>Yes</x:v>
      </x:c>
      <x:c r="M379" s="56"/>
      <x:c r="N379" s="56" t="str">
        <x:v>ASIN B08FM5BTF6; no featured offer when checked.</x:v>
      </x:c>
      <x:c r="O379" s="56" t="str">
        <x:v>Codex</x:v>
      </x:c>
    </x:row>
    <x:row r="380" ht="106" customHeight="1">
      <x:c r="A380" s="56" t="str">
        <x:v>SRC-RL-017</x:v>
      </x:c>
      <x:c r="B380" s="56" t="str">
        <x:v>KB008</x:v>
      </x:c>
      <x:c r="C380" s="56" t="str">
        <x:v>Core verification — Amazon Mild-Up UVLock</x:v>
      </x:c>
      <x:c r="D380" s="56" t="str">
        <x:v>Direct/public crawl showed 3K+ bought/month, #5,357 Beauty and #89 Facial Sunscreens, official seller and Amazon fulfillment.</x:v>
      </x:c>
      <x:c r="E380" s="56" t="str">
        <x:v>Amazon U.S.</x:v>
      </x:c>
      <x:c r="F380" s="56" t="str">
        <x:v>https://www.amazon.com/dp/B0DK4MXPMD</x:v>
      </x:c>
      <x:c r="G380" s="56" t="str">
        <x:v>Marketplace</x:v>
      </x:c>
      <x:c r="H380" s="56"/>
      <x:c r="I380" s="56" t="str">
        <x:v>2026-07-30</x:v>
      </x:c>
      <x:c r="J380" s="56" t="str">
        <x:v>Verified Platform Display</x:v>
      </x:c>
      <x:c r="K380" s="56" t="str">
        <x:v>High</x:v>
      </x:c>
      <x:c r="L380" s="56" t="str">
        <x:v>Yes</x:v>
      </x:c>
      <x:c r="M380" s="56"/>
      <x:c r="N380" s="56" t="str">
        <x:v>ASIN B0DK4MXPMD; price was hidden until cart.</x:v>
      </x:c>
      <x:c r="O380" s="56" t="str">
        <x:v>Codex</x:v>
      </x:c>
    </x:row>
    <x:row r="381" ht="106" customHeight="1">
      <x:c r="A381" s="56" t="str">
        <x:v>SRC-RL-018</x:v>
      </x:c>
      <x:c r="B381" s="56" t="str">
        <x:v>KB008</x:v>
      </x:c>
      <x:c r="C381" s="56" t="str">
        <x:v>Amazon lower-bound methodology</x:v>
      </x:c>
      <x:c r="D381" s="56" t="str">
        <x:v>Two non-overlapping rounded badges multiplied by observed buying-option prices equal at least $304,030/month: $222,200 UVLock + $81,830 toner.</x:v>
      </x:c>
      <x:c r="E381" s="56" t="str">
        <x:v>Analyst Calculation</x:v>
      </x:c>
      <x:c r="F381" s="56" t="str">
        <x:v>https://www.amazon.com/s?k=Round+Lab</x:v>
      </x:c>
      <x:c r="G381" s="56" t="str">
        <x:v>Derived from Marketplace Displays</x:v>
      </x:c>
      <x:c r="H381" s="56"/>
      <x:c r="I381" s="56" t="str">
        <x:v>2026-07-30</x:v>
      </x:c>
      <x:c r="J381" s="56" t="str">
        <x:v>Conservative Sales Proxy</x:v>
      </x:c>
      <x:c r="K381" s="56" t="str">
        <x:v>Medium-High</x:v>
      </x:c>
      <x:c r="L381" s="56" t="str">
        <x:v>Yes</x:v>
      </x:c>
      <x:c r="M381" s="56"/>
      <x:c r="N381" s="56" t="str">
        <x:v>Not audited revenue; excludes Mild-Up, all other SKUs, tax, returns, coupons and variant overlap.</x:v>
      </x:c>
      <x:c r="O381" s="56" t="str">
        <x:v>Codex</x:v>
      </x:c>
    </x:row>
    <x:row r="382" ht="106" customHeight="1">
      <x:c r="A382" s="56" t="str">
        <x:v>SRC-RL-019</x:v>
      </x:c>
      <x:c r="B382" s="56" t="str">
        <x:v>KB008</x:v>
      </x:c>
      <x:c r="C382" s="56" t="str">
        <x:v>UVLock product facts and consumer reviews</x:v>
      </x:c>
      <x:c r="D382" s="56" t="str">
        <x:v>Official page lists $24.99, 50 mL, hydrating U.S. broad-spectrum SPF45 and consumer reviews; active Drug Facts align with avobenzone/homosalate/octisalate.</x:v>
      </x:c>
      <x:c r="E382" s="56" t="str">
        <x:v>Round Lab U.S.</x:v>
      </x:c>
      <x:c r="F382" s="56" t="str">
        <x:v>https://roundlab.com/products/birch-moisturizing-uv-sunscreen</x:v>
      </x:c>
      <x:c r="G382" s="56" t="str">
        <x:v>Official Product Page</x:v>
      </x:c>
      <x:c r="H382" s="56"/>
      <x:c r="I382" s="56" t="str">
        <x:v>2026-07-30</x:v>
      </x:c>
      <x:c r="J382" s="56" t="str">
        <x:v>Verified Product / Review Fact</x:v>
      </x:c>
      <x:c r="K382" s="56" t="str">
        <x:v>High</x:v>
      </x:c>
      <x:c r="L382" s="56" t="str">
        <x:v>Yes</x:v>
      </x:c>
      <x:c r="M382" s="56"/>
      <x:c r="N382" s="56" t="str">
        <x:v>Keep U.S. formula separate from Korean/global SPF50+ PA++++ product.</x:v>
      </x:c>
      <x:c r="O382" s="56" t="str">
        <x:v>Codex</x:v>
      </x:c>
    </x:row>
    <x:row r="383" ht="106" customHeight="1">
      <x:c r="A383" s="56" t="str">
        <x:v>SRC-RL-020</x:v>
      </x:c>
      <x:c r="B383" s="56" t="str">
        <x:v>KB008</x:v>
      </x:c>
      <x:c r="C383" s="56" t="str">
        <x:v>UVLock DailyMed label</x:v>
      </x:c>
      <x:c r="D383" s="56" t="str">
        <x:v>DailyMed lists NDC 84616-005, avobenzone 2.7%, homosalate 13.5%, octisalate 4.5%, Seorin as labeler/registrant and Kolmar Korea manufacturer under M020.</x:v>
      </x:c>
      <x:c r="E383" s="56" t="str">
        <x:v>DailyMed / U.S. NLM</x:v>
      </x:c>
      <x:c r="F383" s="56" t="str">
        <x:v>https://dailymed.nlm.nih.gov/dailymed/fda/fdaDrugXsl.cfm?setid=4260e410-d2d5-71b4-e063-6294a90a05b8&amp;type=display</x:v>
      </x:c>
      <x:c r="G383" s="56" t="str">
        <x:v>Regulatory Drug Label</x:v>
      </x:c>
      <x:c r="H383" s="56"/>
      <x:c r="I383" s="56" t="str">
        <x:v>2026-07-30</x:v>
      </x:c>
      <x:c r="J383" s="56" t="str">
        <x:v>Verified OTC Drug Fact</x:v>
      </x:c>
      <x:c r="K383" s="56" t="str">
        <x:v>High</x:v>
      </x:c>
      <x:c r="L383" s="56" t="str">
        <x:v>Yes</x:v>
      </x:c>
      <x:c r="M383" s="56"/>
      <x:c r="N383" s="56" t="str">
        <x:v>Confirm current establishment/product listing, final Drug Facts/artwork and tests before distribution.</x:v>
      </x:c>
      <x:c r="O383" s="56" t="str">
        <x:v>Codex</x:v>
      </x:c>
    </x:row>
    <x:row r="384" ht="106" customHeight="1">
      <x:c r="A384" s="56" t="str">
        <x:v>SRC-RL-021</x:v>
      </x:c>
      <x:c r="B384" s="56" t="str">
        <x:v>KB008</x:v>
      </x:c>
      <x:c r="C384" s="56" t="str">
        <x:v>Dokdo Toner product facts and reviews</x:v>
      </x:c>
      <x:c r="D384" s="56" t="str">
        <x:v>Official page lists watery unscented texture, sizes, deep seawater, betaine, panthenol, allantoin, sugarcane extract and recent consumer reviews.</x:v>
      </x:c>
      <x:c r="E384" s="56" t="str">
        <x:v>Round Lab U.S.</x:v>
      </x:c>
      <x:c r="F384" s="56" t="str">
        <x:v>https://roundlab.com/products/1025-dokdo-toner?variant=43023567716566</x:v>
      </x:c>
      <x:c r="G384" s="56" t="str">
        <x:v>Official Product / Review Page</x:v>
      </x:c>
      <x:c r="H384" s="56"/>
      <x:c r="I384" s="56" t="str">
        <x:v>2026-07-30</x:v>
      </x:c>
      <x:c r="J384" s="56" t="str">
        <x:v>Verified Product / Review Fact</x:v>
      </x:c>
      <x:c r="K384" s="56" t="str">
        <x:v>High</x:v>
      </x:c>
      <x:c r="L384" s="56" t="str">
        <x:v>Yes</x:v>
      </x:c>
      <x:c r="M384" s="56"/>
      <x:c r="N384" s="56" t="str">
        <x:v>Official eczema/cell-immunity/circulation language needs counsel review.</x:v>
      </x:c>
      <x:c r="O384" s="56" t="str">
        <x:v>Codex</x:v>
      </x:c>
    </x:row>
    <x:row r="385" ht="106" customHeight="1">
      <x:c r="A385" s="56" t="str">
        <x:v>SRC-RL-022</x:v>
      </x:c>
      <x:c r="B385" s="56" t="str">
        <x:v>KB008</x:v>
      </x:c>
      <x:c r="C385" s="56" t="str">
        <x:v>Dokdo Cleanser product facts</x:v>
      </x:c>
      <x:c r="D385" s="56" t="str">
        <x:v>Official page lists 150 mL, $17, low pH 5–6, 466 reviews and a creamy daily cleanser concept.</x:v>
      </x:c>
      <x:c r="E385" s="56" t="str">
        <x:v>Round Lab U.S.</x:v>
      </x:c>
      <x:c r="F385" s="56" t="str">
        <x:v>https://roundlab.com/products/1025-dokdo-cleanser</x:v>
      </x:c>
      <x:c r="G385" s="56" t="str">
        <x:v>Official Product Page</x:v>
      </x:c>
      <x:c r="H385" s="56"/>
      <x:c r="I385" s="56" t="str">
        <x:v>2026-07-30</x:v>
      </x:c>
      <x:c r="J385" s="56" t="str">
        <x:v>Verified Product Fact</x:v>
      </x:c>
      <x:c r="K385" s="56" t="str">
        <x:v>High</x:v>
      </x:c>
      <x:c r="L385" s="56" t="str">
        <x:v>Yes</x:v>
      </x:c>
      <x:c r="M385" s="56"/>
      <x:c r="N385" s="56" t="str">
        <x:v>Distinct from the separate 1025 Dokdo Cleansing Gel.</x:v>
      </x:c>
      <x:c r="O385" s="56" t="str">
        <x:v>Codex</x:v>
      </x:c>
    </x:row>
    <x:row r="386" ht="106" customHeight="1">
      <x:c r="A386" s="56" t="str">
        <x:v>SRC-RL-023</x:v>
      </x:c>
      <x:c r="B386" s="56" t="str">
        <x:v>KB008</x:v>
      </x:c>
      <x:c r="C386" s="56" t="str">
        <x:v>Birch Cream product facts</x:v>
      </x:c>
      <x:c r="D386" s="56" t="str">
        <x:v>Official page lists 80 mL, $36, 95 reviews, birch sap 10,000 ppm, panthenol and lightweight barrier-hydration positioning.</x:v>
      </x:c>
      <x:c r="E386" s="56" t="str">
        <x:v>Round Lab U.S.</x:v>
      </x:c>
      <x:c r="F386" s="56" t="str">
        <x:v>https://roundlab.com/products/birch-moisturizing-cream</x:v>
      </x:c>
      <x:c r="G386" s="56" t="str">
        <x:v>Official Product Page</x:v>
      </x:c>
      <x:c r="H386" s="56"/>
      <x:c r="I386" s="56" t="str">
        <x:v>2026-07-30</x:v>
      </x:c>
      <x:c r="J386" s="56" t="str">
        <x:v>Verified Product Fact / Claim Risk</x:v>
      </x:c>
      <x:c r="K386" s="56" t="str">
        <x:v>High</x:v>
      </x:c>
      <x:c r="L386" s="56" t="str">
        <x:v>Yes</x:v>
      </x:c>
      <x:c r="M386" s="56"/>
      <x:c r="N386" s="56" t="str">
        <x:v>Inflammation, pigmentation, collagen, detox and hair-loss language needs review.</x:v>
      </x:c>
      <x:c r="O386" s="56" t="str">
        <x:v>Codex</x:v>
      </x:c>
    </x:row>
    <x:row r="387" ht="106" customHeight="1">
      <x:c r="A387" s="56" t="str">
        <x:v>SRC-RL-024</x:v>
      </x:c>
      <x:c r="B387" s="56" t="str">
        <x:v>KB008</x:v>
      </x:c>
      <x:c r="C387" s="56" t="str">
        <x:v>Mild-Up UVLock product facts</x:v>
      </x:c>
      <x:c r="D387" s="56" t="str">
        <x:v>Official page lists $24.99, 50 mL mineral/tone-up sunscreen with zinc oxide and sensitive-skin positioning.</x:v>
      </x:c>
      <x:c r="E387" s="56" t="str">
        <x:v>Round Lab U.S.</x:v>
      </x:c>
      <x:c r="F387" s="56" t="str">
        <x:v>https://roundlab.com/products/birch-juice-mild-up-uvlock-sunscreen</x:v>
      </x:c>
      <x:c r="G387" s="56" t="str">
        <x:v>Official Product Page</x:v>
      </x:c>
      <x:c r="H387" s="56"/>
      <x:c r="I387" s="56" t="str">
        <x:v>2026-07-30</x:v>
      </x:c>
      <x:c r="J387" s="56" t="str">
        <x:v>Verified Product Fact</x:v>
      </x:c>
      <x:c r="K387" s="56" t="str">
        <x:v>High</x:v>
      </x:c>
      <x:c r="L387" s="56" t="str">
        <x:v>Yes</x:v>
      </x:c>
      <x:c r="M387" s="56"/>
      <x:c r="N387" s="56" t="str">
        <x:v>Current public title says SPF50+ while exact Drug Facts/NDC must control.</x:v>
      </x:c>
      <x:c r="O387" s="56" t="str">
        <x:v>Codex</x:v>
      </x:c>
    </x:row>
    <x:row r="388" ht="106" customHeight="1">
      <x:c r="A388" s="56" t="str">
        <x:v>SRC-RL-025</x:v>
      </x:c>
      <x:c r="B388" s="56" t="str">
        <x:v>KB008</x:v>
      </x:c>
      <x:c r="C388" s="56" t="str">
        <x:v>Mild-Up UVLock DailyMed label</x:v>
      </x:c>
      <x:c r="D388" s="56" t="str">
        <x:v>DailyMed lists NDC 84616-002, zinc oxide 17%, Seorin as labeler and OTC monograph M020.</x:v>
      </x:c>
      <x:c r="E388" s="56" t="str">
        <x:v>DailyMed / U.S. NLM</x:v>
      </x:c>
      <x:c r="F388" s="56" t="str">
        <x:v>https://dailymed.nlm.nih.gov/dailymed/drugInfo.cfm?setid=1e7cc417-3c57-c87c-e063-6394a90a670b</x:v>
      </x:c>
      <x:c r="G388" s="56" t="str">
        <x:v>Regulatory Drug Label</x:v>
      </x:c>
      <x:c r="H388" s="56"/>
      <x:c r="I388" s="56" t="str">
        <x:v>2026-07-30</x:v>
      </x:c>
      <x:c r="J388" s="56" t="str">
        <x:v>Verified OTC Drug Fact</x:v>
      </x:c>
      <x:c r="K388" s="56" t="str">
        <x:v>High</x:v>
      </x:c>
      <x:c r="L388" s="56" t="str">
        <x:v>Yes</x:v>
      </x:c>
      <x:c r="M388" s="56"/>
      <x:c r="N388" s="56" t="str">
        <x:v>Confirm current final artwork, establishment/product listing and test files.</x:v>
      </x:c>
      <x:c r="O388" s="56" t="str">
        <x:v>Codex</x:v>
      </x:c>
    </x:row>
    <x:row r="389" ht="106" customHeight="1">
      <x:c r="A389" s="56" t="str">
        <x:v>SRC-RL-026</x:v>
      </x:c>
      <x:c r="B389" s="56" t="str">
        <x:v>KB008</x:v>
      </x:c>
      <x:c r="C389" s="56" t="str">
        <x:v>Newer U.S. SPF50 label</x:v>
      </x:c>
      <x:c r="D389" s="56" t="str">
        <x:v>DailyMed lists a separate Round Lab broad-spectrum SPF50 under NDC 84616-007, updated April 2026.</x:v>
      </x:c>
      <x:c r="E389" s="56" t="str">
        <x:v>DailyMed / U.S. NLM</x:v>
      </x:c>
      <x:c r="F389" s="56" t="str">
        <x:v>https://dailymed.nlm.nih.gov/dailymed/lookup.cfm?setid=228dcd68-aaba-0451-e063-6394a90a8ad0</x:v>
      </x:c>
      <x:c r="G389" s="56" t="str">
        <x:v>Regulatory Drug Label</x:v>
      </x:c>
      <x:c r="H389" s="56" t="str">
        <x:v>2026-04-20</x:v>
      </x:c>
      <x:c r="I389" s="56" t="str">
        <x:v>2026-07-30</x:v>
      </x:c>
      <x:c r="J389" s="56" t="str">
        <x:v>Verified OTC Pipeline Fact</x:v>
      </x:c>
      <x:c r="K389" s="56" t="str">
        <x:v>High</x:v>
      </x:c>
      <x:c r="L389" s="56" t="str">
        <x:v>Yes</x:v>
      </x:c>
      <x:c r="M389" s="56"/>
      <x:c r="N389" s="56" t="str">
        <x:v>Do not infer commercial availability or substitute this label for NDC 84616-005/002.</x:v>
      </x:c>
      <x:c r="O389" s="56" t="str">
        <x:v>Codex</x:v>
      </x:c>
    </x:row>
    <x:row r="390" ht="106" customHeight="1">
      <x:c r="A390" s="56" t="str">
        <x:v>SRC-RL-027</x:v>
      </x:c>
      <x:c r="B390" s="56" t="str">
        <x:v>KB008</x:v>
      </x:c>
      <x:c r="C390" s="56" t="str">
        <x:v>TikTok Camellia mask growth signal</x:v>
      </x:c>
      <x:c r="D390" s="56" t="str">
        <x:v>Official Shop displayed Camellia Deep Collagen Chin Lifting Gel Mask at about $20.99/$28 and 43.3K sold.</x:v>
      </x:c>
      <x:c r="E390" s="56" t="str">
        <x:v>TikTok Shop U.S.</x:v>
      </x:c>
      <x:c r="F390" s="56" t="str">
        <x:v>https://shop.tiktok.com/us/store/round-lab/7495840792980655024</x:v>
      </x:c>
      <x:c r="G390" s="56" t="str">
        <x:v>Official Social-Commerce Store</x:v>
      </x:c>
      <x:c r="H390" s="56"/>
      <x:c r="I390" s="56" t="str">
        <x:v>2026-07-30</x:v>
      </x:c>
      <x:c r="J390" s="56" t="str">
        <x:v>Verified Platform Display</x:v>
      </x:c>
      <x:c r="K390" s="56" t="str">
        <x:v>Medium-High</x:v>
      </x:c>
      <x:c r="L390" s="56" t="str">
        <x:v>Yes</x:v>
      </x:c>
      <x:c r="M390" s="56"/>
      <x:c r="N390" s="56" t="str">
        <x:v>Shows awareness diversification beyond Birch/Dokdo; counts are dynamic.</x:v>
      </x:c>
      <x:c r="O390" s="56" t="str">
        <x:v>Codex</x:v>
      </x:c>
    </x:row>
    <x:row r="391" ht="106" customHeight="1">
      <x:c r="A391" s="56" t="str">
        <x:v>SRC-RL-028</x:v>
      </x:c>
      <x:c r="B391" s="56" t="str">
        <x:v>KB008</x:v>
      </x:c>
      <x:c r="C391" s="56" t="str">
        <x:v>Costco club presence</x:v>
      </x:c>
      <x:c r="D391" s="56" t="str">
        <x:v>Costco listed a Birch Juice Moisturizing UVLock SPF45 2.03 fl oz two-pack.</x:v>
      </x:c>
      <x:c r="E391" s="56" t="str">
        <x:v>Costco U.S.</x:v>
      </x:c>
      <x:c r="F391" s="56" t="str">
        <x:v>https://www.costco.com/p/-/round-lab-birch-juice-moisturizing-uvlock-spf-45-broad-spectrum-203-fl-oz-2-pack/4000341861</x:v>
      </x:c>
      <x:c r="G391" s="56" t="str">
        <x:v>Authorized Club Retailer</x:v>
      </x:c>
      <x:c r="H391" s="56"/>
      <x:c r="I391" s="56" t="str">
        <x:v>2026-07-30</x:v>
      </x:c>
      <x:c r="J391" s="56" t="str">
        <x:v>Verified Retailer Listing</x:v>
      </x:c>
      <x:c r="K391" s="56" t="str">
        <x:v>High</x:v>
      </x:c>
      <x:c r="L391" s="56" t="str">
        <x:v>Yes</x:v>
      </x:c>
      <x:c r="M391" s="56"/>
      <x:c r="N391" s="56" t="str">
        <x:v>Member pricing and sell-through were not used.</x:v>
      </x:c>
      <x:c r="O391" s="56" t="str">
        <x:v>Codex</x:v>
      </x:c>
    </x:row>
    <x:row r="392" ht="106" customHeight="1">
      <x:c r="A392" s="56" t="str">
        <x:v>SRC-RL-029</x:v>
      </x:c>
      <x:c r="B392" s="56" t="str">
        <x:v>KB008</x:v>
      </x:c>
      <x:c r="C392" s="56" t="str">
        <x:v>iHerb breadth and review evidence</x:v>
      </x:c>
      <x:c r="D392" s="56" t="str">
        <x:v>iHerb carried a broad Round Lab catalog; sampled locale showed 58 results and large cleanser/toner/sunscreen review bases.</x:v>
      </x:c>
      <x:c r="E392" s="56" t="str">
        <x:v>iHerb</x:v>
      </x:c>
      <x:c r="F392" s="56" t="str">
        <x:v>https://www.iherb.com/c/round-lab</x:v>
      </x:c>
      <x:c r="G392" s="56" t="str">
        <x:v>Brand-Linked Retailer</x:v>
      </x:c>
      <x:c r="H392" s="56"/>
      <x:c r="I392" s="56" t="str">
        <x:v>2026-07-30</x:v>
      </x:c>
      <x:c r="J392" s="56" t="str">
        <x:v>Verified Retailer Display</x:v>
      </x:c>
      <x:c r="K392" s="56" t="str">
        <x:v>Medium-High</x:v>
      </x:c>
      <x:c r="L392" s="56" t="str">
        <x:v>Yes</x:v>
      </x:c>
      <x:c r="M392" s="56"/>
      <x:c r="N392" s="56" t="str">
        <x:v>Locale-specific prices/sales were not treated as U.S. sales.</x:v>
      </x:c>
      <x:c r="O392" s="56" t="str">
        <x:v>Codex</x:v>
      </x:c>
    </x:row>
    <x:row r="393" ht="106" customHeight="1">
      <x:c r="A393" s="56" t="str">
        <x:v>SRC-RL-030</x:v>
      </x:c>
      <x:c r="B393" s="56" t="str">
        <x:v>KB008</x:v>
      </x:c>
      <x:c r="C393" s="56" t="str">
        <x:v>Walmart marketplace risk</x:v>
      </x:c>
      <x:c r="D393" s="56" t="str">
        <x:v>Walmart displayed a Round Lab Korean/global Birch sunscreen listing; seller authorization and U.S. OTC suitability were not confirmed.</x:v>
      </x:c>
      <x:c r="E393" s="56" t="str">
        <x:v>Walmart Marketplace</x:v>
      </x:c>
      <x:c r="F393" s="56" t="str">
        <x:v>https://www.walmart.com/ip/20209105874</x:v>
      </x:c>
      <x:c r="G393" s="56" t="str">
        <x:v>Marketplace Listing</x:v>
      </x:c>
      <x:c r="H393" s="56"/>
      <x:c r="I393" s="56" t="str">
        <x:v>2026-07-30</x:v>
      </x:c>
      <x:c r="J393" s="56" t="str">
        <x:v>Verified Risk Signal</x:v>
      </x:c>
      <x:c r="K393" s="56" t="str">
        <x:v>Medium-High</x:v>
      </x:c>
      <x:c r="L393" s="56" t="str">
        <x:v>Yes</x:v>
      </x:c>
      <x:c r="M393" s="56"/>
      <x:c r="N393" s="56" t="str">
        <x:v>Do not treat as an authorized U.S. sunscreen offer without documentary verification.</x:v>
      </x:c>
      <x:c r="O393" s="56" t="str">
        <x:v>Codex</x:v>
      </x:c>
    </x:row>
    <x:row r="394" ht="106" customHeight="1">
      <x:c r="A394" s="56" t="str">
        <x:v>SRC-RL-031</x:v>
      </x:c>
      <x:c r="B394" s="56" t="str">
        <x:v>KB008</x:v>
      </x:c>
      <x:c r="C394" s="56" t="str">
        <x:v>Authenticity guidance</x:v>
      </x:c>
      <x:c r="D394" s="56" t="str">
        <x:v>Official authenticity page advises consumers to verify unusually low prices, seller authorization, packaging, texture, scent and labels.</x:v>
      </x:c>
      <x:c r="E394" s="56" t="str">
        <x:v>Round Lab U.S.</x:v>
      </x:c>
      <x:c r="F394" s="56" t="str">
        <x:v>https://roundlab.com/pages/authenticity</x:v>
      </x:c>
      <x:c r="G394" s="56" t="str">
        <x:v>Official Authenticity Page</x:v>
      </x:c>
      <x:c r="H394" s="56"/>
      <x:c r="I394" s="56" t="str">
        <x:v>2026-07-30</x:v>
      </x:c>
      <x:c r="J394" s="56" t="str">
        <x:v>Verified Authenticity Guidance</x:v>
      </x:c>
      <x:c r="K394" s="56" t="str">
        <x:v>High</x:v>
      </x:c>
      <x:c r="L394" s="56" t="str">
        <x:v>Yes</x:v>
      </x:c>
      <x:c r="M394" s="56"/>
      <x:c r="N394" s="56" t="str">
        <x:v>Page does not provide an exhaustive authorized-seller matrix.</x:v>
      </x:c>
      <x:c r="O394" s="56" t="str">
        <x:v>Codex</x:v>
      </x:c>
    </x:row>
    <x:row r="395" ht="106" customHeight="1">
      <x:c r="A395" s="56" t="str">
        <x:v>SRC-RL-032</x:v>
      </x:c>
      <x:c r="B395" s="56" t="str">
        <x:v>KB008</x:v>
      </x:c>
      <x:c r="C395" s="56" t="str">
        <x:v>Independent awareness — NBC sunscreen test</x:v>
      </x:c>
      <x:c r="D395" s="56" t="str">
        <x:v>NBC Select reported that testing of 100+ sunscreens selected Round Lab UVLock as its top facial sunscreen.</x:v>
      </x:c>
      <x:c r="E395" s="56" t="str">
        <x:v>NBC Select</x:v>
      </x:c>
      <x:c r="F395" s="56" t="str">
        <x:v>https://www.nbcnews.com/select/shopping/round-lab-sunscreen-deal-of-the-day-2025-rcna212398</x:v>
      </x:c>
      <x:c r="G395" s="56" t="str">
        <x:v>Editorial Test / Affiliate Commerce</x:v>
      </x:c>
      <x:c r="H395" s="56" t="str">
        <x:v>2025-06-11</x:v>
      </x:c>
      <x:c r="I395" s="56" t="str">
        <x:v>2026-07-30</x:v>
      </x:c>
      <x:c r="J395" s="56" t="str">
        <x:v>Independent Editorial Evidence</x:v>
      </x:c>
      <x:c r="K395" s="56" t="str">
        <x:v>High</x:v>
      </x:c>
      <x:c r="L395" s="56" t="str">
        <x:v>Yes</x:v>
      </x:c>
      <x:c r="M395" s="56"/>
      <x:c r="N395" s="56" t="str">
        <x:v>Editorial result is not FDA approval, clinical substantiation or audited sales.</x:v>
      </x:c>
      <x:c r="O395" s="56" t="str">
        <x:v>Codex</x:v>
      </x:c>
    </x:row>
    <x:row r="396" ht="106" customHeight="1">
      <x:c r="A396" s="56" t="str">
        <x:v>SRC-RL-033</x:v>
      </x:c>
      <x:c r="B396" s="56" t="str">
        <x:v>KB008</x:v>
      </x:c>
      <x:c r="C396" s="56" t="str">
        <x:v>Reddit — recent Dokdo Toner discussion</x:v>
      </x:c>
      <x:c r="D396" s="56" t="str">
        <x:v>Users report calm, no-residue hydration and no fragrance, while others say the toner does little, needs layers or irritates.</x:v>
      </x:c>
      <x:c r="E396" s="56" t="str">
        <x:v>Reddit r/koreanskincare</x:v>
      </x:c>
      <x:c r="F396" s="56" t="str">
        <x:v>https://www.reddit.com/r/koreanskincare/comments/1uv5c9q/round_lab_1025_dokdo_toner_the_gentle_exfoliating/</x:v>
      </x:c>
      <x:c r="G396" s="56" t="str">
        <x:v>Consumer Forum</x:v>
      </x:c>
      <x:c r="H396" s="56"/>
      <x:c r="I396" s="56" t="str">
        <x:v>2026-07-30</x:v>
      </x:c>
      <x:c r="J396" s="56" t="str">
        <x:v>Anecdotal Consumer Evidence</x:v>
      </x:c>
      <x:c r="K396" s="56" t="str">
        <x:v>Low-Medium</x:v>
      </x:c>
      <x:c r="L396" s="56" t="str">
        <x:v>Mixed</x:v>
      </x:c>
      <x:c r="M396" s="56"/>
      <x:c r="N396" s="56" t="str">
        <x:v>Self-selected; no prevalence or causation.</x:v>
      </x:c>
      <x:c r="O396" s="56" t="str">
        <x:v>Codex</x:v>
      </x:c>
    </x:row>
    <x:row r="397" ht="106" customHeight="1">
      <x:c r="A397" s="56" t="str">
        <x:v>SRC-RL-034</x:v>
      </x:c>
      <x:c r="B397" s="56" t="str">
        <x:v>KB008</x:v>
      </x:c>
      <x:c r="C397" s="56" t="str">
        <x:v>Reddit — historical toner review</x:v>
      </x:c>
      <x:c r="D397" s="56" t="str">
        <x:v>Long-form toner review and comments include light hydration, easy layering and some dryness/tightness.</x:v>
      </x:c>
      <x:c r="E397" s="56" t="str">
        <x:v>Reddit r/AsianBeauty</x:v>
      </x:c>
      <x:c r="F397" s="56" t="str">
        <x:v>https://www.reddit.com/r/AsianBeauty/comments/nzoyrh/review_roundlab_dokdo_1025_toner/</x:v>
      </x:c>
      <x:c r="G397" s="56" t="str">
        <x:v>Consumer Forum</x:v>
      </x:c>
      <x:c r="H397" s="56"/>
      <x:c r="I397" s="56" t="str">
        <x:v>2026-07-30</x:v>
      </x:c>
      <x:c r="J397" s="56" t="str">
        <x:v>Anecdotal Consumer Evidence</x:v>
      </x:c>
      <x:c r="K397" s="56" t="str">
        <x:v>Low-Medium</x:v>
      </x:c>
      <x:c r="L397" s="56" t="str">
        <x:v>Mixed</x:v>
      </x:c>
      <x:c r="M397" s="56"/>
      <x:c r="N397" s="56" t="str">
        <x:v>Historical and not necessarily U.S.-specific.</x:v>
      </x:c>
      <x:c r="O397" s="56" t="str">
        <x:v>Codex</x:v>
      </x:c>
    </x:row>
    <x:row r="398" ht="106" customHeight="1">
      <x:c r="A398" s="56" t="str">
        <x:v>SRC-RL-035</x:v>
      </x:c>
      <x:c r="B398" s="56" t="str">
        <x:v>KB008</x:v>
      </x:c>
      <x:c r="C398" s="56" t="str">
        <x:v>Reddit — cleanser first impression</x:v>
      </x:c>
      <x:c r="D398" s="56" t="str">
        <x:v>Review reports gentle non-stripping foam; comments include dryness, itch and puffy-eye concerns.</x:v>
      </x:c>
      <x:c r="E398" s="56" t="str">
        <x:v>Reddit r/AsianBeauty</x:v>
      </x:c>
      <x:c r="F398" s="56" t="str">
        <x:v>https://www.reddit.com/r/AsianBeauty/comments/1hoqr19/first_impression_review_round_lab_1025_dokko/</x:v>
      </x:c>
      <x:c r="G398" s="56" t="str">
        <x:v>Consumer Forum</x:v>
      </x:c>
      <x:c r="H398" s="56"/>
      <x:c r="I398" s="56" t="str">
        <x:v>2026-07-30</x:v>
      </x:c>
      <x:c r="J398" s="56" t="str">
        <x:v>Anecdotal Consumer Evidence</x:v>
      </x:c>
      <x:c r="K398" s="56" t="str">
        <x:v>Low-Medium</x:v>
      </x:c>
      <x:c r="L398" s="56" t="str">
        <x:v>Mixed</x:v>
      </x:c>
      <x:c r="M398" s="56"/>
      <x:c r="N398" s="56" t="str">
        <x:v>Short-use anecdote.</x:v>
      </x:c>
      <x:c r="O398" s="56" t="str">
        <x:v>Codex</x:v>
      </x:c>
    </x:row>
    <x:row r="399" ht="106" customHeight="1">
      <x:c r="A399" s="56" t="str">
        <x:v>SRC-RL-036</x:v>
      </x:c>
      <x:c r="B399" s="56" t="str">
        <x:v>KB008</x:v>
      </x:c>
      <x:c r="C399" s="56" t="str">
        <x:v>Reddit — cleanser adverse experiences</x:v>
      </x:c>
      <x:c r="D399" s="56" t="str">
        <x:v>Thread contains stripping/redness/rawness reports alongside users who call the cleanser gentle and repurchase it.</x:v>
      </x:c>
      <x:c r="E399" s="56" t="str">
        <x:v>Reddit r/koreanskincare</x:v>
      </x:c>
      <x:c r="F399" s="56" t="str">
        <x:v>https://www.reddit.com/r/koreanskincare/comments/1v09821/anyone_else_had_a_negative_experience_with_round/</x:v>
      </x:c>
      <x:c r="G399" s="56" t="str">
        <x:v>Consumer Forum</x:v>
      </x:c>
      <x:c r="H399" s="56"/>
      <x:c r="I399" s="56" t="str">
        <x:v>2026-07-30</x:v>
      </x:c>
      <x:c r="J399" s="56" t="str">
        <x:v>Anecdotal Adverse-Experience Evidence</x:v>
      </x:c>
      <x:c r="K399" s="56" t="str">
        <x:v>Low-Medium</x:v>
      </x:c>
      <x:c r="L399" s="56" t="str">
        <x:v>Mixed</x:v>
      </x:c>
      <x:c r="M399" s="56"/>
      <x:c r="N399" s="56" t="str">
        <x:v>No causation or defect established.</x:v>
      </x:c>
      <x:c r="O399" s="56" t="str">
        <x:v>Codex</x:v>
      </x:c>
    </x:row>
    <x:row r="400" ht="106" customHeight="1">
      <x:c r="A400" s="56" t="str">
        <x:v>SRC-RL-037</x:v>
      </x:c>
      <x:c r="B400" s="56" t="str">
        <x:v>KB008</x:v>
      </x:c>
      <x:c r="C400" s="56" t="str">
        <x:v>Reddit — cleanser adaptation review</x:v>
      </x:c>
      <x:c r="D400" s="56" t="str">
        <x:v>User reports mild early red patches, later tolerance and good foam.</x:v>
      </x:c>
      <x:c r="E400" s="56" t="str">
        <x:v>Reddit r/koreanskincare</x:v>
      </x:c>
      <x:c r="F400" s="56" t="str">
        <x:v>https://www.reddit.com/r/koreanskincare/comments/1tqcgs9/round_lab_dokodo_cleanser_review/</x:v>
      </x:c>
      <x:c r="G400" s="56" t="str">
        <x:v>Consumer Forum</x:v>
      </x:c>
      <x:c r="H400" s="56"/>
      <x:c r="I400" s="56" t="str">
        <x:v>2026-07-30</x:v>
      </x:c>
      <x:c r="J400" s="56" t="str">
        <x:v>Anecdotal Consumer Evidence</x:v>
      </x:c>
      <x:c r="K400" s="56" t="str">
        <x:v>Low</x:v>
      </x:c>
      <x:c r="L400" s="56" t="str">
        <x:v>Mixed</x:v>
      </x:c>
      <x:c r="M400" s="56"/>
      <x:c r="N400" s="56" t="str">
        <x:v>Single-user evidence.</x:v>
      </x:c>
      <x:c r="O400" s="56" t="str">
        <x:v>Codex</x:v>
      </x:c>
    </x:row>
    <x:row r="401" ht="106" customHeight="1">
      <x:c r="A401" s="56" t="str">
        <x:v>SRC-RL-038</x:v>
      </x:c>
      <x:c r="B401" s="56" t="str">
        <x:v>KB008</x:v>
      </x:c>
      <x:c r="C401" s="56" t="str">
        <x:v>Reddit — Birch Cream review</x:v>
      </x:c>
      <x:c r="D401" s="56" t="str">
        <x:v>Review describes light hydration and oil balance, with possible shine/greasiness and insufficient richness for very dry skin.</x:v>
      </x:c>
      <x:c r="E401" s="56" t="str">
        <x:v>Reddit r/AsianBeauty</x:v>
      </x:c>
      <x:c r="F401" s="56" t="str">
        <x:v>https://www.reddit.com/r/AsianBeauty/comments/1dig41m/round_lab_birch_juice_moisturizing_cream_review/</x:v>
      </x:c>
      <x:c r="G401" s="56" t="str">
        <x:v>Consumer Forum</x:v>
      </x:c>
      <x:c r="H401" s="56"/>
      <x:c r="I401" s="56" t="str">
        <x:v>2026-07-30</x:v>
      </x:c>
      <x:c r="J401" s="56" t="str">
        <x:v>Anecdotal Consumer Evidence</x:v>
      </x:c>
      <x:c r="K401" s="56" t="str">
        <x:v>Low-Medium</x:v>
      </x:c>
      <x:c r="L401" s="56" t="str">
        <x:v>Mixed</x:v>
      </x:c>
      <x:c r="M401" s="56"/>
      <x:c r="N401" s="56" t="str">
        <x:v>Single review plus comments.</x:v>
      </x:c>
      <x:c r="O401" s="56" t="str">
        <x:v>Codex</x:v>
      </x:c>
    </x:row>
    <x:row r="402" ht="106" customHeight="1">
      <x:c r="A402" s="56" t="str">
        <x:v>SRC-RL-039</x:v>
      </x:c>
      <x:c r="B402" s="56" t="str">
        <x:v>KB008</x:v>
      </x:c>
      <x:c r="C402" s="56" t="str">
        <x:v>Reddit — community brand review</x:v>
      </x:c>
      <x:c r="D402" s="56" t="str">
        <x:v>Barrier-focused community shares both strong brand affinity and cleanser-breakout/dryness or cream-thickness complaints.</x:v>
      </x:c>
      <x:c r="E402" s="56" t="str">
        <x:v>Reddit r/SkinbarrierLovers</x:v>
      </x:c>
      <x:c r="F402" s="56" t="str">
        <x:v>https://www.reddit.com/r/SkinbarrierLovers/comments/1uyvw5a/community_brand_review_round_lab/</x:v>
      </x:c>
      <x:c r="G402" s="56" t="str">
        <x:v>Consumer Forum</x:v>
      </x:c>
      <x:c r="H402" s="56"/>
      <x:c r="I402" s="56" t="str">
        <x:v>2026-07-30</x:v>
      </x:c>
      <x:c r="J402" s="56" t="str">
        <x:v>Anecdotal Brand Evidence</x:v>
      </x:c>
      <x:c r="K402" s="56" t="str">
        <x:v>Low-Medium</x:v>
      </x:c>
      <x:c r="L402" s="56" t="str">
        <x:v>Mixed</x:v>
      </x:c>
      <x:c r="M402" s="56"/>
      <x:c r="N402" s="56" t="str">
        <x:v>Self-selected community.</x:v>
      </x:c>
      <x:c r="O402" s="56" t="str">
        <x:v>Codex</x:v>
      </x:c>
    </x:row>
    <x:row r="403" ht="106" customHeight="1">
      <x:c r="A403" s="56" t="str">
        <x:v>SRC-RL-040</x:v>
      </x:c>
      <x:c r="B403" s="56" t="str">
        <x:v>KB008</x:v>
      </x:c>
      <x:c r="C403" s="56" t="str">
        <x:v>Reddit — Amazon authenticity risk 1</x:v>
      </x:c>
      <x:c r="D403" s="56" t="str">
        <x:v>Consumers discuss seller switching, packaging differences and suspected counterfeit marketplace units.</x:v>
      </x:c>
      <x:c r="E403" s="56" t="str">
        <x:v>Reddit r/AsianBeauty</x:v>
      </x:c>
      <x:c r="F403" s="56" t="str">
        <x:v>https://www.reddit.com/r/AsianBeauty/comments/1drh945</x:v>
      </x:c>
      <x:c r="G403" s="56" t="str">
        <x:v>Consumer Forum</x:v>
      </x:c>
      <x:c r="H403" s="56"/>
      <x:c r="I403" s="56" t="str">
        <x:v>2026-07-30</x:v>
      </x:c>
      <x:c r="J403" s="56" t="str">
        <x:v>Anecdotal Authenticity Risk</x:v>
      </x:c>
      <x:c r="K403" s="56" t="str">
        <x:v>Low-Medium</x:v>
      </x:c>
      <x:c r="L403" s="56" t="str">
        <x:v>Mixed</x:v>
      </x:c>
      <x:c r="M403" s="56"/>
      <x:c r="N403" s="56" t="str">
        <x:v>Not proof of counterfeit; supports seller/lot verification.</x:v>
      </x:c>
      <x:c r="O403" s="56" t="str">
        <x:v>Codex</x:v>
      </x:c>
    </x:row>
    <x:row r="404" ht="106" customHeight="1">
      <x:c r="A404" s="56" t="str">
        <x:v>SRC-RL-041</x:v>
      </x:c>
      <x:c r="B404" s="56" t="str">
        <x:v>KB008</x:v>
      </x:c>
      <x:c r="C404" s="56" t="str">
        <x:v>Reddit — formula/authenticity risk 2</x:v>
      </x:c>
      <x:c r="D404" s="56" t="str">
        <x:v>Users compare U.S. and Korean sunscreen formulas and question differences in scent, texture, filters and packaging.</x:v>
      </x:c>
      <x:c r="E404" s="56" t="str">
        <x:v>Reddit r/AsianBeauty</x:v>
      </x:c>
      <x:c r="F404" s="56" t="str">
        <x:v>https://www.reddit.com/r/AsianBeauty/comments/1dbqwox</x:v>
      </x:c>
      <x:c r="G404" s="56" t="str">
        <x:v>Consumer Forum</x:v>
      </x:c>
      <x:c r="H404" s="56"/>
      <x:c r="I404" s="56" t="str">
        <x:v>2026-07-30</x:v>
      </x:c>
      <x:c r="J404" s="56" t="str">
        <x:v>Anecdotal Formula-Confusion Risk</x:v>
      </x:c>
      <x:c r="K404" s="56" t="str">
        <x:v>Low-Medium</x:v>
      </x:c>
      <x:c r="L404" s="56" t="str">
        <x:v>Mixed</x:v>
      </x:c>
      <x:c r="M404" s="56"/>
      <x:c r="N404" s="56" t="str">
        <x:v>Legitimate formula differences can be mistaken for counterfeit.</x:v>
      </x:c>
      <x:c r="O404" s="56" t="str">
        <x:v>Codex</x:v>
      </x:c>
    </x:row>
    <x:row r="405" ht="106" customHeight="1">
      <x:c r="A405" s="56" t="str">
        <x:v>SRC-RL-042</x:v>
      </x:c>
      <x:c r="B405" s="56" t="str">
        <x:v>KB008</x:v>
      </x:c>
      <x:c r="C405" s="56" t="str">
        <x:v>Reddit — Amazon authenticity risk 3</x:v>
      </x:c>
      <x:c r="D405" s="56" t="str">
        <x:v>Users emphasize seller checks and discuss whether Amazon units were genuine.</x:v>
      </x:c>
      <x:c r="E405" s="56" t="str">
        <x:v>Reddit r/AsianBeauty</x:v>
      </x:c>
      <x:c r="F405" s="56" t="str">
        <x:v>https://www.reddit.com/r/AsianBeauty/comments/1cfd2ck</x:v>
      </x:c>
      <x:c r="G405" s="56" t="str">
        <x:v>Consumer Forum</x:v>
      </x:c>
      <x:c r="H405" s="56"/>
      <x:c r="I405" s="56" t="str">
        <x:v>2026-07-30</x:v>
      </x:c>
      <x:c r="J405" s="56" t="str">
        <x:v>Anecdotal Authenticity Risk</x:v>
      </x:c>
      <x:c r="K405" s="56" t="str">
        <x:v>Low-Medium</x:v>
      </x:c>
      <x:c r="L405" s="56" t="str">
        <x:v>Mixed</x:v>
      </x:c>
      <x:c r="M405" s="56"/>
      <x:c r="N405" s="56" t="str">
        <x:v>No universal counterfeit finding.</x:v>
      </x:c>
      <x:c r="O405" s="56" t="str">
        <x:v>Codex</x:v>
      </x:c>
    </x:row>
    <x:row r="406" ht="106" customHeight="1">
      <x:c r="A406" s="56" t="str">
        <x:v>SRC-RL-043</x:v>
      </x:c>
      <x:c r="B406" s="56" t="str">
        <x:v>KB008</x:v>
      </x:c>
      <x:c r="C406" s="56" t="str">
        <x:v>Competitor — Beauty of Joseon Daily Relief</x:v>
      </x:c>
      <x:c r="D406" s="56" t="str">
        <x:v>Official page displayed $18 list/$14.40 sale, 4.7/485 and U.S. SPF40 Drug Facts/formula details.</x:v>
      </x:c>
      <x:c r="E406" s="56" t="str">
        <x:v>Beauty of Joseon Official</x:v>
      </x:c>
      <x:c r="F406" s="56" t="str">
        <x:v>https://beautyofjoseon.com/products/daily-relief-sunscreen</x:v>
      </x:c>
      <x:c r="G406" s="56" t="str">
        <x:v>Official Competitor Product Page</x:v>
      </x:c>
      <x:c r="H406" s="56"/>
      <x:c r="I406" s="56" t="str">
        <x:v>2026-07-30</x:v>
      </x:c>
      <x:c r="J406" s="56" t="str">
        <x:v>Verified Competitor Fact</x:v>
      </x:c>
      <x:c r="K406" s="56" t="str">
        <x:v>High</x:v>
      </x:c>
      <x:c r="L406" s="56" t="str">
        <x:v>Yes</x:v>
      </x:c>
      <x:c r="M406" s="56"/>
      <x:c r="N406" s="56" t="str">
        <x:v>Current promotion and stock change.</x:v>
      </x:c>
      <x:c r="O406" s="56" t="str">
        <x:v>Codex</x:v>
      </x:c>
    </x:row>
    <x:row r="407" ht="106" customHeight="1">
      <x:c r="A407" s="56" t="str">
        <x:v>SRC-RL-044</x:v>
      </x:c>
      <x:c r="B407" s="56" t="str">
        <x:v>KB008</x:v>
      </x:c>
      <x:c r="C407" s="56" t="str">
        <x:v>Competitor — SKIN1004 Sun Serum UV</x:v>
      </x:c>
      <x:c r="D407" s="56" t="str">
        <x:v>Official U.S. page displayed $19 list/$17.10 sale for a 50 mL hydrating SPF50 sun serum.</x:v>
      </x:c>
      <x:c r="E407" s="56" t="str">
        <x:v>SKIN1004 Official</x:v>
      </x:c>
      <x:c r="F407" s="56" t="str">
        <x:v>https://www.skin1004.com/pages/sun-serum-uv</x:v>
      </x:c>
      <x:c r="G407" s="56" t="str">
        <x:v>Official Competitor Product Page</x:v>
      </x:c>
      <x:c r="H407" s="56"/>
      <x:c r="I407" s="56" t="str">
        <x:v>2026-07-30</x:v>
      </x:c>
      <x:c r="J407" s="56" t="str">
        <x:v>Verified Competitor Fact</x:v>
      </x:c>
      <x:c r="K407" s="56" t="str">
        <x:v>High</x:v>
      </x:c>
      <x:c r="L407" s="56" t="str">
        <x:v>Yes</x:v>
      </x:c>
      <x:c r="M407" s="56"/>
      <x:c r="N407" s="56" t="str">
        <x:v>Confirm current U.S. Drug Facts/NDC before regulatory comparison.</x:v>
      </x:c>
      <x:c r="O407" s="56" t="str">
        <x:v>Codex</x:v>
      </x:c>
    </x:row>
    <x:row r="408" ht="106" customHeight="1">
      <x:c r="A408" s="56" t="str">
        <x:v>SRC-RL-045</x:v>
      </x:c>
      <x:c r="B408" s="56" t="str">
        <x:v>KB008</x:v>
      </x:c>
      <x:c r="C408" s="56" t="str">
        <x:v>Competitor — Anua Rice Toner</x:v>
      </x:c>
      <x:c r="D408" s="56" t="str">
        <x:v>Ulta displayed Anua Rice 70 Glow Milky Toner at $21, 4.4/213 and 8.45 oz.</x:v>
      </x:c>
      <x:c r="E408" s="56" t="str">
        <x:v>Ulta Beauty / Anua</x:v>
      </x:c>
      <x:c r="F408" s="56" t="str">
        <x:v>https://www.ulta.com/p/rice-70-glow-milky-toner-pimprod2048932?sku=2634193</x:v>
      </x:c>
      <x:c r="G408" s="56" t="str">
        <x:v>Authorized Competitor Retailer</x:v>
      </x:c>
      <x:c r="H408" s="56"/>
      <x:c r="I408" s="56" t="str">
        <x:v>2026-07-30</x:v>
      </x:c>
      <x:c r="J408" s="56" t="str">
        <x:v>Verified Competitor Fact</x:v>
      </x:c>
      <x:c r="K408" s="56" t="str">
        <x:v>High</x:v>
      </x:c>
      <x:c r="L408" s="56" t="str">
        <x:v>Yes</x:v>
      </x:c>
      <x:c r="M408" s="56"/>
      <x:c r="N408" s="56" t="str">
        <x:v>Review count and promotion change.</x:v>
      </x:c>
      <x:c r="O408" s="56" t="str">
        <x:v>Codex</x:v>
      </x:c>
    </x:row>
    <x:row r="409" ht="106" customHeight="1">
      <x:c r="A409" s="56" t="str">
        <x:v>SRC-RL-046</x:v>
      </x:c>
      <x:c r="B409" s="56" t="str">
        <x:v>KB008</x:v>
      </x:c>
      <x:c r="C409" s="56" t="str">
        <x:v>Competitor — COSRX Low pH Cleanser</x:v>
      </x:c>
      <x:c r="D409" s="56" t="str">
        <x:v>Ulta displayed COSRX Low pH Good Morning Gel Cleanser at $14 list, 4.2/191 and 5.07 oz.</x:v>
      </x:c>
      <x:c r="E409" s="56" t="str">
        <x:v>Ulta Beauty / COSRX</x:v>
      </x:c>
      <x:c r="F409" s="56" t="str">
        <x:v>https://www.ulta.com/p/low-ph-good-morning-gel-cleanser-xlsImpprod16661017?sku=2517358</x:v>
      </x:c>
      <x:c r="G409" s="56" t="str">
        <x:v>Authorized Competitor Retailer</x:v>
      </x:c>
      <x:c r="H409" s="56"/>
      <x:c r="I409" s="56" t="str">
        <x:v>2026-07-30</x:v>
      </x:c>
      <x:c r="J409" s="56" t="str">
        <x:v>Verified Competitor Fact</x:v>
      </x:c>
      <x:c r="K409" s="56" t="str">
        <x:v>High</x:v>
      </x:c>
      <x:c r="L409" s="56" t="str">
        <x:v>Yes</x:v>
      </x:c>
      <x:c r="M409" s="56"/>
      <x:c r="N409" s="56" t="str">
        <x:v>Temporary sale price was $9.80.</x:v>
      </x:c>
      <x:c r="O409" s="56" t="str">
        <x:v>Codex</x:v>
      </x:c>
    </x:row>
    <x:row r="410" ht="106" customHeight="1">
      <x:c r="A410" s="56" t="str">
        <x:v>SRC-RL-047</x:v>
      </x:c>
      <x:c r="B410" s="56" t="str">
        <x:v>KB008</x:v>
      </x:c>
      <x:c r="C410" s="56" t="str">
        <x:v>Competitor — Dr.G Soothing Cream</x:v>
      </x:c>
      <x:c r="D410" s="56" t="str">
        <x:v>Official Dr.G page displayed $34.95, 70 mL and 4.9/167.</x:v>
      </x:c>
      <x:c r="E410" s="56" t="str">
        <x:v>Dr.G Official</x:v>
      </x:c>
      <x:c r="F410" s="56" t="str">
        <x:v>https://dr-g.com/collections/moisturizer-hydration/products/dr-g-red-blemish-clear-soothing-cream</x:v>
      </x:c>
      <x:c r="G410" s="56" t="str">
        <x:v>Official Competitor Product Page</x:v>
      </x:c>
      <x:c r="H410" s="56"/>
      <x:c r="I410" s="56" t="str">
        <x:v>2026-07-30</x:v>
      </x:c>
      <x:c r="J410" s="56" t="str">
        <x:v>Verified Competitor Fact</x:v>
      </x:c>
      <x:c r="K410" s="56" t="str">
        <x:v>High</x:v>
      </x:c>
      <x:c r="L410" s="56" t="str">
        <x:v>Yes</x:v>
      </x:c>
      <x:c r="M410" s="56"/>
      <x:c r="N410" s="56" t="str">
        <x:v>Where-to-buy links include Amazon US and iHerb US.</x:v>
      </x:c>
      <x:c r="O410" s="56" t="str">
        <x:v>Codex</x:v>
      </x:c>
    </x:row>
    <x:row r="411" ht="106" customHeight="1">
      <x:c r="A411" s="56" t="str">
        <x:v>SRC-RL-048</x:v>
      </x:c>
      <x:c r="B411" s="56" t="str">
        <x:v>KB008</x:v>
      </x:c>
      <x:c r="C411" s="56" t="str">
        <x:v>FDA — cosmetic labeling claims</x:v>
      </x:c>
      <x:c r="D411" s="56" t="str">
        <x:v>FDA states disease-treatment or structure/function claims can make a cosmetic a drug.</x:v>
      </x:c>
      <x:c r="E411" s="56" t="str">
        <x:v>U.S. FDA</x:v>
      </x:c>
      <x:c r="F411" s="56" t="str">
        <x:v>https://www.fda.gov/cosmetics/cosmetics-labeling/cosmetics-labeling-claims</x:v>
      </x:c>
      <x:c r="G411" s="56" t="str">
        <x:v>Regulator</x:v>
      </x:c>
      <x:c r="H411" s="56"/>
      <x:c r="I411" s="56" t="str">
        <x:v>2026-07-30</x:v>
      </x:c>
      <x:c r="J411" s="56" t="str">
        <x:v>Verified Regulatory Requirement</x:v>
      </x:c>
      <x:c r="K411" s="56" t="str">
        <x:v>High</x:v>
      </x:c>
      <x:c r="L411" s="56" t="str">
        <x:v>Yes</x:v>
      </x:c>
      <x:c r="M411" s="56"/>
      <x:c r="N411" s="56" t="str">
        <x:v>Review eczema, circulation, immunity, cell-rejuvenation, acne, collagen, detox and hair-loss language.</x:v>
      </x:c>
      <x:c r="O411" s="56" t="str">
        <x:v>Codex</x:v>
      </x:c>
    </x:row>
    <x:row r="412" ht="106" customHeight="1">
      <x:c r="A412" s="56" t="str">
        <x:v>SRC-RL-049</x:v>
      </x:c>
      <x:c r="B412" s="56" t="str">
        <x:v>KB008</x:v>
      </x:c>
      <x:c r="C412" s="56" t="str">
        <x:v>FDA — MoCRA registration/listing</x:v>
      </x:c>
      <x:c r="D412" s="56" t="str">
        <x:v>FDA explains cosmetic facility registration, product-listing and responsible-person obligations.</x:v>
      </x:c>
      <x:c r="E412" s="56" t="str">
        <x:v>U.S. FDA</x:v>
      </x:c>
      <x:c r="F412" s="56" t="str">
        <x:v>https://www.fda.gov/cosmetics/registration-listing-cosmetic-product-facilities-and-products</x:v>
      </x:c>
      <x:c r="G412" s="56" t="str">
        <x:v>Regulator</x:v>
      </x:c>
      <x:c r="H412" s="56"/>
      <x:c r="I412" s="56" t="str">
        <x:v>2026-07-30</x:v>
      </x:c>
      <x:c r="J412" s="56" t="str">
        <x:v>Verified Regulatory Requirement</x:v>
      </x:c>
      <x:c r="K412" s="56" t="str">
        <x:v>High</x:v>
      </x:c>
      <x:c r="L412" s="56" t="str">
        <x:v>Yes</x:v>
      </x:c>
      <x:c r="M412" s="56"/>
      <x:c r="N412" s="56" t="str">
        <x:v>Registration/listing is not FDA approval.</x:v>
      </x:c>
      <x:c r="O412" s="56" t="str">
        <x:v>Codex</x:v>
      </x:c>
    </x:row>
    <x:row r="413" ht="106" customHeight="1">
      <x:c r="A413" s="56" t="str">
        <x:v>SRC-RL-050</x:v>
      </x:c>
      <x:c r="B413" s="56" t="str">
        <x:v>KB008</x:v>
      </x:c>
      <x:c r="C413" s="56" t="str">
        <x:v>FDA — sunscreen OTC context</x:v>
      </x:c>
      <x:c r="D413" s="56" t="str">
        <x:v>FDA explains sunscreen Drug Facts, broad-spectrum use and OTC drug status.</x:v>
      </x:c>
      <x:c r="E413" s="56" t="str">
        <x:v>U.S. FDA</x:v>
      </x:c>
      <x:c r="F413" s="56" t="str">
        <x:v>https://www.fda.gov/drugs/understanding-over-counter-medicines/sunscreen-how-help-protect-your-skin-sun</x:v>
      </x:c>
      <x:c r="G413" s="56" t="str">
        <x:v>Regulator</x:v>
      </x:c>
      <x:c r="H413" s="56"/>
      <x:c r="I413" s="56" t="str">
        <x:v>2026-07-30</x:v>
      </x:c>
      <x:c r="J413" s="56" t="str">
        <x:v>Verified Regulatory Context</x:v>
      </x:c>
      <x:c r="K413" s="56" t="str">
        <x:v>High</x:v>
      </x:c>
      <x:c r="L413" s="56" t="str">
        <x:v>Yes</x:v>
      </x:c>
      <x:c r="M413" s="56"/>
      <x:c r="N413" s="56" t="str">
        <x:v>Product-specific distribution still requires exact listing, label, formula and test diligence.</x:v>
      </x:c>
      <x:c r="O413" s="56" t="str">
        <x:v>Codex</x:v>
      </x:c>
    </x:row>
    <x:row r="414" ht="106" customHeight="1">
      <x:c r="A414" s="56" t="str">
        <x:v>SRC-RL-051</x:v>
      </x:c>
      <x:c r="B414" s="56" t="str">
        <x:v>KB008</x:v>
      </x:c>
      <x:c r="C414" s="56" t="str">
        <x:v>Official U.S. store locator</x:v>
      </x:c>
      <x:c r="D414" s="56" t="str">
        <x:v>Official U.S. site provides a Target-focused store locator.</x:v>
      </x:c>
      <x:c r="E414" s="56" t="str">
        <x:v>Round Lab U.S.</x:v>
      </x:c>
      <x:c r="F414" s="56" t="str">
        <x:v>https://roundlab.com/pages/store-locator</x:v>
      </x:c>
      <x:c r="G414" s="56" t="str">
        <x:v>Official Retail Locator</x:v>
      </x:c>
      <x:c r="H414" s="56"/>
      <x:c r="I414" s="56" t="str">
        <x:v>2026-07-30</x:v>
      </x:c>
      <x:c r="J414" s="56" t="str">
        <x:v>Verified Physical Retail Evidence</x:v>
      </x:c>
      <x:c r="K414" s="56" t="str">
        <x:v>High</x:v>
      </x:c>
      <x:c r="L414" s="56" t="str">
        <x:v>Yes</x:v>
      </x:c>
      <x:c r="M414" s="56"/>
      <x:c r="N414" s="56" t="str">
        <x:v>Store/SKU availability changes by ZIP.</x:v>
      </x:c>
      <x:c r="O414" s="56" t="str">
        <x:v>Codex</x:v>
      </x:c>
    </x:row>
    <x:row r="415" ht="106" customHeight="1">
      <x:c r="A415" s="56" t="str">
        <x:v>SRC-RL-052</x:v>
      </x:c>
      <x:c r="B415" s="56" t="str">
        <x:v>KB008</x:v>
      </x:c>
      <x:c r="C415" s="56" t="str">
        <x:v>Company history / trade profile</x:v>
      </x:c>
      <x:c r="D415" s="56" t="str">
        <x:v>Gangwon trade-support profile identifies SEORIN and Round Lab as a regional K-Beauty company/brand.</x:v>
      </x:c>
      <x:c r="E415" s="56" t="str">
        <x:v>Gangwon State Trade Support</x:v>
      </x:c>
      <x:c r="F415" s="56" t="str">
        <x:v>https://tradesupport.gwd.go.kr/portal/cpn/roundlab?siteLang=en</x:v>
      </x:c>
      <x:c r="G415" s="56" t="str">
        <x:v>Government Trade Profile</x:v>
      </x:c>
      <x:c r="H415" s="56"/>
      <x:c r="I415" s="56" t="str">
        <x:v>2026-07-30</x:v>
      </x:c>
      <x:c r="J415" s="56" t="str">
        <x:v>Verified Company Context</x:v>
      </x:c>
      <x:c r="K415" s="56" t="str">
        <x:v>Medium-High</x:v>
      </x:c>
      <x:c r="L415" s="56" t="str">
        <x:v>Yes</x:v>
      </x:c>
      <x:c r="M415" s="56"/>
      <x:c r="N415" s="56" t="str">
        <x:v>Exact brand launch chronology should still be vendor-confirmed.</x:v>
      </x:c>
      <x:c r="O415" s="56" t="str">
        <x:v>Codex</x:v>
      </x:c>
    </x:row>
    <x:row r="416" ht="110" customHeight="1">
      <x:c r="A416" s="56" t="str">
        <x:v>SRC-MED-001</x:v>
      </x:c>
      <x:c r="B416" s="56" t="str">
        <x:v>KB009</x:v>
      </x:c>
      <x:c r="C416" s="56" t="str">
        <x:v>Core verification — official website</x:v>
      </x:c>
      <x:c r="D416" s="56" t="str">
        <x:v>The controlling URL https://mediheal.com is an active Mediheal storefront with official products, company details and customer-service contacts.</x:v>
      </x:c>
      <x:c r="E416" s="56" t="str">
        <x:v>Mediheal</x:v>
      </x:c>
      <x:c r="F416" s="56" t="str">
        <x:v>https://mediheal.com</x:v>
      </x:c>
      <x:c r="G416" s="56" t="str">
        <x:v>Official Brand Site</x:v>
      </x:c>
      <x:c r="H416" s="56"/>
      <x:c r="I416" s="56" t="str">
        <x:v>2026-07-30</x:v>
      </x:c>
      <x:c r="J416" s="56" t="str">
        <x:v>Verified Official Website</x:v>
      </x:c>
      <x:c r="K416" s="56" t="str">
        <x:v>High</x:v>
      </x:c>
      <x:c r="L416" s="56" t="str">
        <x:v>Yes</x:v>
      </x:c>
      <x:c r="M416" s="56"/>
      <x:c r="N416" s="56" t="str">
        <x:v>Source Website field was preserved and independently confirmed.</x:v>
      </x:c>
      <x:c r="O416" s="56" t="str">
        <x:v>Codex</x:v>
      </x:c>
    </x:row>
    <x:row r="417" ht="110" customHeight="1">
      <x:c r="A417" s="56" t="str">
        <x:v>SRC-MED-002</x:v>
      </x:c>
      <x:c r="B417" s="56" t="str">
        <x:v>KB009</x:v>
      </x:c>
      <x:c r="C417" s="56" t="str">
        <x:v>Company and positioning</x:v>
      </x:c>
      <x:c r="D417" s="56" t="str">
        <x:v>Official About page identifies LNP Cosmetics and positions Mediheal as simplified, distinctive skincare developed with professional dermatology expertise.</x:v>
      </x:c>
      <x:c r="E417" s="56" t="str">
        <x:v>Mediheal</x:v>
      </x:c>
      <x:c r="F417" s="56" t="str">
        <x:v>https://mediheal.com/pages/about-us-1</x:v>
      </x:c>
      <x:c r="G417" s="56" t="str">
        <x:v>Official Company / Brand Page</x:v>
      </x:c>
      <x:c r="H417" s="56"/>
      <x:c r="I417" s="56" t="str">
        <x:v>2026-07-30</x:v>
      </x:c>
      <x:c r="J417" s="56" t="str">
        <x:v>Verified Company and Positioning Fact</x:v>
      </x:c>
      <x:c r="K417" s="56" t="str">
        <x:v>High</x:v>
      </x:c>
      <x:c r="L417" s="56" t="str">
        <x:v>Yes</x:v>
      </x:c>
      <x:c r="M417" s="56"/>
      <x:c r="N417" s="56" t="str">
        <x:v>Confirm exact U.S. contracting/importing entity before commercial activity.</x:v>
      </x:c>
      <x:c r="O417" s="56" t="str">
        <x:v>Codex</x:v>
      </x:c>
    </x:row>
    <x:row r="418" ht="110" customHeight="1">
      <x:c r="A418" s="56" t="str">
        <x:v>SRC-MED-003</x:v>
      </x:c>
      <x:c r="B418" s="56" t="str">
        <x:v>KB009</x:v>
      </x:c>
      <x:c r="C418" s="56" t="str">
        <x:v>Company history</x:v>
      </x:c>
      <x:c r="D418" s="56" t="str">
        <x:v>Official history states L&amp;P Cosmetic was founded April 22, 2009 and traces Mediheal's 16-year development.</x:v>
      </x:c>
      <x:c r="E418" s="56" t="str">
        <x:v>Mediheal</x:v>
      </x:c>
      <x:c r="F418" s="56" t="str">
        <x:v>https://mediheal.com/blogs/blog-skin-care-advice/from-seoul-to-your-skincare-routine-mediheals-16-year-journey-to-us-beauty-shelves</x:v>
      </x:c>
      <x:c r="G418" s="56" t="str">
        <x:v>Official Brand History</x:v>
      </x:c>
      <x:c r="H418" s="56"/>
      <x:c r="I418" s="56" t="str">
        <x:v>2026-07-30</x:v>
      </x:c>
      <x:c r="J418" s="56" t="str">
        <x:v>Verified History Fact</x:v>
      </x:c>
      <x:c r="K418" s="56" t="str">
        <x:v>High</x:v>
      </x:c>
      <x:c r="L418" s="56" t="str">
        <x:v>Yes</x:v>
      </x:c>
      <x:c r="M418" s="56"/>
      <x:c r="N418" s="56" t="str">
        <x:v>Brand-reported chronology.</x:v>
      </x:c>
      <x:c r="O418" s="56" t="str">
        <x:v>Codex</x:v>
      </x:c>
    </x:row>
    <x:row r="419" ht="110" customHeight="1">
      <x:c r="A419" s="56" t="str">
        <x:v>SRC-MED-004</x:v>
      </x:c>
      <x:c r="B419" s="56" t="str">
        <x:v>KB009</x:v>
      </x:c>
      <x:c r="C419" s="56" t="str">
        <x:v>Core verification — primary category</x:v>
      </x:c>
      <x:c r="D419" s="56" t="str">
        <x:v>Official All Products architecture displayed 123 products across toner pads, face masks, serums, eye patches, cleansers, lip care and concern/ingredient groups.</x:v>
      </x:c>
      <x:c r="E419" s="56" t="str">
        <x:v>Mediheal</x:v>
      </x:c>
      <x:c r="F419" s="56" t="str">
        <x:v>https://mediheal.com/collections/all-products</x:v>
      </x:c>
      <x:c r="G419" s="56" t="str">
        <x:v>Official Brand Catalog</x:v>
      </x:c>
      <x:c r="H419" s="56"/>
      <x:c r="I419" s="56" t="str">
        <x:v>2026-07-30</x:v>
      </x:c>
      <x:c r="J419" s="56" t="str">
        <x:v>Verified Category Fact</x:v>
      </x:c>
      <x:c r="K419" s="56" t="str">
        <x:v>High</x:v>
      </x:c>
      <x:c r="L419" s="56" t="str">
        <x:v>Yes</x:v>
      </x:c>
      <x:c r="M419" s="56"/>
      <x:c r="N419" s="56" t="str">
        <x:v>Supports skincare as primary category, led by pads and masks.</x:v>
      </x:c>
      <x:c r="O419" s="56" t="str">
        <x:v>Codex</x:v>
      </x:c>
    </x:row>
    <x:row r="420" ht="110" customHeight="1">
      <x:c r="A420" s="56" t="str">
        <x:v>SRC-MED-005</x:v>
      </x:c>
      <x:c r="B420" s="56" t="str">
        <x:v>KB009</x:v>
      </x:c>
      <x:c r="C420" s="56" t="str">
        <x:v>Core verification — mask heritage</x:v>
      </x:c>
      <x:c r="D420" s="56" t="str">
        <x:v>Official Origin of Mask page states Mediheal launched in 2009 and frames masks as the brand's foundational innovation.</x:v>
      </x:c>
      <x:c r="E420" s="56" t="str">
        <x:v>Mediheal</x:v>
      </x:c>
      <x:c r="F420" s="56" t="str">
        <x:v>https://mediheal.com/pages/origin-of-mask</x:v>
      </x:c>
      <x:c r="G420" s="56" t="str">
        <x:v>Official Brand History</x:v>
      </x:c>
      <x:c r="H420" s="56"/>
      <x:c r="I420" s="56" t="str">
        <x:v>2026-07-30</x:v>
      </x:c>
      <x:c r="J420" s="56" t="str">
        <x:v>Verified Awareness Context</x:v>
      </x:c>
      <x:c r="K420" s="56" t="str">
        <x:v>High</x:v>
      </x:c>
      <x:c r="L420" s="56" t="str">
        <x:v>Yes</x:v>
      </x:c>
      <x:c r="M420" s="56"/>
      <x:c r="N420" s="56" t="str">
        <x:v>Brand claim; not independent market-share evidence.</x:v>
      </x:c>
      <x:c r="O420" s="56" t="str">
        <x:v>Codex</x:v>
      </x:c>
    </x:row>
    <x:row r="421" ht="110" customHeight="1">
      <x:c r="A421" s="56" t="str">
        <x:v>SRC-MED-006</x:v>
      </x:c>
      <x:c r="B421" s="56" t="str">
        <x:v>KB009</x:v>
      </x:c>
      <x:c r="C421" s="56" t="str">
        <x:v>Core verification — U.S. awareness and Amazon history</x:v>
      </x:c>
      <x:c r="D421" s="56" t="str">
        <x:v>Official U.S.-journey article says the Nemo Pad became the No.1 product in its Amazon category and describes expansion through Costco, Target and Ulta.</x:v>
      </x:c>
      <x:c r="E421" s="56" t="str">
        <x:v>Mediheal</x:v>
      </x:c>
      <x:c r="F421" s="56" t="str">
        <x:v>https://mediheal.com/blogs/blog-skin-care-advice/from-seoul-to-your-skincare-routine-mediheals-16-year-journey-to-us-beauty-shelves</x:v>
      </x:c>
      <x:c r="G421" s="56" t="str">
        <x:v>Official Brand Article</x:v>
      </x:c>
      <x:c r="H421" s="56"/>
      <x:c r="I421" s="56" t="str">
        <x:v>2026-07-30</x:v>
      </x:c>
      <x:c r="J421" s="56" t="str">
        <x:v>Verified Brand Claim / Channel Context</x:v>
      </x:c>
      <x:c r="K421" s="56" t="str">
        <x:v>Medium-High</x:v>
      </x:c>
      <x:c r="L421" s="56" t="str">
        <x:v>Yes</x:v>
      </x:c>
      <x:c r="M421" s="56"/>
      <x:c r="N421" s="56" t="str">
        <x:v>Current direct Amazon signals were separately verified; No.1 historical claim methodology was not audited.</x:v>
      </x:c>
      <x:c r="O421" s="56" t="str">
        <x:v>Codex</x:v>
      </x:c>
    </x:row>
    <x:row r="422" ht="110" customHeight="1">
      <x:c r="A422" s="56" t="str">
        <x:v>SRC-MED-007</x:v>
      </x:c>
      <x:c r="B422" s="56" t="str">
        <x:v>KB009</x:v>
      </x:c>
      <x:c r="C422" s="56" t="str">
        <x:v>Madecassoside Pad product and reviews</x:v>
      </x:c>
      <x:c r="D422" s="56" t="str">
        <x:v>Official page displayed $26.40, 100 pads, formula, mini-mask use and a 4.53/5 aggregate from 5,264 reviews.</x:v>
      </x:c>
      <x:c r="E422" s="56" t="str">
        <x:v>Mediheal</x:v>
      </x:c>
      <x:c r="F422" s="56" t="str">
        <x:v>https://mediheal.com/products/madecassoside-blemish-pad</x:v>
      </x:c>
      <x:c r="G422" s="56" t="str">
        <x:v>Official Product / Review Page</x:v>
      </x:c>
      <x:c r="H422" s="56"/>
      <x:c r="I422" s="56" t="str">
        <x:v>2026-07-30</x:v>
      </x:c>
      <x:c r="J422" s="56" t="str">
        <x:v>Verified Product and Review Fact</x:v>
      </x:c>
      <x:c r="K422" s="56" t="str">
        <x:v>High</x:v>
      </x:c>
      <x:c r="L422" s="56" t="str">
        <x:v>Yes</x:v>
      </x:c>
      <x:c r="M422" s="56"/>
      <x:c r="N422" s="56" t="str">
        <x:v>Brand-owned review module; essential oils may matter for reactive skin.</x:v>
      </x:c>
      <x:c r="O422" s="56" t="str">
        <x:v>Codex</x:v>
      </x:c>
    </x:row>
    <x:row r="423" ht="110" customHeight="1">
      <x:c r="A423" s="56" t="str">
        <x:v>SRC-MED-008</x:v>
      </x:c>
      <x:c r="B423" s="56" t="str">
        <x:v>KB009</x:v>
      </x:c>
      <x:c r="C423" s="56" t="str">
        <x:v>Teatree Trouble Pad product and reviews</x:v>
      </x:c>
      <x:c r="D423" s="56" t="str">
        <x:v>Official page displayed $26.40, 100 pads and a 4.60/5 aggregate from 6,178 reviews, with calming/oil-balance positioning.</x:v>
      </x:c>
      <x:c r="E423" s="56" t="str">
        <x:v>Mediheal</x:v>
      </x:c>
      <x:c r="F423" s="56" t="str">
        <x:v>https://mediheal.com/products/teatree-trouble-pad</x:v>
      </x:c>
      <x:c r="G423" s="56" t="str">
        <x:v>Official Product / Review Page</x:v>
      </x:c>
      <x:c r="H423" s="56"/>
      <x:c r="I423" s="56" t="str">
        <x:v>2026-07-30</x:v>
      </x:c>
      <x:c r="J423" s="56" t="str">
        <x:v>Verified Product and Review Fact</x:v>
      </x:c>
      <x:c r="K423" s="56" t="str">
        <x:v>High</x:v>
      </x:c>
      <x:c r="L423" s="56" t="str">
        <x:v>Yes</x:v>
      </x:c>
      <x:c r="M423" s="56"/>
      <x:c r="N423" s="56" t="str">
        <x:v>Cosmetic blemish/acne language requires classification and claims review.</x:v>
      </x:c>
      <x:c r="O423" s="56" t="str">
        <x:v>Codex</x:v>
      </x:c>
    </x:row>
    <x:row r="424" ht="110" customHeight="1">
      <x:c r="A424" s="56" t="str">
        <x:v>SRC-MED-009</x:v>
      </x:c>
      <x:c r="B424" s="56" t="str">
        <x:v>KB009</x:v>
      </x:c>
      <x:c r="C424" s="56" t="str">
        <x:v>PDRN Lifting Pad product and reviews</x:v>
      </x:c>
      <x:c r="D424" s="56" t="str">
        <x:v>Official page displayed $26.40 list/$23.99 sale, 100 pads and rose-PDRN/pore/firming positioning.</x:v>
      </x:c>
      <x:c r="E424" s="56" t="str">
        <x:v>Mediheal</x:v>
      </x:c>
      <x:c r="F424" s="56" t="str">
        <x:v>https://mediheal.com/products/pdrn-lifting-pad</x:v>
      </x:c>
      <x:c r="G424" s="56" t="str">
        <x:v>Official Product Page</x:v>
      </x:c>
      <x:c r="H424" s="56"/>
      <x:c r="I424" s="56" t="str">
        <x:v>2026-07-30</x:v>
      </x:c>
      <x:c r="J424" s="56" t="str">
        <x:v>Verified Product Fact / Claim Risk</x:v>
      </x:c>
      <x:c r="K424" s="56" t="str">
        <x:v>High</x:v>
      </x:c>
      <x:c r="L424" s="56" t="str">
        <x:v>Yes</x:v>
      </x:c>
      <x:c r="M424" s="56"/>
      <x:c r="N424" s="56" t="str">
        <x:v>Request PDRN identity, concentration, source, clinical reports and U.S. claim substantiation.</x:v>
      </x:c>
      <x:c r="O424" s="56" t="str">
        <x:v>Codex</x:v>
      </x:c>
    </x:row>
    <x:row r="425" ht="110" customHeight="1">
      <x:c r="A425" s="56" t="str">
        <x:v>SRC-MED-010</x:v>
      </x:c>
      <x:c r="B425" s="56" t="str">
        <x:v>KB009</x:v>
      </x:c>
      <x:c r="C425" s="56" t="str">
        <x:v>Madecassoside Essential Mask product and reviews</x:v>
      </x:c>
      <x:c r="D425" s="56" t="str">
        <x:v>Official page displayed four- and ten-pack options, $8.80 entry price and a 4.79/5 aggregate from 2,962 reviews.</x:v>
      </x:c>
      <x:c r="E425" s="56" t="str">
        <x:v>Mediheal</x:v>
      </x:c>
      <x:c r="F425" s="56" t="str">
        <x:v>https://mediheal.com/products/madecassoside-essential-mask-blemish-repair-1</x:v>
      </x:c>
      <x:c r="G425" s="56" t="str">
        <x:v>Official Product / Review Page</x:v>
      </x:c>
      <x:c r="H425" s="56"/>
      <x:c r="I425" s="56" t="str">
        <x:v>2026-07-30</x:v>
      </x:c>
      <x:c r="J425" s="56" t="str">
        <x:v>Verified Product and Review Fact</x:v>
      </x:c>
      <x:c r="K425" s="56" t="str">
        <x:v>High</x:v>
      </x:c>
      <x:c r="L425" s="56" t="str">
        <x:v>Yes</x:v>
      </x:c>
      <x:c r="M425" s="56"/>
      <x:c r="N425" s="56" t="str">
        <x:v>Brand clinical percentages and penetration language need underlying U.S.-usable substantiation.</x:v>
      </x:c>
      <x:c r="O425" s="56" t="str">
        <x:v>Codex</x:v>
      </x:c>
    </x:row>
    <x:row r="426" ht="110" customHeight="1">
      <x:c r="A426" s="56" t="str">
        <x:v>SRC-MED-011</x:v>
      </x:c>
      <x:c r="B426" s="56" t="str">
        <x:v>KB009</x:v>
      </x:c>
      <x:c r="C426" s="56" t="str">
        <x:v>Madecassoside Sun Serum product facts</x:v>
      </x:c>
      <x:c r="D426" s="56" t="str">
        <x:v>Official page displayed $22, 50 mL and sunscreen positioning; the visible ingredient list omitted the four active ingredients shown by Ulta/DailyMed.</x:v>
      </x:c>
      <x:c r="E426" s="56" t="str">
        <x:v>Mediheal</x:v>
      </x:c>
      <x:c r="F426" s="56" t="str">
        <x:v>https://mediheal.com/products/madecassoside-moisture-sun-serum-sunscreen</x:v>
      </x:c>
      <x:c r="G426" s="56" t="str">
        <x:v>Official OTC Product Page</x:v>
      </x:c>
      <x:c r="H426" s="56"/>
      <x:c r="I426" s="56" t="str">
        <x:v>2026-07-30</x:v>
      </x:c>
      <x:c r="J426" s="56" t="str">
        <x:v>Verified Product Fact / Label Reconciliation Risk</x:v>
      </x:c>
      <x:c r="K426" s="56" t="str">
        <x:v>High</x:v>
      </x:c>
      <x:c r="L426" s="56" t="str">
        <x:v>Yes</x:v>
      </x:c>
      <x:c r="M426" s="56"/>
      <x:c r="N426" s="56" t="str">
        <x:v>Reconcile current Drug Facts, active/inactive panels, formula, lot and artwork before supply.</x:v>
      </x:c>
      <x:c r="O426" s="56" t="str">
        <x:v>Codex</x:v>
      </x:c>
    </x:row>
    <x:row r="427" ht="110" customHeight="1">
      <x:c r="A427" s="56" t="str">
        <x:v>SRC-MED-012</x:v>
      </x:c>
      <x:c r="B427" s="56" t="str">
        <x:v>KB009</x:v>
      </x:c>
      <x:c r="C427" s="56" t="str">
        <x:v>Official authorized-retailer page</x:v>
      </x:c>
      <x:c r="D427" s="56" t="str">
        <x:v>Official page identifies U.S. authorized retailers and links to Amazon, Soko Glam, Glowie Co and Walgreens.</x:v>
      </x:c>
      <x:c r="E427" s="56" t="str">
        <x:v>Mediheal</x:v>
      </x:c>
      <x:c r="F427" s="56" t="str">
        <x:v>https://mediheal.com/pages/where-to-find-us</x:v>
      </x:c>
      <x:c r="G427" s="56" t="str">
        <x:v>Official Retailer Page</x:v>
      </x:c>
      <x:c r="H427" s="56"/>
      <x:c r="I427" s="56" t="str">
        <x:v>2026-07-30</x:v>
      </x:c>
      <x:c r="J427" s="56" t="str">
        <x:v>Verified Authorization Evidence</x:v>
      </x:c>
      <x:c r="K427" s="56" t="str">
        <x:v>High</x:v>
      </x:c>
      <x:c r="L427" s="56" t="str">
        <x:v>Yes</x:v>
      </x:c>
      <x:c r="M427" s="56"/>
      <x:c r="N427" s="56" t="str">
        <x:v>Page may not be exhaustive or recently refreshed; written account-level confirmation remains necessary.</x:v>
      </x:c>
      <x:c r="O427" s="56" t="str">
        <x:v>Codex</x:v>
      </x:c>
    </x:row>
    <x:row r="428" ht="110" customHeight="1">
      <x:c r="A428" s="56" t="str">
        <x:v>SRC-MED-013</x:v>
      </x:c>
      <x:c r="B428" s="56" t="str">
        <x:v>KB009</x:v>
      </x:c>
      <x:c r="C428" s="56" t="str">
        <x:v>Official Instagram presence</x:v>
      </x:c>
      <x:c r="D428" s="56" t="str">
        <x:v>Official-site social link resolves to @mediheal_usa; public metadata displayed 110K followers, 32 following and 951 posts.</x:v>
      </x:c>
      <x:c r="E428" s="56" t="str">
        <x:v>Instagram / Mediheal</x:v>
      </x:c>
      <x:c r="F428" s="56" t="str">
        <x:v>https://www.instagram.com/mediheal_usa/</x:v>
      </x:c>
      <x:c r="G428" s="56" t="str">
        <x:v>Official Social Profile</x:v>
      </x:c>
      <x:c r="H428" s="56"/>
      <x:c r="I428" s="56" t="str">
        <x:v>2026-07-30</x:v>
      </x:c>
      <x:c r="J428" s="56" t="str">
        <x:v>Verified Platform Display</x:v>
      </x:c>
      <x:c r="K428" s="56" t="str">
        <x:v>High</x:v>
      </x:c>
      <x:c r="L428" s="56" t="str">
        <x:v>Yes</x:v>
      </x:c>
      <x:c r="M428" s="56"/>
      <x:c r="N428" s="56" t="str">
        <x:v>Counts are dynamic; awareness only, not sales.</x:v>
      </x:c>
      <x:c r="O428" s="56" t="str">
        <x:v>Codex</x:v>
      </x:c>
    </x:row>
    <x:row r="429" ht="110" customHeight="1">
      <x:c r="A429" s="56" t="str">
        <x:v>SRC-MED-014</x:v>
      </x:c>
      <x:c r="B429" s="56" t="str">
        <x:v>KB009</x:v>
      </x:c>
      <x:c r="C429" s="56" t="str">
        <x:v>Official TikTok Shop presence</x:v>
      </x:c>
      <x:c r="D429" s="56" t="str">
        <x:v>Official Shop displayed 97.6K+ followers, 8,776 sold and 741 videos.</x:v>
      </x:c>
      <x:c r="E429" s="56" t="str">
        <x:v>TikTok Shop U.S.</x:v>
      </x:c>
      <x:c r="F429" s="56" t="str">
        <x:v>https://shop.tiktok.com/us/store/mediheal/7494448900486432374</x:v>
      </x:c>
      <x:c r="G429" s="56" t="str">
        <x:v>Official Social-Commerce Store</x:v>
      </x:c>
      <x:c r="H429" s="56"/>
      <x:c r="I429" s="56" t="str">
        <x:v>2026-07-30</x:v>
      </x:c>
      <x:c r="J429" s="56" t="str">
        <x:v>Verified Platform Display</x:v>
      </x:c>
      <x:c r="K429" s="56" t="str">
        <x:v>Medium-High</x:v>
      </x:c>
      <x:c r="L429" s="56" t="str">
        <x:v>Yes</x:v>
      </x:c>
      <x:c r="M429" s="56"/>
      <x:c r="N429" s="56" t="str">
        <x:v>Cumulative dynamic counts; product-level velocity was modest versus Amazon/Target.</x:v>
      </x:c>
      <x:c r="O429" s="56" t="str">
        <x:v>Codex</x:v>
      </x:c>
    </x:row>
    <x:row r="430" ht="110" customHeight="1">
      <x:c r="A430" s="56" t="str">
        <x:v>SRC-MED-015</x:v>
      </x:c>
      <x:c r="B430" s="56" t="str">
        <x:v>KB009</x:v>
      </x:c>
      <x:c r="C430" s="56" t="str">
        <x:v>Ulta brand breadth</x:v>
      </x:c>
      <x:c r="D430" s="56" t="str">
        <x:v>Ulta displayed 32 Mediheal skincare products, including pads, masks, serums, cleansers, creams and sunscreen.</x:v>
      </x:c>
      <x:c r="E430" s="56" t="str">
        <x:v>Ulta Beauty</x:v>
      </x:c>
      <x:c r="F430" s="56" t="str">
        <x:v>https://www.ulta.com/brand/mediheal?category=skin-care</x:v>
      </x:c>
      <x:c r="G430" s="56" t="str">
        <x:v>Authorized National Retailer</x:v>
      </x:c>
      <x:c r="H430" s="56"/>
      <x:c r="I430" s="56" t="str">
        <x:v>2026-07-30</x:v>
      </x:c>
      <x:c r="J430" s="56" t="str">
        <x:v>Verified Retailer Display</x:v>
      </x:c>
      <x:c r="K430" s="56" t="str">
        <x:v>High</x:v>
      </x:c>
      <x:c r="L430" s="56" t="str">
        <x:v>Yes</x:v>
      </x:c>
      <x:c r="M430" s="56"/>
      <x:c r="N430" s="56" t="str">
        <x:v>Assortment, prices and review counts change.</x:v>
      </x:c>
      <x:c r="O430" s="56" t="str">
        <x:v>Codex</x:v>
      </x:c>
    </x:row>
    <x:row r="431" ht="110" customHeight="1">
      <x:c r="A431" s="56" t="str">
        <x:v>SRC-MED-016</x:v>
      </x:c>
      <x:c r="B431" s="56" t="str">
        <x:v>KB009</x:v>
      </x:c>
      <x:c r="C431" s="56" t="str">
        <x:v>Ulta PDRN national expansion</x:v>
      </x:c>
      <x:c r="D431" s="56" t="str">
        <x:v>Mediheal announced a February 2026 PDRN Collection rollout in more than 1,400 Ulta stores and cited 32M+ toner-pad units sold worldwide.</x:v>
      </x:c>
      <x:c r="E431" s="56" t="str">
        <x:v>Mediheal / PR Newswire</x:v>
      </x:c>
      <x:c r="F431" s="56" t="str">
        <x:v>https://www.prnewswire.com/news-releases/mediheal-expands-ulta-beauty-footprint-with-the-debut-of-its-high-performance-pdrn-collection-nationwide-302685234.html</x:v>
      </x:c>
      <x:c r="G431" s="56" t="str">
        <x:v>Brand Press Release</x:v>
      </x:c>
      <x:c r="H431" s="56" t="str">
        <x:v>2026-02-11</x:v>
      </x:c>
      <x:c r="I431" s="56" t="str">
        <x:v>2026-07-30</x:v>
      </x:c>
      <x:c r="J431" s="56" t="str">
        <x:v>Verified Brand-Reported Expansion</x:v>
      </x:c>
      <x:c r="K431" s="56" t="str">
        <x:v>High</x:v>
      </x:c>
      <x:c r="L431" s="56" t="str">
        <x:v>Yes</x:v>
      </x:c>
      <x:c r="M431" s="56"/>
      <x:c r="N431" s="56" t="str">
        <x:v>Worldwide unit claim and clinical assertions were not independently audited.</x:v>
      </x:c>
      <x:c r="O431" s="56" t="str">
        <x:v>Codex</x:v>
      </x:c>
    </x:row>
    <x:row r="432" ht="110" customHeight="1">
      <x:c r="A432" s="56" t="str">
        <x:v>SRC-MED-017</x:v>
      </x:c>
      <x:c r="B432" s="56" t="str">
        <x:v>KB009</x:v>
      </x:c>
      <x:c r="C432" s="56" t="str">
        <x:v>Target U.S. breadth</x:v>
      </x:c>
      <x:c r="D432" s="56" t="str">
        <x:v>Target displayed 24 Mediheal results spanning pads, masks and serums, with current ratings and purchase badges.</x:v>
      </x:c>
      <x:c r="E432" s="56" t="str">
        <x:v>Target U.S.</x:v>
      </x:c>
      <x:c r="F432" s="56" t="str">
        <x:v>https://www.target.com/b/mediheal/-/N-q643le1i4bw</x:v>
      </x:c>
      <x:c r="G432" s="56" t="str">
        <x:v>Authorized National Retailer</x:v>
      </x:c>
      <x:c r="H432" s="56"/>
      <x:c r="I432" s="56" t="str">
        <x:v>2026-07-30</x:v>
      </x:c>
      <x:c r="J432" s="56" t="str">
        <x:v>Verified Retailer Display</x:v>
      </x:c>
      <x:c r="K432" s="56" t="str">
        <x:v>High</x:v>
      </x:c>
      <x:c r="L432" s="56" t="str">
        <x:v>Yes</x:v>
      </x:c>
      <x:c r="M432" s="56"/>
      <x:c r="N432" s="56" t="str">
        <x:v>Dynamic assortment and promotion data.</x:v>
      </x:c>
      <x:c r="O432" s="56" t="str">
        <x:v>Codex</x:v>
      </x:c>
    </x:row>
    <x:row r="433" ht="110" customHeight="1">
      <x:c r="A433" s="56" t="str">
        <x:v>SRC-MED-018</x:v>
      </x:c>
      <x:c r="B433" s="56" t="str">
        <x:v>KB009</x:v>
      </x:c>
      <x:c r="C433" s="56" t="str">
        <x:v>Costco club presence</x:v>
      </x:c>
      <x:c r="D433" s="56" t="str">
        <x:v>Costco listed a two-pack of Madecassoside Blemish Pad jars.</x:v>
      </x:c>
      <x:c r="E433" s="56" t="str">
        <x:v>Costco U.S.</x:v>
      </x:c>
      <x:c r="F433" s="56" t="str">
        <x:v>https://www.costco.com/p/-/mediheal-madecassoside-blemish-pad-2-pack/4000210439</x:v>
      </x:c>
      <x:c r="G433" s="56" t="str">
        <x:v>Authorized Club Retailer</x:v>
      </x:c>
      <x:c r="H433" s="56"/>
      <x:c r="I433" s="56" t="str">
        <x:v>2026-07-30</x:v>
      </x:c>
      <x:c r="J433" s="56" t="str">
        <x:v>Verified Retailer Listing</x:v>
      </x:c>
      <x:c r="K433" s="56" t="str">
        <x:v>High</x:v>
      </x:c>
      <x:c r="L433" s="56" t="str">
        <x:v>Yes</x:v>
      </x:c>
      <x:c r="M433" s="56"/>
      <x:c r="N433" s="56" t="str">
        <x:v>Member price/sell-through not used; club packs can create price conflict.</x:v>
      </x:c>
      <x:c r="O433" s="56" t="str">
        <x:v>Codex</x:v>
      </x:c>
    </x:row>
    <x:row r="434" ht="110" customHeight="1">
      <x:c r="A434" s="56" t="str">
        <x:v>SRC-MED-019</x:v>
      </x:c>
      <x:c r="B434" s="56" t="str">
        <x:v>KB009</x:v>
      </x:c>
      <x:c r="C434" s="56" t="str">
        <x:v>iHerb breadth and sales signals</x:v>
      </x:c>
      <x:c r="D434" s="56" t="str">
        <x:v>iHerb displayed 32 Mediheal results; Madecassoside Pad showed 1,918 reviews, 500+ sold in 30 days and $24.</x:v>
      </x:c>
      <x:c r="E434" s="56" t="str">
        <x:v>iHerb U.S.</x:v>
      </x:c>
      <x:c r="F434" s="56" t="str">
        <x:v>https://www.iherb.com/c/mediheal/categories?p=1</x:v>
      </x:c>
      <x:c r="G434" s="56" t="str">
        <x:v>Major Online Retailer</x:v>
      </x:c>
      <x:c r="H434" s="56"/>
      <x:c r="I434" s="56" t="str">
        <x:v>2026-07-30</x:v>
      </x:c>
      <x:c r="J434" s="56" t="str">
        <x:v>Verified Retailer Display</x:v>
      </x:c>
      <x:c r="K434" s="56" t="str">
        <x:v>High</x:v>
      </x:c>
      <x:c r="L434" s="56" t="str">
        <x:v>Yes</x:v>
      </x:c>
      <x:c r="M434" s="56"/>
      <x:c r="N434" s="56" t="str">
        <x:v>Separate from the Amazon lower-bound calculation.</x:v>
      </x:c>
      <x:c r="O434" s="56" t="str">
        <x:v>Codex</x:v>
      </x:c>
    </x:row>
    <x:row r="435" ht="110" customHeight="1">
      <x:c r="A435" s="56" t="str">
        <x:v>SRC-MED-020</x:v>
      </x:c>
      <x:c r="B435" s="56" t="str">
        <x:v>KB009</x:v>
      </x:c>
      <x:c r="C435" s="56" t="str">
        <x:v>Olive Young U.S. expansion</x:v>
      </x:c>
      <x:c r="D435" s="56" t="str">
        <x:v>Mediheal announced launch at Olive Young Pasadena and the U.S. online store after two years as Olive Young Korea's top-selling brand.</x:v>
      </x:c>
      <x:c r="E435" s="56" t="str">
        <x:v>Mediheal / PR Newswire</x:v>
      </x:c>
      <x:c r="F435" s="56" t="str">
        <x:v>https://www.prnewswire.com/news-releases/mediheal-the-no-1-k-beauty-brand-at-olive-young-expands-us-presence-with-launch-at-olive-young-pasadena-302788233.html</x:v>
      </x:c>
      <x:c r="G435" s="56" t="str">
        <x:v>Brand Press Release</x:v>
      </x:c>
      <x:c r="H435" s="56" t="str">
        <x:v>2026-06-02</x:v>
      </x:c>
      <x:c r="I435" s="56" t="str">
        <x:v>2026-07-30</x:v>
      </x:c>
      <x:c r="J435" s="56" t="str">
        <x:v>Verified Brand-Reported Expansion</x:v>
      </x:c>
      <x:c r="K435" s="56" t="str">
        <x:v>High</x:v>
      </x:c>
      <x:c r="L435" s="56" t="str">
        <x:v>Yes</x:v>
      </x:c>
      <x:c r="M435" s="56"/>
      <x:c r="N435" s="56" t="str">
        <x:v>Exact U.S. SKU-level sell-through not public.</x:v>
      </x:c>
      <x:c r="O435" s="56" t="str">
        <x:v>Codex</x:v>
      </x:c>
    </x:row>
    <x:row r="436" ht="110" customHeight="1">
      <x:c r="A436" s="56" t="str">
        <x:v>SRC-MED-021</x:v>
      </x:c>
      <x:c r="B436" s="56" t="str">
        <x:v>KB009</x:v>
      </x:c>
      <x:c r="C436" s="56" t="str">
        <x:v>Walmart marketplace risk</x:v>
      </x:c>
      <x:c r="D436" s="56" t="str">
        <x:v>Walmart displayed a Mediheal Vitamide Brightening Pad listing; seller authorization and provenance were not established.</x:v>
      </x:c>
      <x:c r="E436" s="56" t="str">
        <x:v>Walmart Marketplace</x:v>
      </x:c>
      <x:c r="F436" s="56" t="str">
        <x:v>https://www.walmart.com/ip/3376662620</x:v>
      </x:c>
      <x:c r="G436" s="56" t="str">
        <x:v>Marketplace Listing</x:v>
      </x:c>
      <x:c r="H436" s="56"/>
      <x:c r="I436" s="56" t="str">
        <x:v>2026-07-30</x:v>
      </x:c>
      <x:c r="J436" s="56" t="str">
        <x:v>Verified Risk Signal</x:v>
      </x:c>
      <x:c r="K436" s="56" t="str">
        <x:v>Medium-High</x:v>
      </x:c>
      <x:c r="L436" s="56" t="str">
        <x:v>Yes</x:v>
      </x:c>
      <x:c r="M436" s="56"/>
      <x:c r="N436" s="56" t="str">
        <x:v>Do not treat as authorized without vendor documentation.</x:v>
      </x:c>
      <x:c r="O436" s="56" t="str">
        <x:v>Codex</x:v>
      </x:c>
    </x:row>
    <x:row r="437" ht="110" customHeight="1">
      <x:c r="A437" s="56" t="str">
        <x:v>SRC-MED-022</x:v>
      </x:c>
      <x:c r="B437" s="56" t="str">
        <x:v>KB009</x:v>
      </x:c>
      <x:c r="C437" s="56" t="str">
        <x:v>Core verification — Amazon Madecassoside Pad</x:v>
      </x:c>
      <x:c r="D437" s="56" t="str">
        <x:v>Direct page showed $16.80, 4.6/10,184, 4K+ bought/month, official brand store and seller Mediheal Cos.</x:v>
      </x:c>
      <x:c r="E437" s="56" t="str">
        <x:v>Amazon U.S.</x:v>
      </x:c>
      <x:c r="F437" s="56" t="str">
        <x:v>https://www.amazon.com/dp/B0BHVBVRYY</x:v>
      </x:c>
      <x:c r="G437" s="56" t="str">
        <x:v>Marketplace / Official Seller Display</x:v>
      </x:c>
      <x:c r="H437" s="56"/>
      <x:c r="I437" s="56" t="str">
        <x:v>2026-07-30</x:v>
      </x:c>
      <x:c r="J437" s="56" t="str">
        <x:v>Verified Platform Display</x:v>
      </x:c>
      <x:c r="K437" s="56" t="str">
        <x:v>High</x:v>
      </x:c>
      <x:c r="L437" s="56" t="str">
        <x:v>Yes</x:v>
      </x:c>
      <x:c r="M437" s="56"/>
      <x:c r="N437" s="56" t="str">
        <x:v>ASIN B0BHVBVRYY; review count is shared across a variation family.</x:v>
      </x:c>
      <x:c r="O437" s="56" t="str">
        <x:v>Codex</x:v>
      </x:c>
    </x:row>
    <x:row r="438" ht="110" customHeight="1">
      <x:c r="A438" s="56" t="str">
        <x:v>SRC-MED-023</x:v>
      </x:c>
      <x:c r="B438" s="56" t="str">
        <x:v>KB009</x:v>
      </x:c>
      <x:c r="C438" s="56" t="str">
        <x:v>Core verification — Amazon Teatree Pad</x:v>
      </x:c>
      <x:c r="D438" s="56" t="str">
        <x:v>Direct page showed $16.80, 4.6/10,184, 1K+ bought/month, official brand store and seller Mediheal Cos.</x:v>
      </x:c>
      <x:c r="E438" s="56" t="str">
        <x:v>Amazon U.S.</x:v>
      </x:c>
      <x:c r="F438" s="56" t="str">
        <x:v>https://www.amazon.com/dp/B0FWRC7FR8</x:v>
      </x:c>
      <x:c r="G438" s="56" t="str">
        <x:v>Marketplace / Official Seller Display</x:v>
      </x:c>
      <x:c r="H438" s="56"/>
      <x:c r="I438" s="56" t="str">
        <x:v>2026-07-30</x:v>
      </x:c>
      <x:c r="J438" s="56" t="str">
        <x:v>Verified Platform Display</x:v>
      </x:c>
      <x:c r="K438" s="56" t="str">
        <x:v>High</x:v>
      </x:c>
      <x:c r="L438" s="56" t="str">
        <x:v>Yes</x:v>
      </x:c>
      <x:c r="M438" s="56"/>
      <x:c r="N438" s="56" t="str">
        <x:v>ASIN B0FWRC7FR8; dynamic public badge.</x:v>
      </x:c>
      <x:c r="O438" s="56" t="str">
        <x:v>Codex</x:v>
      </x:c>
    </x:row>
    <x:row r="439" ht="110" customHeight="1">
      <x:c r="A439" s="56" t="str">
        <x:v>SRC-MED-024</x:v>
      </x:c>
      <x:c r="B439" s="56" t="str">
        <x:v>KB009</x:v>
      </x:c>
      <x:c r="C439" s="56" t="str">
        <x:v>Core verification — Amazon PDRN Pad</x:v>
      </x:c>
      <x:c r="D439" s="56" t="str">
        <x:v>Direct page showed $16.80, 4.6/10,184, 1K+ bought/month, official brand store and seller Mediheal Cos.</x:v>
      </x:c>
      <x:c r="E439" s="56" t="str">
        <x:v>Amazon U.S.</x:v>
      </x:c>
      <x:c r="F439" s="56" t="str">
        <x:v>https://www.amazon.com/dp/B0F933KJVY</x:v>
      </x:c>
      <x:c r="G439" s="56" t="str">
        <x:v>Marketplace / Official Seller Display</x:v>
      </x:c>
      <x:c r="H439" s="56"/>
      <x:c r="I439" s="56" t="str">
        <x:v>2026-07-30</x:v>
      </x:c>
      <x:c r="J439" s="56" t="str">
        <x:v>Verified Platform Display</x:v>
      </x:c>
      <x:c r="K439" s="56" t="str">
        <x:v>High</x:v>
      </x:c>
      <x:c r="L439" s="56" t="str">
        <x:v>Yes</x:v>
      </x:c>
      <x:c r="M439" s="56"/>
      <x:c r="N439" s="56" t="str">
        <x:v>ASIN B0F933KJVY; parent-family reviews are not PDRN-specific.</x:v>
      </x:c>
      <x:c r="O439" s="56" t="str">
        <x:v>Codex</x:v>
      </x:c>
    </x:row>
    <x:row r="440" ht="110" customHeight="1">
      <x:c r="A440" s="56" t="str">
        <x:v>SRC-MED-025</x:v>
      </x:c>
      <x:c r="B440" s="56" t="str">
        <x:v>KB009</x:v>
      </x:c>
      <x:c r="C440" s="56" t="str">
        <x:v>Core verification — Amazon Vitamide Pad</x:v>
      </x:c>
      <x:c r="D440" s="56" t="str">
        <x:v>Direct page showed $16.80, 4.6/10,184, 600+ bought/month, official brand store and seller Mediheal Cos.</x:v>
      </x:c>
      <x:c r="E440" s="56" t="str">
        <x:v>Amazon U.S.</x:v>
      </x:c>
      <x:c r="F440" s="56" t="str">
        <x:v>https://www.amazon.com/dp/B0C6VB86QN</x:v>
      </x:c>
      <x:c r="G440" s="56" t="str">
        <x:v>Marketplace / Official Seller Display</x:v>
      </x:c>
      <x:c r="H440" s="56"/>
      <x:c r="I440" s="56" t="str">
        <x:v>2026-07-30</x:v>
      </x:c>
      <x:c r="J440" s="56" t="str">
        <x:v>Verified Platform Display</x:v>
      </x:c>
      <x:c r="K440" s="56" t="str">
        <x:v>High</x:v>
      </x:c>
      <x:c r="L440" s="56" t="str">
        <x:v>Yes</x:v>
      </x:c>
      <x:c r="M440" s="56"/>
      <x:c r="N440" s="56" t="str">
        <x:v>ASIN B0C6VB86QN; dynamic public badge.</x:v>
      </x:c>
      <x:c r="O440" s="56" t="str">
        <x:v>Codex</x:v>
      </x:c>
    </x:row>
    <x:row r="441" ht="110" customHeight="1">
      <x:c r="A441" s="56" t="str">
        <x:v>SRC-MED-026</x:v>
      </x:c>
      <x:c r="B441" s="56" t="str">
        <x:v>KB009</x:v>
      </x:c>
      <x:c r="C441" s="56" t="str">
        <x:v>Core verification — Amazon Hyaluronate Pad</x:v>
      </x:c>
      <x:c r="D441" s="56" t="str">
        <x:v>Direct page showed $16.80, 4.6/10,184, 500+ bought/month, official brand store and seller Mediheal Cos.</x:v>
      </x:c>
      <x:c r="E441" s="56" t="str">
        <x:v>Amazon U.S.</x:v>
      </x:c>
      <x:c r="F441" s="56" t="str">
        <x:v>https://www.amazon.com/dp/B0FWR96ZYV</x:v>
      </x:c>
      <x:c r="G441" s="56" t="str">
        <x:v>Marketplace / Official Seller Display</x:v>
      </x:c>
      <x:c r="H441" s="56"/>
      <x:c r="I441" s="56" t="str">
        <x:v>2026-07-30</x:v>
      </x:c>
      <x:c r="J441" s="56" t="str">
        <x:v>Verified Platform Display</x:v>
      </x:c>
      <x:c r="K441" s="56" t="str">
        <x:v>High</x:v>
      </x:c>
      <x:c r="L441" s="56" t="str">
        <x:v>Yes</x:v>
      </x:c>
      <x:c r="M441" s="56"/>
      <x:c r="N441" s="56" t="str">
        <x:v>ASIN B0FWR96ZYV; match retailer name/formula to current U.S. item.</x:v>
      </x:c>
      <x:c r="O441" s="56" t="str">
        <x:v>Codex</x:v>
      </x:c>
    </x:row>
    <x:row r="442" ht="110" customHeight="1">
      <x:c r="A442" s="56" t="str">
        <x:v>SRC-MED-027</x:v>
      </x:c>
      <x:c r="B442" s="56" t="str">
        <x:v>KB009</x:v>
      </x:c>
      <x:c r="C442" s="56" t="str">
        <x:v>Core verification — Amazon Madecassoside Mask</x:v>
      </x:c>
      <x:c r="D442" s="56" t="str">
        <x:v>Direct page showed $22, 4.6/593, 2K+ bought/month, official brand store and seller Mediheal Cos.</x:v>
      </x:c>
      <x:c r="E442" s="56" t="str">
        <x:v>Amazon U.S.</x:v>
      </x:c>
      <x:c r="F442" s="56" t="str">
        <x:v>https://www.amazon.com/dp/B0DJ1D917P</x:v>
      </x:c>
      <x:c r="G442" s="56" t="str">
        <x:v>Marketplace / Official Seller Display</x:v>
      </x:c>
      <x:c r="H442" s="56"/>
      <x:c r="I442" s="56" t="str">
        <x:v>2026-07-30</x:v>
      </x:c>
      <x:c r="J442" s="56" t="str">
        <x:v>Verified Platform Display</x:v>
      </x:c>
      <x:c r="K442" s="56" t="str">
        <x:v>High</x:v>
      </x:c>
      <x:c r="L442" s="56" t="str">
        <x:v>Yes</x:v>
      </x:c>
      <x:c r="M442" s="56"/>
      <x:c r="N442" s="56" t="str">
        <x:v>ASIN B0DJ1D917P; ten-sheet pack.</x:v>
      </x:c>
      <x:c r="O442" s="56" t="str">
        <x:v>Codex</x:v>
      </x:c>
    </x:row>
    <x:row r="443" ht="110" customHeight="1">
      <x:c r="A443" s="56" t="str">
        <x:v>SRC-MED-028</x:v>
      </x:c>
      <x:c r="B443" s="56" t="str">
        <x:v>KB009</x:v>
      </x:c>
      <x:c r="C443" s="56" t="str">
        <x:v>Amazon lower-bound methodology</x:v>
      </x:c>
      <x:c r="D443" s="56" t="str">
        <x:v>Six distinct ASIN badges multiplied by observed prices equal at least $163,280/month: $67,200 + $16,800 + $16,800 + $10,080 + $8,400 + $44,000.</x:v>
      </x:c>
      <x:c r="E443" s="56" t="str">
        <x:v>Analyst Calculation</x:v>
      </x:c>
      <x:c r="F443" s="56" t="str">
        <x:v>https://www.amazon.com/s?k=MEDIHEAL+toner+pads+sheet+masks</x:v>
      </x:c>
      <x:c r="G443" s="56" t="str">
        <x:v>Derived from Marketplace Displays</x:v>
      </x:c>
      <x:c r="H443" s="56"/>
      <x:c r="I443" s="56" t="str">
        <x:v>2026-07-30</x:v>
      </x:c>
      <x:c r="J443" s="56" t="str">
        <x:v>Conservative Sales Proxy</x:v>
      </x:c>
      <x:c r="K443" s="56" t="str">
        <x:v>Medium-High</x:v>
      </x:c>
      <x:c r="L443" s="56" t="str">
        <x:v>Yes</x:v>
      </x:c>
      <x:c r="M443" s="56"/>
      <x:c r="N443" s="56" t="str">
        <x:v>Not audited revenue; excludes all other SKUs, tax, returns, coupons and badge amounts above rounded minimums.</x:v>
      </x:c>
      <x:c r="O443" s="56" t="str">
        <x:v>Codex</x:v>
      </x:c>
    </x:row>
    <x:row r="444" ht="110" customHeight="1">
      <x:c r="A444" s="56" t="str">
        <x:v>SRC-MED-029</x:v>
      </x:c>
      <x:c r="B444" s="56" t="str">
        <x:v>KB009</x:v>
      </x:c>
      <x:c r="C444" s="56" t="str">
        <x:v>Ulta Madecassoside Pad reviews</x:v>
      </x:c>
      <x:c r="D444" s="56" t="str">
        <x:v>Ulta displayed 4.6/3,064, a 14-count trial at $4 and a 100-count option.</x:v>
      </x:c>
      <x:c r="E444" s="56" t="str">
        <x:v>Ulta Beauty</x:v>
      </x:c>
      <x:c r="F444" s="56" t="str">
        <x:v>https://www.ulta.com/p/madecassoside-blemish-pad-pimprod2045858?sku=2655777</x:v>
      </x:c>
      <x:c r="G444" s="56" t="str">
        <x:v>Authorized Retailer Product Page</x:v>
      </x:c>
      <x:c r="H444" s="56"/>
      <x:c r="I444" s="56" t="str">
        <x:v>2026-07-30</x:v>
      </x:c>
      <x:c r="J444" s="56" t="str">
        <x:v>Verified Retailer Review / Price Fact</x:v>
      </x:c>
      <x:c r="K444" s="56" t="str">
        <x:v>High</x:v>
      </x:c>
      <x:c r="L444" s="56" t="str">
        <x:v>Yes</x:v>
      </x:c>
      <x:c r="M444" s="56"/>
      <x:c r="N444" s="56" t="str">
        <x:v>Review incentives/syndication should be checked.</x:v>
      </x:c>
      <x:c r="O444" s="56" t="str">
        <x:v>Codex</x:v>
      </x:c>
    </x:row>
    <x:row r="445" ht="110" customHeight="1">
      <x:c r="A445" s="56" t="str">
        <x:v>SRC-MED-030</x:v>
      </x:c>
      <x:c r="B445" s="56" t="str">
        <x:v>KB009</x:v>
      </x:c>
      <x:c r="C445" s="56" t="str">
        <x:v>Ulta Teatree Pad reviews</x:v>
      </x:c>
      <x:c r="D445" s="56" t="str">
        <x:v>Ulta displayed Teatree Trouble Pad at $26.40 with 4.6/3,929 reviews.</x:v>
      </x:c>
      <x:c r="E445" s="56" t="str">
        <x:v>Ulta Beauty</x:v>
      </x:c>
      <x:c r="F445" s="56" t="str">
        <x:v>https://www.ulta.com/p/teatree-trouble-pad-pimprod2049270?sku=2634871</x:v>
      </x:c>
      <x:c r="G445" s="56" t="str">
        <x:v>Authorized Retailer Product Page</x:v>
      </x:c>
      <x:c r="H445" s="56"/>
      <x:c r="I445" s="56" t="str">
        <x:v>2026-07-30</x:v>
      </x:c>
      <x:c r="J445" s="56" t="str">
        <x:v>Verified Retailer Review / Price Fact</x:v>
      </x:c>
      <x:c r="K445" s="56" t="str">
        <x:v>High</x:v>
      </x:c>
      <x:c r="L445" s="56" t="str">
        <x:v>Yes</x:v>
      </x:c>
      <x:c r="M445" s="56"/>
      <x:c r="N445" s="56" t="str">
        <x:v>Dynamic display.</x:v>
      </x:c>
      <x:c r="O445" s="56" t="str">
        <x:v>Codex</x:v>
      </x:c>
    </x:row>
    <x:row r="446" ht="110" customHeight="1">
      <x:c r="A446" s="56" t="str">
        <x:v>SRC-MED-031</x:v>
      </x:c>
      <x:c r="B446" s="56" t="str">
        <x:v>KB009</x:v>
      </x:c>
      <x:c r="C446" s="56" t="str">
        <x:v>Ulta Watermide Pad reviews</x:v>
      </x:c>
      <x:c r="D446" s="56" t="str">
        <x:v>Ulta displayed $26.40, 4.6/228 and 88% recommendation, including both strong hydration praise and a recent dryness complaint.</x:v>
      </x:c>
      <x:c r="E446" s="56" t="str">
        <x:v>Ulta Beauty</x:v>
      </x:c>
      <x:c r="F446" s="56" t="str">
        <x:v>https://www.ulta.com/p/watermide-moisture-pad-pimprod2045861?sku=2626999</x:v>
      </x:c>
      <x:c r="G446" s="56" t="str">
        <x:v>Authorized Retailer Product / Review Page</x:v>
      </x:c>
      <x:c r="H446" s="56"/>
      <x:c r="I446" s="56" t="str">
        <x:v>2026-07-30</x:v>
      </x:c>
      <x:c r="J446" s="56" t="str">
        <x:v>Verified Retailer Review Fact</x:v>
      </x:c>
      <x:c r="K446" s="56" t="str">
        <x:v>High</x:v>
      </x:c>
      <x:c r="L446" s="56" t="str">
        <x:v>Yes</x:v>
      </x:c>
      <x:c r="M446" s="56"/>
      <x:c r="N446" s="56" t="str">
        <x:v>Consumer evidence, not clinical efficacy.</x:v>
      </x:c>
      <x:c r="O446" s="56" t="str">
        <x:v>Codex</x:v>
      </x:c>
    </x:row>
    <x:row r="447" ht="110" customHeight="1">
      <x:c r="A447" s="56" t="str">
        <x:v>SRC-MED-032</x:v>
      </x:c>
      <x:c r="B447" s="56" t="str">
        <x:v>KB009</x:v>
      </x:c>
      <x:c r="C447" s="56" t="str">
        <x:v>Ulta PDRN Pad launch product</x:v>
      </x:c>
      <x:c r="D447" s="56" t="str">
        <x:v>Ulta displayed PDRN Lifting Pad at $26.40, 5.0/6 and 100 pads.</x:v>
      </x:c>
      <x:c r="E447" s="56" t="str">
        <x:v>Ulta Beauty</x:v>
      </x:c>
      <x:c r="F447" s="56" t="str">
        <x:v>https://www.ulta.com/p/pdrn-lifting-pad-pimprod2056474?sku=2651288</x:v>
      </x:c>
      <x:c r="G447" s="56" t="str">
        <x:v>Authorized Retailer Product Page</x:v>
      </x:c>
      <x:c r="H447" s="56"/>
      <x:c r="I447" s="56" t="str">
        <x:v>2026-07-30</x:v>
      </x:c>
      <x:c r="J447" s="56" t="str">
        <x:v>Verified Retailer Product Fact</x:v>
      </x:c>
      <x:c r="K447" s="56" t="str">
        <x:v>High</x:v>
      </x:c>
      <x:c r="L447" s="56" t="str">
        <x:v>Yes</x:v>
      </x:c>
      <x:c r="M447" s="56"/>
      <x:c r="N447" s="56" t="str">
        <x:v>Small current variant-specific review base.</x:v>
      </x:c>
      <x:c r="O447" s="56" t="str">
        <x:v>Codex</x:v>
      </x:c>
    </x:row>
    <x:row r="448" ht="110" customHeight="1">
      <x:c r="A448" s="56" t="str">
        <x:v>SRC-MED-033</x:v>
      </x:c>
      <x:c r="B448" s="56" t="str">
        <x:v>KB009</x:v>
      </x:c>
      <x:c r="C448" s="56" t="str">
        <x:v>Ulta Sun Serum OTC and reviews</x:v>
      </x:c>
      <x:c r="D448" s="56" t="str">
        <x:v>Ulta displayed $22, Broad Spectrum SPF50+, 4.7/45 and U.S. active ingredients; many early reviews disclosed product receipt.</x:v>
      </x:c>
      <x:c r="E448" s="56" t="str">
        <x:v>Ulta Beauty</x:v>
      </x:c>
      <x:c r="F448" s="56" t="str">
        <x:v>https://www.ulta.com/p/madecassoside-moisture-sun-serum-pimprod2059045?sku=2656193</x:v>
      </x:c>
      <x:c r="G448" s="56" t="str">
        <x:v>Authorized Retailer OTC Product Page</x:v>
      </x:c>
      <x:c r="H448" s="56"/>
      <x:c r="I448" s="56" t="str">
        <x:v>2026-07-30</x:v>
      </x:c>
      <x:c r="J448" s="56" t="str">
        <x:v>Verified OTC Product / Review Fact</x:v>
      </x:c>
      <x:c r="K448" s="56" t="str">
        <x:v>High</x:v>
      </x:c>
      <x:c r="L448" s="56" t="str">
        <x:v>Yes</x:v>
      </x:c>
      <x:c r="M448" s="56"/>
      <x:c r="N448" s="56" t="str">
        <x:v>Reconcile with official DTC ingredient presentation and current Drug Facts.</x:v>
      </x:c>
      <x:c r="O448" s="56" t="str">
        <x:v>Codex</x:v>
      </x:c>
    </x:row>
    <x:row r="449" ht="110" customHeight="1">
      <x:c r="A449" s="56" t="str">
        <x:v>SRC-MED-034</x:v>
      </x:c>
      <x:c r="B449" s="56" t="str">
        <x:v>KB009</x:v>
      </x:c>
      <x:c r="C449" s="56" t="str">
        <x:v>Target purchase and review signals</x:v>
      </x:c>
      <x:c r="D449" s="56" t="str">
        <x:v>Target displayed Watermide Essential Mask 30K+, Collagen Essential Mask 26K+ and Madecassoside Essential Mask 5K+ bought last month, plus pad ratings around 4.8-4.9.</x:v>
      </x:c>
      <x:c r="E449" s="56" t="str">
        <x:v>Target U.S.</x:v>
      </x:c>
      <x:c r="F449" s="56" t="str">
        <x:v>https://www.target.com/b/mediheal/-/N-q643le1i4bw</x:v>
      </x:c>
      <x:c r="G449" s="56" t="str">
        <x:v>Authorized Retailer Display</x:v>
      </x:c>
      <x:c r="H449" s="56"/>
      <x:c r="I449" s="56" t="str">
        <x:v>2026-07-30</x:v>
      </x:c>
      <x:c r="J449" s="56" t="str">
        <x:v>Verified Retailer Sales Proxy</x:v>
      </x:c>
      <x:c r="K449" s="56" t="str">
        <x:v>High</x:v>
      </x:c>
      <x:c r="L449" s="56" t="str">
        <x:v>Yes</x:v>
      </x:c>
      <x:c r="M449" s="56"/>
      <x:c r="N449" s="56" t="str">
        <x:v>Rounded dynamic badges; do not combine with Amazon revenue floor.</x:v>
      </x:c>
      <x:c r="O449" s="56" t="str">
        <x:v>Codex</x:v>
      </x:c>
    </x:row>
    <x:row r="450" ht="110" customHeight="1">
      <x:c r="A450" s="56" t="str">
        <x:v>SRC-MED-035</x:v>
      </x:c>
      <x:c r="B450" s="56" t="str">
        <x:v>KB009</x:v>
      </x:c>
      <x:c r="C450" s="56" t="str">
        <x:v>Independent awareness — Marie Claire</x:v>
      </x:c>
      <x:c r="D450" s="56" t="str">
        <x:v>Marie Claire selected Mediheal among leading Korean skincare brands and praised Watermide pads' convenience, cooling, hydration and refillability while noting bulky packaging.</x:v>
      </x:c>
      <x:c r="E450" s="56" t="str">
        <x:v>Marie Claire</x:v>
      </x:c>
      <x:c r="F450" s="56" t="str">
        <x:v>https://www.marieclaire.com/beauty/korean-skincare-brands/</x:v>
      </x:c>
      <x:c r="G450" s="56" t="str">
        <x:v>Independent Editorial / Affiliate Commerce</x:v>
      </x:c>
      <x:c r="H450" s="56" t="str">
        <x:v>2025-11-13</x:v>
      </x:c>
      <x:c r="I450" s="56" t="str">
        <x:v>2026-07-30</x:v>
      </x:c>
      <x:c r="J450" s="56" t="str">
        <x:v>Independent Editorial Evidence</x:v>
      </x:c>
      <x:c r="K450" s="56" t="str">
        <x:v>High</x:v>
      </x:c>
      <x:c r="L450" s="56" t="str">
        <x:v>Yes</x:v>
      </x:c>
      <x:c r="M450" s="56"/>
      <x:c r="N450" s="56" t="str">
        <x:v>Editorial recommendation may include affiliate links; not audited sales.</x:v>
      </x:c>
      <x:c r="O450" s="56" t="str">
        <x:v>Codex</x:v>
      </x:c>
    </x:row>
    <x:row r="451" ht="110" customHeight="1">
      <x:c r="A451" s="56" t="str">
        <x:v>SRC-MED-036</x:v>
      </x:c>
      <x:c r="B451" s="56" t="str">
        <x:v>KB009</x:v>
      </x:c>
      <x:c r="C451" s="56" t="str">
        <x:v>Independent awareness — Allure</x:v>
      </x:c>
      <x:c r="D451" s="56" t="str">
        <x:v>Allure included Madecassoside Blemish Pad among tested/recommended toner pads and described toner pads as a growing U.S. K-Beauty format.</x:v>
      </x:c>
      <x:c r="E451" s="56" t="str">
        <x:v>Allure</x:v>
      </x:c>
      <x:c r="F451" s="56" t="str">
        <x:v>https://www.allure.com/story/best-toner-pads</x:v>
      </x:c>
      <x:c r="G451" s="56" t="str">
        <x:v>Independent Editorial / Affiliate Commerce</x:v>
      </x:c>
      <x:c r="H451" s="56" t="str">
        <x:v>2025-02-05</x:v>
      </x:c>
      <x:c r="I451" s="56" t="str">
        <x:v>2026-07-30</x:v>
      </x:c>
      <x:c r="J451" s="56" t="str">
        <x:v>Independent Editorial Evidence</x:v>
      </x:c>
      <x:c r="K451" s="56" t="str">
        <x:v>High</x:v>
      </x:c>
      <x:c r="L451" s="56" t="str">
        <x:v>Yes</x:v>
      </x:c>
      <x:c r="M451" s="56"/>
      <x:c r="N451" s="56" t="str">
        <x:v>Not clinical or market-share evidence.</x:v>
      </x:c>
      <x:c r="O451" s="56" t="str">
        <x:v>Codex</x:v>
      </x:c>
    </x:row>
    <x:row r="452" ht="110" customHeight="1">
      <x:c r="A452" s="56" t="str">
        <x:v>SRC-MED-037</x:v>
      </x:c>
      <x:c r="B452" s="56" t="str">
        <x:v>KB009</x:v>
      </x:c>
      <x:c r="C452" s="56" t="str">
        <x:v>Reddit — general toner-pad discussion</x:v>
      </x:c>
      <x:c r="D452" s="56" t="str">
        <x:v>Users report gentle use, clogged-pore/texture improvements and mini-mask convenience, with some stinging and underwhelming results.</x:v>
      </x:c>
      <x:c r="E452" s="56" t="str">
        <x:v>Reddit r/AsianBeauty</x:v>
      </x:c>
      <x:c r="F452" s="56" t="str">
        <x:v>https://www.reddit.com/r/AsianBeauty/comments/1786qw5/mediheal_toner_pads/</x:v>
      </x:c>
      <x:c r="G452" s="56" t="str">
        <x:v>Consumer Forum</x:v>
      </x:c>
      <x:c r="H452" s="56"/>
      <x:c r="I452" s="56" t="str">
        <x:v>2026-07-30</x:v>
      </x:c>
      <x:c r="J452" s="56" t="str">
        <x:v>Anecdotal Consumer Evidence</x:v>
      </x:c>
      <x:c r="K452" s="56" t="str">
        <x:v>Low-Medium</x:v>
      </x:c>
      <x:c r="L452" s="56" t="str">
        <x:v>Mixed</x:v>
      </x:c>
      <x:c r="M452" s="56"/>
      <x:c r="N452" s="56" t="str">
        <x:v>Self-selected and not necessarily U.S.-specific.</x:v>
      </x:c>
      <x:c r="O452" s="56" t="str">
        <x:v>Codex</x:v>
      </x:c>
    </x:row>
    <x:row r="453" ht="110" customHeight="1">
      <x:c r="A453" s="56" t="str">
        <x:v>SRC-MED-038</x:v>
      </x:c>
      <x:c r="B453" s="56" t="str">
        <x:v>KB009</x:v>
      </x:c>
      <x:c r="C453" s="56" t="str">
        <x:v>Reddit — Watermide/category skepticism</x:v>
      </x:c>
      <x:c r="D453" s="56" t="str">
        <x:v>A user found viral Watermide pads underwhelming; discussion contrasts convenience with limited incremental need or efficacy.</x:v>
      </x:c>
      <x:c r="E453" s="56" t="str">
        <x:v>Reddit r/AsianBeauty</x:v>
      </x:c>
      <x:c r="F453" s="56" t="str">
        <x:v>https://www.reddit.com/r/AsianBeauty/comments/1dd7dk7/does_anyone_feel_the_same_way_about_toner_pads/</x:v>
      </x:c>
      <x:c r="G453" s="56" t="str">
        <x:v>Consumer Forum</x:v>
      </x:c>
      <x:c r="H453" s="56"/>
      <x:c r="I453" s="56" t="str">
        <x:v>2026-07-30</x:v>
      </x:c>
      <x:c r="J453" s="56" t="str">
        <x:v>Anecdotal Category Evidence</x:v>
      </x:c>
      <x:c r="K453" s="56" t="str">
        <x:v>Low-Medium</x:v>
      </x:c>
      <x:c r="L453" s="56" t="str">
        <x:v>Mixed</x:v>
      </x:c>
      <x:c r="M453" s="56"/>
      <x:c r="N453" s="56" t="str">
        <x:v>Useful for objections, not prevalence.</x:v>
      </x:c>
      <x:c r="O453" s="56" t="str">
        <x:v>Codex</x:v>
      </x:c>
    </x:row>
    <x:row r="454" ht="110" customHeight="1">
      <x:c r="A454" s="56" t="str">
        <x:v>SRC-MED-039</x:v>
      </x:c>
      <x:c r="B454" s="56" t="str">
        <x:v>KB009</x:v>
      </x:c>
      <x:c r="C454" s="56" t="str">
        <x:v>Reddit — perceived product renewal decline</x:v>
      </x:c>
      <x:c r="D454" s="56" t="str">
        <x:v>Users discuss perceived toner-pad texture and quality changes after renewal.</x:v>
      </x:c>
      <x:c r="E454" s="56" t="str">
        <x:v>Reddit r/AsianBeauty</x:v>
      </x:c>
      <x:c r="F454" s="56" t="str">
        <x:v>https://www.reddit.com/r/AsianBeauty/comments/18zkow0/mediheal_toner_pads_are_getting_worse/</x:v>
      </x:c>
      <x:c r="G454" s="56" t="str">
        <x:v>Consumer Forum</x:v>
      </x:c>
      <x:c r="H454" s="56"/>
      <x:c r="I454" s="56" t="str">
        <x:v>2026-07-30</x:v>
      </x:c>
      <x:c r="J454" s="56" t="str">
        <x:v>Anecdotal Product-Version Risk</x:v>
      </x:c>
      <x:c r="K454" s="56" t="str">
        <x:v>Low-Medium</x:v>
      </x:c>
      <x:c r="L454" s="56" t="str">
        <x:v>Mixed</x:v>
      </x:c>
      <x:c r="M454" s="56"/>
      <x:c r="N454" s="56" t="str">
        <x:v>No defect finding; supports version/lot transparency.</x:v>
      </x:c>
      <x:c r="O454" s="56" t="str">
        <x:v>Codex</x:v>
      </x:c>
    </x:row>
    <x:row r="455" ht="110" customHeight="1">
      <x:c r="A455" s="56" t="str">
        <x:v>SRC-MED-040</x:v>
      </x:c>
      <x:c r="B455" s="56" t="str">
        <x:v>KB009</x:v>
      </x:c>
      <x:c r="C455" s="56" t="str">
        <x:v>Reddit — TikTok hype skepticism</x:v>
      </x:c>
      <x:c r="D455" s="56" t="str">
        <x:v>Discussion begins from repeated TikTok exposure and asks for non-promotional outcomes from Mediheal pads.</x:v>
      </x:c>
      <x:c r="E455" s="56" t="str">
        <x:v>Reddit r/Skincare_Addiction</x:v>
      </x:c>
      <x:c r="F455" s="56" t="str">
        <x:v>https://www.reddit.com/r/Skincare_Addiction/comments/1bsqj86/mediheal_toner_pads/</x:v>
      </x:c>
      <x:c r="G455" s="56" t="str">
        <x:v>Consumer Forum</x:v>
      </x:c>
      <x:c r="H455" s="56"/>
      <x:c r="I455" s="56" t="str">
        <x:v>2026-07-30</x:v>
      </x:c>
      <x:c r="J455" s="56" t="str">
        <x:v>Anecdotal Hype Risk</x:v>
      </x:c>
      <x:c r="K455" s="56" t="str">
        <x:v>Low-Medium</x:v>
      </x:c>
      <x:c r="L455" s="56" t="str">
        <x:v>Mixed</x:v>
      </x:c>
      <x:c r="M455" s="56"/>
      <x:c r="N455" s="56" t="str">
        <x:v>Self-selected and not controlled.</x:v>
      </x:c>
      <x:c r="O455" s="56" t="str">
        <x:v>Codex</x:v>
      </x:c>
    </x:row>
    <x:row r="456" ht="110" customHeight="1">
      <x:c r="A456" s="56" t="str">
        <x:v>SRC-MED-041</x:v>
      </x:c>
      <x:c r="B456" s="56" t="str">
        <x:v>KB009</x:v>
      </x:c>
      <x:c r="C456" s="56" t="str">
        <x:v>Reddit — Costco/viral awareness</x:v>
      </x:c>
      <x:c r="D456" s="56" t="str">
        <x:v>Users discuss Madecassoside Pad Costco availability and describe prior viral demand and stock scarcity.</x:v>
      </x:c>
      <x:c r="E456" s="56" t="str">
        <x:v>Reddit r/AsianBeauty</x:v>
      </x:c>
      <x:c r="F456" s="56" t="str">
        <x:v>https://www.reddit.com/r/AsianBeauty/comments/1docfnr/mediheal_madecassoside_toner_pads_at_costco/</x:v>
      </x:c>
      <x:c r="G456" s="56" t="str">
        <x:v>Consumer Forum</x:v>
      </x:c>
      <x:c r="H456" s="56"/>
      <x:c r="I456" s="56" t="str">
        <x:v>2026-07-30</x:v>
      </x:c>
      <x:c r="J456" s="56" t="str">
        <x:v>Anecdotal Awareness Evidence</x:v>
      </x:c>
      <x:c r="K456" s="56" t="str">
        <x:v>Low-Medium</x:v>
      </x:c>
      <x:c r="L456" s="56" t="str">
        <x:v>Mixed</x:v>
      </x:c>
      <x:c r="M456" s="56"/>
      <x:c r="N456" s="56" t="str">
        <x:v>Not Costco sell-through evidence.</x:v>
      </x:c>
      <x:c r="O456" s="56" t="str">
        <x:v>Codex</x:v>
      </x:c>
    </x:row>
    <x:row r="457" ht="110" customHeight="1">
      <x:c r="A457" s="56" t="str">
        <x:v>SRC-MED-042</x:v>
      </x:c>
      <x:c r="B457" s="56" t="str">
        <x:v>KB009</x:v>
      </x:c>
      <x:c r="C457" s="56" t="str">
        <x:v>Reddit — sheet-mask reputation</x:v>
      </x:c>
      <x:c r="D457" s="56" t="str">
        <x:v>Users name Mediheal among preferred sheet-mask brands and discuss Amazon mixed hero packs.</x:v>
      </x:c>
      <x:c r="E457" s="56" t="str">
        <x:v>Reddit r/KoreanBeauty</x:v>
      </x:c>
      <x:c r="F457" s="56" t="str">
        <x:v>https://www.reddit.com/r/KoreanBeauty/comments/18mcrji/which_brands_have_the_best_sheet_masks/</x:v>
      </x:c>
      <x:c r="G457" s="56" t="str">
        <x:v>Consumer Forum</x:v>
      </x:c>
      <x:c r="H457" s="56"/>
      <x:c r="I457" s="56" t="str">
        <x:v>2026-07-30</x:v>
      </x:c>
      <x:c r="J457" s="56" t="str">
        <x:v>Anecdotal Brand Evidence</x:v>
      </x:c>
      <x:c r="K457" s="56" t="str">
        <x:v>Low-Medium</x:v>
      </x:c>
      <x:c r="L457" s="56" t="str">
        <x:v>Mixed</x:v>
      </x:c>
      <x:c r="M457" s="56"/>
      <x:c r="N457" s="56" t="str">
        <x:v>Self-selected enthusiasts.</x:v>
      </x:c>
      <x:c r="O457" s="56" t="str">
        <x:v>Codex</x:v>
      </x:c>
    </x:row>
    <x:row r="458" ht="110" customHeight="1">
      <x:c r="A458" s="56" t="str">
        <x:v>SRC-MED-043</x:v>
      </x:c>
      <x:c r="B458" s="56" t="str">
        <x:v>KB009</x:v>
      </x:c>
      <x:c r="C458" s="56" t="str">
        <x:v>Competitor — Medicube Zero Pore Pad</x:v>
      </x:c>
      <x:c r="D458" s="56" t="str">
        <x:v>Official page listed 70 pads at $24.80/$31; direct Amazon search displayed 100K+ bought/month, 4.6/28.6K and $15.12 Prime price.</x:v>
      </x:c>
      <x:c r="E458" s="56" t="str">
        <x:v>Medicube Official / Amazon</x:v>
      </x:c>
      <x:c r="F458" s="56" t="str">
        <x:v>https://medicube.us/collections/all/products/zero-pore-pad-1</x:v>
      </x:c>
      <x:c r="G458" s="56" t="str">
        <x:v>Official Competitor Product Page</x:v>
      </x:c>
      <x:c r="H458" s="56"/>
      <x:c r="I458" s="56" t="str">
        <x:v>2026-07-30</x:v>
      </x:c>
      <x:c r="J458" s="56" t="str">
        <x:v>Verified Competitor Fact</x:v>
      </x:c>
      <x:c r="K458" s="56" t="str">
        <x:v>High</x:v>
      </x:c>
      <x:c r="L458" s="56" t="str">
        <x:v>Yes</x:v>
      </x:c>
      <x:c r="M458" s="56"/>
      <x:c r="N458" s="56" t="str">
        <x:v>Amazon signal captured during Mediheal search; dynamic.</x:v>
      </x:c>
      <x:c r="O458" s="56" t="str">
        <x:v>Codex</x:v>
      </x:c>
    </x:row>
    <x:row r="459" ht="110" customHeight="1">
      <x:c r="A459" s="56" t="str">
        <x:v>SRC-MED-044</x:v>
      </x:c>
      <x:c r="B459" s="56" t="str">
        <x:v>KB009</x:v>
      </x:c>
      <x:c r="C459" s="56" t="str">
        <x:v>Competitor — Anua Heartleaf Pad</x:v>
      </x:c>
      <x:c r="D459" s="56" t="str">
        <x:v>Ulta displayed 70 pads at $22, 4.7/145 and Only at Ulta.</x:v>
      </x:c>
      <x:c r="E459" s="56" t="str">
        <x:v>Ulta Beauty / Anua</x:v>
      </x:c>
      <x:c r="F459" s="56" t="str">
        <x:v>https://www.ulta.com/p/heartleaf-77-clear-pad-pimprod2048930?sku=2634909</x:v>
      </x:c>
      <x:c r="G459" s="56" t="str">
        <x:v>Authorized Competitor Retailer</x:v>
      </x:c>
      <x:c r="H459" s="56"/>
      <x:c r="I459" s="56" t="str">
        <x:v>2026-07-30</x:v>
      </x:c>
      <x:c r="J459" s="56" t="str">
        <x:v>Verified Competitor Fact</x:v>
      </x:c>
      <x:c r="K459" s="56" t="str">
        <x:v>High</x:v>
      </x:c>
      <x:c r="L459" s="56" t="str">
        <x:v>Yes</x:v>
      </x:c>
      <x:c r="M459" s="56"/>
      <x:c r="N459" s="56" t="str">
        <x:v>Review count and promotion change.</x:v>
      </x:c>
      <x:c r="O459" s="56" t="str">
        <x:v>Codex</x:v>
      </x:c>
    </x:row>
    <x:row r="460" ht="110" customHeight="1">
      <x:c r="A460" s="56" t="str">
        <x:v>SRC-MED-045</x:v>
      </x:c>
      <x:c r="B460" s="56" t="str">
        <x:v>KB009</x:v>
      </x:c>
      <x:c r="C460" s="56" t="str">
        <x:v>Competitor — COSRX One Step Pad</x:v>
      </x:c>
      <x:c r="D460" s="56" t="str">
        <x:v>Ulta displayed a renewed 100-count Blemish Pore Clear Pad at $26 and 4.8/47.</x:v>
      </x:c>
      <x:c r="E460" s="56" t="str">
        <x:v>Ulta Beauty / COSRX</x:v>
      </x:c>
      <x:c r="F460" s="56" t="str">
        <x:v>https://www.ulta.com/p/one-step-original-blemish-pore-clear-pad-pimprod2059453?sku=2658650</x:v>
      </x:c>
      <x:c r="G460" s="56" t="str">
        <x:v>Authorized Competitor Retailer</x:v>
      </x:c>
      <x:c r="H460" s="56"/>
      <x:c r="I460" s="56" t="str">
        <x:v>2026-07-30</x:v>
      </x:c>
      <x:c r="J460" s="56" t="str">
        <x:v>Verified Competitor Fact</x:v>
      </x:c>
      <x:c r="K460" s="56" t="str">
        <x:v>High</x:v>
      </x:c>
      <x:c r="L460" s="56" t="str">
        <x:v>Yes</x:v>
      </x:c>
      <x:c r="M460" s="56"/>
      <x:c r="N460" s="56" t="str">
        <x:v>Dynamic display.</x:v>
      </x:c>
      <x:c r="O460" s="56" t="str">
        <x:v>Codex</x:v>
      </x:c>
    </x:row>
    <x:row r="461" ht="110" customHeight="1">
      <x:c r="A461" s="56" t="str">
        <x:v>SRC-MED-046</x:v>
      </x:c>
      <x:c r="B461" s="56" t="str">
        <x:v>KB009</x:v>
      </x:c>
      <x:c r="C461" s="56" t="str">
        <x:v>Competitor — Biodance mask/pad system</x:v>
      </x:c>
      <x:c r="D461" s="56" t="str">
        <x:v>Official Biodance pages position Bio-Collagen masks and $26/60-count collagen gel toner pads as premium hydrogel alternatives.</x:v>
      </x:c>
      <x:c r="E461" s="56" t="str">
        <x:v>Biodance Official</x:v>
      </x:c>
      <x:c r="F461" s="56" t="str">
        <x:v>https://biodance.com/products/bio-collagen-real-deep-mask</x:v>
      </x:c>
      <x:c r="G461" s="56" t="str">
        <x:v>Official Competitor Product Page</x:v>
      </x:c>
      <x:c r="H461" s="56"/>
      <x:c r="I461" s="56" t="str">
        <x:v>2026-07-30</x:v>
      </x:c>
      <x:c r="J461" s="56" t="str">
        <x:v>Verified Competitor Fact</x:v>
      </x:c>
      <x:c r="K461" s="56" t="str">
        <x:v>High</x:v>
      </x:c>
      <x:c r="L461" s="56" t="str">
        <x:v>Yes</x:v>
      </x:c>
      <x:c r="M461" s="56"/>
      <x:c r="N461" s="56" t="str">
        <x:v>Compare pack count, treatment time and fabric format carefully.</x:v>
      </x:c>
      <x:c r="O461" s="56" t="str">
        <x:v>Codex</x:v>
      </x:c>
    </x:row>
    <x:row r="462" ht="110" customHeight="1">
      <x:c r="A462" s="56" t="str">
        <x:v>SRC-MED-047</x:v>
      </x:c>
      <x:c r="B462" s="56" t="str">
        <x:v>KB009</x:v>
      </x:c>
      <x:c r="C462" s="56" t="str">
        <x:v>Competitor — Beauty of Joseon Daily Relief</x:v>
      </x:c>
      <x:c r="D462" s="56" t="str">
        <x:v>Official page displayed $18 list/$13.50 sale and 4.7/482 for a U.S.-specific SPF40 sunscreen.</x:v>
      </x:c>
      <x:c r="E462" s="56" t="str">
        <x:v>Beauty of Joseon Official</x:v>
      </x:c>
      <x:c r="F462" s="56" t="str">
        <x:v>https://beautyofjoseon.com/products/daily-relief-sunscreen</x:v>
      </x:c>
      <x:c r="G462" s="56" t="str">
        <x:v>Official Competitor Product Page</x:v>
      </x:c>
      <x:c r="H462" s="56"/>
      <x:c r="I462" s="56" t="str">
        <x:v>2026-07-30</x:v>
      </x:c>
      <x:c r="J462" s="56" t="str">
        <x:v>Verified Competitor Fact</x:v>
      </x:c>
      <x:c r="K462" s="56" t="str">
        <x:v>High</x:v>
      </x:c>
      <x:c r="L462" s="56" t="str">
        <x:v>Yes</x:v>
      </x:c>
      <x:c r="M462" s="56"/>
      <x:c r="N462" s="56" t="str">
        <x:v>Promotion and stock change.</x:v>
      </x:c>
      <x:c r="O462" s="56" t="str">
        <x:v>Codex</x:v>
      </x:c>
    </x:row>
    <x:row r="463" ht="110" customHeight="1">
      <x:c r="A463" s="56" t="str">
        <x:v>SRC-MED-048</x:v>
      </x:c>
      <x:c r="B463" s="56" t="str">
        <x:v>KB009</x:v>
      </x:c>
      <x:c r="C463" s="56" t="str">
        <x:v>Competitor — Medicube PDRN Serum</x:v>
      </x:c>
      <x:c r="D463" s="56" t="str">
        <x:v>Official page displayed $26 for a 30 mL PDRN Pink Peptide Serum, illustrating intense PDRN competition.</x:v>
      </x:c>
      <x:c r="E463" s="56" t="str">
        <x:v>Medicube Official</x:v>
      </x:c>
      <x:c r="F463" s="56" t="str">
        <x:v>https://medicube.us/products/rose-pdrn-pink-peptide-serum</x:v>
      </x:c>
      <x:c r="G463" s="56" t="str">
        <x:v>Official Competitor Product Page</x:v>
      </x:c>
      <x:c r="H463" s="56"/>
      <x:c r="I463" s="56" t="str">
        <x:v>2026-07-30</x:v>
      </x:c>
      <x:c r="J463" s="56" t="str">
        <x:v>Verified Competitor Fact</x:v>
      </x:c>
      <x:c r="K463" s="56" t="str">
        <x:v>High</x:v>
      </x:c>
      <x:c r="L463" s="56" t="str">
        <x:v>Yes</x:v>
      </x:c>
      <x:c r="M463" s="56"/>
      <x:c r="N463" s="56" t="str">
        <x:v>Different format from Mediheal pad; useful for PDRN price/claim benchmarking.</x:v>
      </x:c>
      <x:c r="O463" s="56" t="str">
        <x:v>Codex</x:v>
      </x:c>
    </x:row>
    <x:row r="464" ht="110" customHeight="1">
      <x:c r="A464" s="56" t="str">
        <x:v>SRC-MED-049</x:v>
      </x:c>
      <x:c r="B464" s="56" t="str">
        <x:v>KB009</x:v>
      </x:c>
      <x:c r="C464" s="56" t="str">
        <x:v>FDA — MoCRA registration and listing</x:v>
      </x:c>
      <x:c r="D464" s="56" t="str">
        <x:v>FDA states responsible persons must list marketed cosmetic products with ingredients and describes facility registration and updates.</x:v>
      </x:c>
      <x:c r="E464" s="56" t="str">
        <x:v>U.S. FDA</x:v>
      </x:c>
      <x:c r="F464" s="56" t="str">
        <x:v>https://www.fda.gov/cosmetics/registration-listing-cosmetic-product-facilities-and-products</x:v>
      </x:c>
      <x:c r="G464" s="56" t="str">
        <x:v>Regulator</x:v>
      </x:c>
      <x:c r="H464" s="56"/>
      <x:c r="I464" s="56" t="str">
        <x:v>2026-07-30</x:v>
      </x:c>
      <x:c r="J464" s="56" t="str">
        <x:v>Verified Regulatory Requirement</x:v>
      </x:c>
      <x:c r="K464" s="56" t="str">
        <x:v>High</x:v>
      </x:c>
      <x:c r="L464" s="56" t="str">
        <x:v>Yes</x:v>
      </x:c>
      <x:c r="M464" s="56"/>
      <x:c r="N464" s="56" t="str">
        <x:v>Registration/listing is not FDA approval; verify exact responsible person and facilities.</x:v>
      </x:c>
      <x:c r="O464" s="56" t="str">
        <x:v>Codex</x:v>
      </x:c>
    </x:row>
    <x:row r="465" ht="110" customHeight="1">
      <x:c r="A465" s="56" t="str">
        <x:v>SRC-MED-050</x:v>
      </x:c>
      <x:c r="B465" s="56" t="str">
        <x:v>KB009</x:v>
      </x:c>
      <x:c r="C465" s="56" t="str">
        <x:v>FDA — cosmetic claims classification</x:v>
      </x:c>
      <x:c r="D465" s="56" t="str">
        <x:v>FDA states disease-treatment or structure/function claims can make a cosmetic a drug and that cosmetic claims must be truthful and not misleading.</x:v>
      </x:c>
      <x:c r="E465" s="56" t="str">
        <x:v>U.S. FDA</x:v>
      </x:c>
      <x:c r="F465" s="56" t="str">
        <x:v>https://www.fda.gov/cosmetics/cosmetics-labeling/cosmetics-labeling-claims</x:v>
      </x:c>
      <x:c r="G465" s="56" t="str">
        <x:v>Regulator</x:v>
      </x:c>
      <x:c r="H465" s="56"/>
      <x:c r="I465" s="56" t="str">
        <x:v>2026-07-30</x:v>
      </x:c>
      <x:c r="J465" s="56" t="str">
        <x:v>Verified Regulatory Requirement</x:v>
      </x:c>
      <x:c r="K465" s="56" t="str">
        <x:v>High</x:v>
      </x:c>
      <x:c r="L465" s="56" t="str">
        <x:v>Yes</x:v>
      </x:c>
      <x:c r="M465" s="56"/>
      <x:c r="N465" s="56" t="str">
        <x:v>Review acne treatment, repair, lifting, wrinkle, pore, penetration and renewal claims.</x:v>
      </x:c>
      <x:c r="O465" s="56" t="str">
        <x:v>Codex</x:v>
      </x:c>
    </x:row>
    <x:row r="466" ht="110" customHeight="1">
      <x:c r="A466" s="56" t="str">
        <x:v>SRC-MED-051</x:v>
      </x:c>
      <x:c r="B466" s="56" t="str">
        <x:v>KB009</x:v>
      </x:c>
      <x:c r="C466" s="56" t="str">
        <x:v>FDA — sunscreen OTC requirements</x:v>
      </x:c>
      <x:c r="D466" s="56" t="str">
        <x:v>FDA explains that sunscreen is an OTC drug category requiring monograph-compliant actives, uses, labeling and testing, including Drug Facts.</x:v>
      </x:c>
      <x:c r="E466" s="56" t="str">
        <x:v>U.S. FDA</x:v>
      </x:c>
      <x:c r="F466" s="56" t="str">
        <x:v>https://www.fda.gov/drugs/otc-drug-review-process-otc-drug-monographs</x:v>
      </x:c>
      <x:c r="G466" s="56" t="str">
        <x:v>Regulator</x:v>
      </x:c>
      <x:c r="H466" s="56"/>
      <x:c r="I466" s="56" t="str">
        <x:v>2026-07-30</x:v>
      </x:c>
      <x:c r="J466" s="56" t="str">
        <x:v>Verified Regulatory Requirement</x:v>
      </x:c>
      <x:c r="K466" s="56" t="str">
        <x:v>High</x:v>
      </x:c>
      <x:c r="L466" s="56" t="str">
        <x:v>Yes</x:v>
      </x:c>
      <x:c r="M466" s="56"/>
      <x:c r="N466" s="56" t="str">
        <x:v>Current product-specific U.S. label must control over Korean cosmetic-style presentation.</x:v>
      </x:c>
      <x:c r="O466" s="56" t="str">
        <x:v>Codex</x:v>
      </x:c>
    </x:row>
    <x:row r="467" ht="110" customHeight="1">
      <x:c r="A467" s="56" t="str">
        <x:v>SRC-MED-052</x:v>
      </x:c>
      <x:c r="B467" s="56" t="str">
        <x:v>KB009</x:v>
      </x:c>
      <x:c r="C467" s="56" t="str">
        <x:v>DailyMed — Mediheal Sun Serum label</x:v>
      </x:c>
      <x:c r="D467" s="56" t="str">
        <x:v>DailyMed lists NDC 74005-002 with homosalate 5%, ensulizole 2.5%, octocrylene 5% and octisalate 4.5%, plus OTC Drug Facts and packaging.</x:v>
      </x:c>
      <x:c r="E467" s="56" t="str">
        <x:v>DailyMed / U.S. NLM</x:v>
      </x:c>
      <x:c r="F467" s="56" t="str">
        <x:v>https://dailymed.nlm.nih.gov/dailymed/getFile.cfm?setid=47c66535-8287-9b74-e063-6394a90ac3b6&amp;type=pdf</x:v>
      </x:c>
      <x:c r="G467" s="56" t="str">
        <x:v>Regulatory Drug Label</x:v>
      </x:c>
      <x:c r="H467" s="56" t="str">
        <x:v>2026-04-22</x:v>
      </x:c>
      <x:c r="I467" s="56" t="str">
        <x:v>2026-07-30</x:v>
      </x:c>
      <x:c r="J467" s="56" t="str">
        <x:v>Verified Product-Specific OTC Fact</x:v>
      </x:c>
      <x:c r="K467" s="56" t="str">
        <x:v>High</x:v>
      </x:c>
      <x:c r="L467" s="56" t="str">
        <x:v>Yes</x:v>
      </x:c>
      <x:c r="M467" s="56"/>
      <x:c r="N467" s="56" t="str">
        <x:v>Confirm current establishment/product listing, labeler/manufacturer roles, final artwork and formula/lot parity.</x:v>
      </x:c>
      <x:c r="O467" s="56" t="str">
        <x:v>Codex</x:v>
      </x:c>
    </x:row>
    <x:row r="468" ht="112" customHeight="1">
      <x:c r="A468" s="56" t="str">
        <x:v>SRC-DJ-001</x:v>
      </x:c>
      <x:c r="B468" s="56" t="str">
        <x:v>KB010</x:v>
      </x:c>
      <x:c r="C468" s="56" t="str">
        <x:v>Core verification — official website</x:v>
      </x:c>
      <x:c r="D468" s="56" t="str">
        <x:v>The controlling URL https://www.drjart.com is the active official U.S. brand storefront and product catalog.</x:v>
      </x:c>
      <x:c r="E468" s="56" t="str">
        <x:v>Dr.Jart+</x:v>
      </x:c>
      <x:c r="F468" s="56" t="str">
        <x:v>https://www.drjart.com</x:v>
      </x:c>
      <x:c r="G468" s="56" t="str">
        <x:v>Official Brand Site</x:v>
      </x:c>
      <x:c r="H468" s="56"/>
      <x:c r="I468" s="56" t="str">
        <x:v>2026-07-31</x:v>
      </x:c>
      <x:c r="J468" s="56" t="str">
        <x:v>Verified Official Website</x:v>
      </x:c>
      <x:c r="K468" s="56" t="str">
        <x:v>High</x:v>
      </x:c>
      <x:c r="L468" s="56" t="str">
        <x:v>Yes</x:v>
      </x:c>
      <x:c r="M468" s="56"/>
      <x:c r="N468" s="56" t="str">
        <x:v>Source Website field was preserved and independently confirmed.</x:v>
      </x:c>
      <x:c r="O468" s="56" t="str">
        <x:v>Codex</x:v>
      </x:c>
    </x:row>
    <x:row r="469" ht="112" customHeight="1">
      <x:c r="A469" s="56" t="str">
        <x:v>SRC-DJ-002</x:v>
      </x:c>
      <x:c r="B469" s="56" t="str">
        <x:v>KB010</x:v>
      </x:c>
      <x:c r="C469" s="56" t="str">
        <x:v>Company, history and brand positioning</x:v>
      </x:c>
      <x:c r="D469" s="56" t="str">
        <x:v>Official About page says the brand was founded in Seoul in 2005 by Leeo Lee and explains the Doctor Joins Art name.</x:v>
      </x:c>
      <x:c r="E469" s="56" t="str">
        <x:v>Dr.Jart+</x:v>
      </x:c>
      <x:c r="F469" s="56" t="str">
        <x:v>https://www.drjart.com/about</x:v>
      </x:c>
      <x:c r="G469" s="56" t="str">
        <x:v>Official Brand History</x:v>
      </x:c>
      <x:c r="H469" s="56"/>
      <x:c r="I469" s="56" t="str">
        <x:v>2026-07-31</x:v>
      </x:c>
      <x:c r="J469" s="56" t="str">
        <x:v>Verified Company and History Fact</x:v>
      </x:c>
      <x:c r="K469" s="56" t="str">
        <x:v>High</x:v>
      </x:c>
      <x:c r="L469" s="56" t="str">
        <x:v>Yes</x:v>
      </x:c>
      <x:c r="M469" s="56"/>
      <x:c r="N469" s="56" t="str">
        <x:v>An Estée Lauder brand page states 2004; reconcile chronology in vendor documents.</x:v>
      </x:c>
      <x:c r="O469" s="56" t="str">
        <x:v>Codex</x:v>
      </x:c>
    </x:row>
    <x:row r="470" ht="112" customHeight="1">
      <x:c r="A470" s="56" t="str">
        <x:v>SRC-DJ-003</x:v>
      </x:c>
      <x:c r="B470" s="56" t="str">
        <x:v>KB010</x:v>
      </x:c>
      <x:c r="C470" s="56" t="str">
        <x:v>Core verification — primary category</x:v>
      </x:c>
      <x:c r="D470" s="56" t="str">
        <x:v>Official Shop All catalog is led by moisturizers, treatments, cleansers, masks, eye care and sunscreen, with smaller BB/makeup, lip and body extensions.</x:v>
      </x:c>
      <x:c r="E470" s="56" t="str">
        <x:v>Dr.Jart+</x:v>
      </x:c>
      <x:c r="F470" s="56" t="str">
        <x:v>https://www.drjart.com/shop-all</x:v>
      </x:c>
      <x:c r="G470" s="56" t="str">
        <x:v>Official Brand Catalog</x:v>
      </x:c>
      <x:c r="H470" s="56"/>
      <x:c r="I470" s="56" t="str">
        <x:v>2026-07-31</x:v>
      </x:c>
      <x:c r="J470" s="56" t="str">
        <x:v>Verified Category Fact</x:v>
      </x:c>
      <x:c r="K470" s="56" t="str">
        <x:v>High</x:v>
      </x:c>
      <x:c r="L470" s="56" t="str">
        <x:v>Yes</x:v>
      </x:c>
      <x:c r="M470" s="56"/>
      <x:c r="N470" s="56" t="str">
        <x:v>Supports skincare as the primary category.</x:v>
      </x:c>
      <x:c r="O470" s="56" t="str">
        <x:v>Codex</x:v>
      </x:c>
    </x:row>
    <x:row r="471" ht="112" customHeight="1">
      <x:c r="A471" s="56" t="str">
        <x:v>SRC-DJ-004</x:v>
      </x:c>
      <x:c r="B471" s="56" t="str">
        <x:v>KB010</x:v>
      </x:c>
      <x:c r="C471" s="56" t="str">
        <x:v>Core awareness — Cicapair franchise</x:v>
      </x:c>
      <x:c r="D471" s="56" t="str">
        <x:v>Official Cicapair collection presents the redness-focused franchise and its color-correcting and moisturizing products.</x:v>
      </x:c>
      <x:c r="E471" s="56" t="str">
        <x:v>Dr.Jart+</x:v>
      </x:c>
      <x:c r="F471" s="56" t="str">
        <x:v>https://www.drjart.com/cicapair</x:v>
      </x:c>
      <x:c r="G471" s="56" t="str">
        <x:v>Official Collection Page</x:v>
      </x:c>
      <x:c r="H471" s="56"/>
      <x:c r="I471" s="56" t="str">
        <x:v>2026-07-31</x:v>
      </x:c>
      <x:c r="J471" s="56" t="str">
        <x:v>Verified Awareness and Product Context</x:v>
      </x:c>
      <x:c r="K471" s="56" t="str">
        <x:v>High</x:v>
      </x:c>
      <x:c r="L471" s="56" t="str">
        <x:v>Yes</x:v>
      </x:c>
      <x:c r="M471" s="56"/>
      <x:c r="N471" s="56" t="str">
        <x:v>Brand-owned positioning; social and retail evidence was separately checked.</x:v>
      </x:c>
      <x:c r="O471" s="56" t="str">
        <x:v>Codex</x:v>
      </x:c>
    </x:row>
    <x:row r="472" ht="112" customHeight="1">
      <x:c r="A472" s="56" t="str">
        <x:v>SRC-DJ-005</x:v>
      </x:c>
      <x:c r="B472" s="56" t="str">
        <x:v>KB010</x:v>
      </x:c>
      <x:c r="C472" s="56" t="str">
        <x:v>Core category — Ceramidin franchise</x:v>
      </x:c>
      <x:c r="D472" s="56" t="str">
        <x:v>Official Ceramidin collection presents barrier moisturizers and supporting products around ceramide-led hydration.</x:v>
      </x:c>
      <x:c r="E472" s="56" t="str">
        <x:v>Dr.Jart+</x:v>
      </x:c>
      <x:c r="F472" s="56" t="str">
        <x:v>https://www.drjart.com/ceramidin</x:v>
      </x:c>
      <x:c r="G472" s="56" t="str">
        <x:v>Official Collection Page</x:v>
      </x:c>
      <x:c r="H472" s="56"/>
      <x:c r="I472" s="56" t="str">
        <x:v>2026-07-31</x:v>
      </x:c>
      <x:c r="J472" s="56" t="str">
        <x:v>Verified Category and Product Context</x:v>
      </x:c>
      <x:c r="K472" s="56" t="str">
        <x:v>High</x:v>
      </x:c>
      <x:c r="L472" s="56" t="str">
        <x:v>Yes</x:v>
      </x:c>
      <x:c r="M472" s="56"/>
      <x:c r="N472" s="56" t="str">
        <x:v>Brand-owned positioning.</x:v>
      </x:c>
      <x:c r="O472" s="56" t="str">
        <x:v>Codex</x:v>
      </x:c>
    </x:row>
    <x:row r="473" ht="112" customHeight="1">
      <x:c r="A473" s="56" t="str">
        <x:v>SRC-DJ-006</x:v>
      </x:c>
      <x:c r="B473" s="56" t="str">
        <x:v>KB010</x:v>
      </x:c>
      <x:c r="C473" s="56" t="str">
        <x:v>Ownership and global brand signals</x:v>
      </x:c>
      <x:c r="D473" s="56" t="str">
        <x:v>Estée Lauder identifies Dr.Jart+ as a portfolio brand and reports 10 collections and global Vital Hydra mask velocity.</x:v>
      </x:c>
      <x:c r="E473" s="56" t="str">
        <x:v>The Estée Lauder Companies</x:v>
      </x:c>
      <x:c r="F473" s="56" t="str">
        <x:v>https://www.elcompanies.com/en/our-brands/dr-jart-plus</x:v>
      </x:c>
      <x:c r="G473" s="56" t="str">
        <x:v>Official Parent-Company Brand Page</x:v>
      </x:c>
      <x:c r="H473" s="56"/>
      <x:c r="I473" s="56" t="str">
        <x:v>2026-07-31</x:v>
      </x:c>
      <x:c r="J473" s="56" t="str">
        <x:v>Verified Ownership / Brand-Reported Scale</x:v>
      </x:c>
      <x:c r="K473" s="56" t="str">
        <x:v>High</x:v>
      </x:c>
      <x:c r="L473" s="56" t="str">
        <x:v>Yes</x:v>
      </x:c>
      <x:c r="M473" s="56"/>
      <x:c r="N473" s="56" t="str">
        <x:v>Global brand-reported signals are not current U.S. revenue.</x:v>
      </x:c>
      <x:c r="O473" s="56" t="str">
        <x:v>Codex</x:v>
      </x:c>
    </x:row>
    <x:row r="474" ht="112" customHeight="1">
      <x:c r="A474" s="56" t="str">
        <x:v>SRC-DJ-007</x:v>
      </x:c>
      <x:c r="B474" s="56" t="str">
        <x:v>KB010</x:v>
      </x:c>
      <x:c r="C474" s="56" t="str">
        <x:v>Acquisition and historical scale</x:v>
      </x:c>
      <x:c r="D474" s="56" t="str">
        <x:v>Estée Lauder's 2019 acquisition release said Dr.Jart+ was expected to exceed $500M in calendar-2019 global net sales and valued Have &amp; Be at about $1.7B enterprise value.</x:v>
      </x:c>
      <x:c r="E474" s="56" t="str">
        <x:v>The Estée Lauder Companies / SEC</x:v>
      </x:c>
      <x:c r="F474" s="56" t="str">
        <x:v>https://www.sec.gov/Archives/edgar/data/1001250/000110465919064930/tm1920881d4_ex99-1.htm</x:v>
      </x:c>
      <x:c r="G474" s="56" t="str">
        <x:v>Official Acquisition Press Release</x:v>
      </x:c>
      <x:c r="H474" s="56" t="str">
        <x:v>2019-11-18</x:v>
      </x:c>
      <x:c r="I474" s="56" t="str">
        <x:v>2026-07-31</x:v>
      </x:c>
      <x:c r="J474" s="56" t="str">
        <x:v>Verified Historical Company Fact</x:v>
      </x:c>
      <x:c r="K474" s="56" t="str">
        <x:v>High</x:v>
      </x:c>
      <x:c r="L474" s="56" t="str">
        <x:v>Yes</x:v>
      </x:c>
      <x:c r="M474" s="56"/>
      <x:c r="N474" s="56" t="str">
        <x:v>Historical global scale, not current U.S. sales.</x:v>
      </x:c>
      <x:c r="O474" s="56" t="str">
        <x:v>Codex</x:v>
      </x:c>
    </x:row>
    <x:row r="475" ht="112" customHeight="1">
      <x:c r="A475" s="56" t="str">
        <x:v>SRC-DJ-008</x:v>
      </x:c>
      <x:c r="B475" s="56" t="str">
        <x:v>KB010</x:v>
      </x:c>
      <x:c r="C475" s="56" t="str">
        <x:v>Acquisition closing and ownership</x:v>
      </x:c>
      <x:c r="D475" s="56" t="str">
        <x:v>Estée Lauder's 10-Q states the remaining 66.66% acquisition closed December 18, 2019 for about $1.268B cash.</x:v>
      </x:c>
      <x:c r="E475" s="56" t="str">
        <x:v>The Estée Lauder Companies / SEC</x:v>
      </x:c>
      <x:c r="F475" s="56" t="str">
        <x:v>https://www.sec.gov/Archives/edgar/data/1001250/000110465920011857/el-20191231x10qd9aa32.htm</x:v>
      </x:c>
      <x:c r="G475" s="56" t="str">
        <x:v>SEC Filing</x:v>
      </x:c>
      <x:c r="H475" s="56" t="str">
        <x:v>2020-02-06</x:v>
      </x:c>
      <x:c r="I475" s="56" t="str">
        <x:v>2026-07-31</x:v>
      </x:c>
      <x:c r="J475" s="56" t="str">
        <x:v>Verified Ownership Fact</x:v>
      </x:c>
      <x:c r="K475" s="56" t="str">
        <x:v>High</x:v>
      </x:c>
      <x:c r="L475" s="56" t="str">
        <x:v>Yes</x:v>
      </x:c>
      <x:c r="M475" s="56"/>
      <x:c r="N475" s="56" t="str">
        <x:v>Supports wholly owned parent infrastructure.</x:v>
      </x:c>
      <x:c r="O475" s="56" t="str">
        <x:v>Codex</x:v>
      </x:c>
    </x:row>
    <x:row r="476" ht="112" customHeight="1">
      <x:c r="A476" s="56" t="str">
        <x:v>SRC-DJ-009</x:v>
      </x:c>
      <x:c r="B476" s="56" t="str">
        <x:v>KB010</x:v>
      </x:c>
      <x:c r="C476" s="56" t="str">
        <x:v>Core awareness and Amazon launch</x:v>
      </x:c>
      <x:c r="D476" s="56" t="str">
        <x:v>Estée Lauder announced the official U.S. Amazon Premium Beauty launch and named Cicapair, Ceramidin, Premium BB and masks as bestsellers.</x:v>
      </x:c>
      <x:c r="E476" s="56" t="str">
        <x:v>The Estée Lauder Companies</x:v>
      </x:c>
      <x:c r="F476" s="56" t="str">
        <x:v>https://www.elcompanies.com/en/news-and-media/newsroom/press-releases/2024/07-25-2024-110020160</x:v>
      </x:c>
      <x:c r="G476" s="56" t="str">
        <x:v>Official Press Release</x:v>
      </x:c>
      <x:c r="H476" s="56" t="str">
        <x:v>2024-07-25</x:v>
      </x:c>
      <x:c r="I476" s="56" t="str">
        <x:v>2026-07-31</x:v>
      </x:c>
      <x:c r="J476" s="56" t="str">
        <x:v>Verified Channel and Awareness Fact</x:v>
      </x:c>
      <x:c r="K476" s="56" t="str">
        <x:v>High</x:v>
      </x:c>
      <x:c r="L476" s="56" t="str">
        <x:v>Yes</x:v>
      </x:c>
      <x:c r="M476" s="56"/>
      <x:c r="N476" s="56" t="str">
        <x:v>Current Amazon pages were separately verified.</x:v>
      </x:c>
      <x:c r="O476" s="56" t="str">
        <x:v>Codex</x:v>
      </x:c>
    </x:row>
    <x:row r="477" ht="112" customHeight="1">
      <x:c r="A477" s="56" t="str">
        <x:v>SRC-DJ-010</x:v>
      </x:c>
      <x:c r="B477" s="56" t="str">
        <x:v>KB010</x:v>
      </x:c>
      <x:c r="C477" s="56" t="str">
        <x:v>TikTok Shop U.S. debut</x:v>
      </x:c>
      <x:c r="D477" s="56" t="str">
        <x:v>Estée Lauder's fiscal-2026 Q1 release states Dr.Jart+ debuted on TikTok Shop U.S. in October 2025.</x:v>
      </x:c>
      <x:c r="E477" s="56" t="str">
        <x:v>The Estée Lauder Companies</x:v>
      </x:c>
      <x:c r="F477" s="56" t="str">
        <x:v>https://media.elcompanies.com/files/e/estee-lauder-companies/global/investors/earnings-and-financials/quarterly-earnings/2026/q1/q1-fiscal-2026-earnings-release.pdf</x:v>
      </x:c>
      <x:c r="G477" s="56" t="str">
        <x:v>Official Earnings Release</x:v>
      </x:c>
      <x:c r="H477" s="56" t="str">
        <x:v>2025-10-30</x:v>
      </x:c>
      <x:c r="I477" s="56" t="str">
        <x:v>2026-07-31</x:v>
      </x:c>
      <x:c r="J477" s="56" t="str">
        <x:v>Verified Channel Launch Fact</x:v>
      </x:c>
      <x:c r="K477" s="56" t="str">
        <x:v>High</x:v>
      </x:c>
      <x:c r="L477" s="56" t="str">
        <x:v>Yes</x:v>
      </x:c>
      <x:c r="M477" s="56"/>
      <x:c r="N477" s="56" t="str">
        <x:v>Current shop metrics were separately checked.</x:v>
      </x:c>
      <x:c r="O477" s="56" t="str">
        <x:v>Codex</x:v>
      </x:c>
    </x:row>
    <x:row r="478" ht="112" customHeight="1">
      <x:c r="A478" s="56" t="str">
        <x:v>SRC-DJ-011</x:v>
      </x:c>
      <x:c r="B478" s="56" t="str">
        <x:v>KB010</x:v>
      </x:c>
      <x:c r="C478" s="56" t="str">
        <x:v>Official Instagram awareness</x:v>
      </x:c>
      <x:c r="D478" s="56" t="str">
        <x:v>Official profile metadata displayed 513K followers, 772 following and 4,432 posts and named Sephora, Kohl's, Amazon and drjart.com.</x:v>
      </x:c>
      <x:c r="E478" s="56" t="str">
        <x:v>Instagram / Dr.Jart+</x:v>
      </x:c>
      <x:c r="F478" s="56" t="str">
        <x:v>https://www.instagram.com/drjart/</x:v>
      </x:c>
      <x:c r="G478" s="56" t="str">
        <x:v>Official Social Profile</x:v>
      </x:c>
      <x:c r="H478" s="56"/>
      <x:c r="I478" s="56" t="str">
        <x:v>2026-07-31</x:v>
      </x:c>
      <x:c r="J478" s="56" t="str">
        <x:v>Verified Platform Display</x:v>
      </x:c>
      <x:c r="K478" s="56" t="str">
        <x:v>High</x:v>
      </x:c>
      <x:c r="L478" s="56" t="str">
        <x:v>Yes</x:v>
      </x:c>
      <x:c r="M478" s="56"/>
      <x:c r="N478" s="56" t="str">
        <x:v>Counts are dynamic; awareness only.</x:v>
      </x:c>
      <x:c r="O478" s="56" t="str">
        <x:v>Codex</x:v>
      </x:c>
    </x:row>
    <x:row r="479" ht="112" customHeight="1">
      <x:c r="A479" s="56" t="str">
        <x:v>SRC-DJ-012</x:v>
      </x:c>
      <x:c r="B479" s="56" t="str">
        <x:v>KB010</x:v>
      </x:c>
      <x:c r="C479" s="56" t="str">
        <x:v>Official TikTok Shop awareness and sales display</x:v>
      </x:c>
      <x:c r="D479" s="56" t="str">
        <x:v>Verified Dr.Jart+ Shop displayed 4.6 rating, 17.1K sold and 94.0K+ followers.</x:v>
      </x:c>
      <x:c r="E479" s="56" t="str">
        <x:v>TikTok Shop U.S.</x:v>
      </x:c>
      <x:c r="F479" s="56" t="str">
        <x:v>https://www.tiktok.com/shop/store/dr-jart/7494181393175709160</x:v>
      </x:c>
      <x:c r="G479" s="56" t="str">
        <x:v>Official Social-Commerce Store</x:v>
      </x:c>
      <x:c r="H479" s="56"/>
      <x:c r="I479" s="56" t="str">
        <x:v>2026-07-31</x:v>
      </x:c>
      <x:c r="J479" s="56" t="str">
        <x:v>Verified Platform Display</x:v>
      </x:c>
      <x:c r="K479" s="56" t="str">
        <x:v>Medium-High</x:v>
      </x:c>
      <x:c r="L479" s="56" t="str">
        <x:v>Yes</x:v>
      </x:c>
      <x:c r="M479" s="56"/>
      <x:c r="N479" s="56" t="str">
        <x:v>Cumulative dynamic store counts; search results can mix third-party listings.</x:v>
      </x:c>
      <x:c r="O479" s="56" t="str">
        <x:v>Codex</x:v>
      </x:c>
    </x:row>
    <x:row r="480" ht="112" customHeight="1">
      <x:c r="A480" s="56" t="str">
        <x:v>SRC-DJ-013</x:v>
      </x:c>
      <x:c r="B480" s="56" t="str">
        <x:v>KB010</x:v>
      </x:c>
      <x:c r="C480" s="56" t="str">
        <x:v>Official physical-retail discovery</x:v>
      </x:c>
      <x:c r="D480" s="56" t="str">
        <x:v>Official U.S. store locator supports retailer/store discovery under Have &amp; Be USA.</x:v>
      </x:c>
      <x:c r="E480" s="56" t="str">
        <x:v>Dr.Jart+</x:v>
      </x:c>
      <x:c r="F480" s="56" t="str">
        <x:v>https://www.drjart.com/stores</x:v>
      </x:c>
      <x:c r="G480" s="56" t="str">
        <x:v>Official Store Locator</x:v>
      </x:c>
      <x:c r="H480" s="56"/>
      <x:c r="I480" s="56" t="str">
        <x:v>2026-07-31</x:v>
      </x:c>
      <x:c r="J480" s="56" t="str">
        <x:v>Verified Channel Fact</x:v>
      </x:c>
      <x:c r="K480" s="56" t="str">
        <x:v>High</x:v>
      </x:c>
      <x:c r="L480" s="56" t="str">
        <x:v>Yes</x:v>
      </x:c>
      <x:c r="M480" s="56"/>
      <x:c r="N480" s="56" t="str">
        <x:v>Exact store count was not extracted.</x:v>
      </x:c>
      <x:c r="O480" s="56" t="str">
        <x:v>Codex</x:v>
      </x:c>
    </x:row>
    <x:row r="481" ht="112" customHeight="1">
      <x:c r="A481" s="56" t="str">
        <x:v>SRC-DJ-014</x:v>
      </x:c>
      <x:c r="B481" s="56" t="str">
        <x:v>KB010</x:v>
      </x:c>
      <x:c r="C481" s="56" t="str">
        <x:v>Official price-promotion context</x:v>
      </x:c>
      <x:c r="D481" s="56" t="str">
        <x:v>Official offer page documents recurring DTC promotions and exclusions, including differences from retailer channels.</x:v>
      </x:c>
      <x:c r="E481" s="56" t="str">
        <x:v>Dr.Jart+</x:v>
      </x:c>
      <x:c r="F481" s="56" t="str">
        <x:v>https://www.drjart.com/qr-offers</x:v>
      </x:c>
      <x:c r="G481" s="56" t="str">
        <x:v>Official Promotion Page</x:v>
      </x:c>
      <x:c r="H481" s="56"/>
      <x:c r="I481" s="56" t="str">
        <x:v>2026-07-31</x:v>
      </x:c>
      <x:c r="J481" s="56" t="str">
        <x:v>Verified Promotion Context</x:v>
      </x:c>
      <x:c r="K481" s="56" t="str">
        <x:v>High</x:v>
      </x:c>
      <x:c r="L481" s="56" t="str">
        <x:v>Yes</x:v>
      </x:c>
      <x:c r="M481" s="56"/>
      <x:c r="N481" s="56" t="str">
        <x:v>Promotions change; require written MAP and funding rules.</x:v>
      </x:c>
      <x:c r="O481" s="56" t="str">
        <x:v>Codex</x:v>
      </x:c>
    </x:row>
    <x:row r="482" ht="112" customHeight="1">
      <x:c r="A482" s="56" t="str">
        <x:v>SRC-DJ-015</x:v>
      </x:c>
      <x:c r="B482" s="56" t="str">
        <x:v>KB010</x:v>
      </x:c>
      <x:c r="C482" s="56" t="str">
        <x:v>Cicapair current U.S. product facts</x:v>
      </x:c>
      <x:c r="D482" s="56" t="str">
        <x:v>Official page listed the current Cicapair Soothing Color Corrector at $25 mini and $54 value, with SPF 30 and current formula/claim details.</x:v>
      </x:c>
      <x:c r="E482" s="56" t="str">
        <x:v>Dr.Jart+</x:v>
      </x:c>
      <x:c r="F482" s="56" t="str">
        <x:v>https://www.drjart.com/product/29717/138113/color-corrector/cicapairtm-soothing-korean-color-correcting-treatment-mineral-spf-30-with-centella-asiatica-extracts-and-zinc-oxide</x:v>
      </x:c>
      <x:c r="G482" s="56" t="str">
        <x:v>Official OTC Product Page</x:v>
      </x:c>
      <x:c r="H482" s="56"/>
      <x:c r="I482" s="56" t="str">
        <x:v>2026-07-31</x:v>
      </x:c>
      <x:c r="J482" s="56" t="str">
        <x:v>Verified Product Fact / Claim Risk</x:v>
      </x:c>
      <x:c r="K482" s="56" t="str">
        <x:v>High</x:v>
      </x:c>
      <x:c r="L482" s="56" t="str">
        <x:v>Yes</x:v>
      </x:c>
      <x:c r="M482" s="56"/>
      <x:c r="N482" s="56" t="str">
        <x:v>Match supplied size to current NDC 49404-156 and approved claims.</x:v>
      </x:c>
      <x:c r="O482" s="56" t="str">
        <x:v>Codex</x:v>
      </x:c>
    </x:row>
    <x:row r="483" ht="112" customHeight="1">
      <x:c r="A483" s="56" t="str">
        <x:v>SRC-DJ-016</x:v>
      </x:c>
      <x:c r="B483" s="56" t="str">
        <x:v>KB010</x:v>
      </x:c>
      <x:c r="C483" s="56" t="str">
        <x:v>Ceramidin current U.S. product facts</x:v>
      </x:c>
      <x:c r="D483" s="56" t="str">
        <x:v>Official page listed Ceramidin Skin Barrier Moisturizing Cream at $52 for 50 mL and described five ceramides, panthenol and glycerin.</x:v>
      </x:c>
      <x:c r="E483" s="56" t="str">
        <x:v>Dr.Jart+</x:v>
      </x:c>
      <x:c r="F483" s="56" t="str">
        <x:v>https://www.drjart.com/product/28258/111504/moisturizers/ceramidintm-skin-barrier-korean-moisturizing-face-cream</x:v>
      </x:c>
      <x:c r="G483" s="56" t="str">
        <x:v>Official Product Page</x:v>
      </x:c>
      <x:c r="H483" s="56"/>
      <x:c r="I483" s="56" t="str">
        <x:v>2026-07-31</x:v>
      </x:c>
      <x:c r="J483" s="56" t="str">
        <x:v>Verified Product Fact / Claim Risk</x:v>
      </x:c>
      <x:c r="K483" s="56" t="str">
        <x:v>High</x:v>
      </x:c>
      <x:c r="L483" s="56" t="str">
        <x:v>Yes</x:v>
      </x:c>
      <x:c r="M483" s="56"/>
      <x:c r="N483" s="56" t="str">
        <x:v>Barrier-repair/structure-function language needs substantiation review.</x:v>
      </x:c>
      <x:c r="O483" s="56" t="str">
        <x:v>Codex</x:v>
      </x:c>
    </x:row>
    <x:row r="484" ht="112" customHeight="1">
      <x:c r="A484" s="56" t="str">
        <x:v>SRC-DJ-017</x:v>
      </x:c>
      <x:c r="B484" s="56" t="str">
        <x:v>KB010</x:v>
      </x:c>
      <x:c r="C484" s="56" t="str">
        <x:v>Cicapair moisturizer product facts</x:v>
      </x:c>
      <x:c r="D484" s="56" t="str">
        <x:v>Official page listed Cicapair Sensitive Skin Moisturizer at $52 for 50 mL with Advanced Cica Complex, R-Protector and allantoin.</x:v>
      </x:c>
      <x:c r="E484" s="56" t="str">
        <x:v>Dr.Jart+</x:v>
      </x:c>
      <x:c r="F484" s="56" t="str">
        <x:v>https://www.drjart.com/product/28258/116789/moisturizers/cicapairtm-sensitive-skin-korean-face-moisturizer-for-redness-with-centella-asiatica</x:v>
      </x:c>
      <x:c r="G484" s="56" t="str">
        <x:v>Official Product Page</x:v>
      </x:c>
      <x:c r="H484" s="56"/>
      <x:c r="I484" s="56" t="str">
        <x:v>2026-07-31</x:v>
      </x:c>
      <x:c r="J484" s="56" t="str">
        <x:v>Verified Product Fact / Claim Risk</x:v>
      </x:c>
      <x:c r="K484" s="56" t="str">
        <x:v>High</x:v>
      </x:c>
      <x:c r="L484" s="56" t="str">
        <x:v>Yes</x:v>
      </x:c>
      <x:c r="M484" s="56"/>
      <x:c r="N484" s="56" t="str">
        <x:v>Review redness, rosacea and post-procedure language for U.S. use.</x:v>
      </x:c>
      <x:c r="O484" s="56" t="str">
        <x:v>Codex</x:v>
      </x:c>
    </x:row>
    <x:row r="485" ht="112" customHeight="1">
      <x:c r="A485" s="56" t="str">
        <x:v>SRC-DJ-018</x:v>
      </x:c>
      <x:c r="B485" s="56" t="str">
        <x:v>KB010</x:v>
      </x:c>
      <x:c r="C485" s="56" t="str">
        <x:v>Cryo Rubber product facts</x:v>
      </x:c>
      <x:c r="D485" s="56" t="str">
        <x:v>Official page listed the moisturizing Cryo Rubber mask at $16.50 and described the two-step ampoule/mask format, hyaluronic acid and peptide.</x:v>
      </x:c>
      <x:c r="E485" s="56" t="str">
        <x:v>Dr.Jart+</x:v>
      </x:c>
      <x:c r="F485" s="56" t="str">
        <x:v>https://www.drjart.com/product/28256/140886/masks/cryo-rubbertm-moisturizing-korean-face-mask-with-hyaluronic-acid-plus-peptide</x:v>
      </x:c>
      <x:c r="G485" s="56" t="str">
        <x:v>Official Product Page</x:v>
      </x:c>
      <x:c r="H485" s="56"/>
      <x:c r="I485" s="56" t="str">
        <x:v>2026-07-31</x:v>
      </x:c>
      <x:c r="J485" s="56" t="str">
        <x:v>Verified Product Fact / Claim Risk</x:v>
      </x:c>
      <x:c r="K485" s="56" t="str">
        <x:v>High</x:v>
      </x:c>
      <x:c r="L485" s="56" t="str">
        <x:v>Yes</x:v>
      </x:c>
      <x:c r="M485" s="56"/>
      <x:c r="N485" s="56" t="str">
        <x:v>Cooling and moisture clinical claims require underlying protocols.</x:v>
      </x:c>
      <x:c r="O485" s="56" t="str">
        <x:v>Codex</x:v>
      </x:c>
    </x:row>
    <x:row r="486" ht="112" customHeight="1">
      <x:c r="A486" s="56" t="str">
        <x:v>SRC-DJ-019</x:v>
      </x:c>
      <x:c r="B486" s="56" t="str">
        <x:v>KB010</x:v>
      </x:c>
      <x:c r="C486" s="56" t="str">
        <x:v>Premium BB current U.S. product facts</x:v>
      </x:c>
      <x:c r="D486" s="56" t="str">
        <x:v>Official page listed the 40 mL Premium BB SPF 40 at $49 in six flexible shades with niacinamide and glycerin positioning.</x:v>
      </x:c>
      <x:c r="E486" s="56" t="str">
        <x:v>Dr.Jart+</x:v>
      </x:c>
      <x:c r="F486" s="56" t="str">
        <x:v>https://www.drjart.com/product/36654/106709/bb-creams/premium-bb-tinted-moisturizer-with-niacinamide-and-spf-40</x:v>
      </x:c>
      <x:c r="G486" s="56" t="str">
        <x:v>Official OTC Product Page</x:v>
      </x:c>
      <x:c r="H486" s="56"/>
      <x:c r="I486" s="56" t="str">
        <x:v>2026-07-31</x:v>
      </x:c>
      <x:c r="J486" s="56" t="str">
        <x:v>Verified Product Fact / Label Risk</x:v>
      </x:c>
      <x:c r="K486" s="56" t="str">
        <x:v>High</x:v>
      </x:c>
      <x:c r="L486" s="56" t="str">
        <x:v>Yes</x:v>
      </x:c>
      <x:c r="M486" s="56"/>
      <x:c r="N486" s="56" t="str">
        <x:v>Confirm current page/assortment and each shade-specific NDC, Drug Facts and artwork.</x:v>
      </x:c>
      <x:c r="O486" s="56" t="str">
        <x:v>Codex</x:v>
      </x:c>
    </x:row>
    <x:row r="487" ht="112" customHeight="1">
      <x:c r="A487" s="56" t="str">
        <x:v>SRC-DJ-020</x:v>
      </x:c>
      <x:c r="B487" s="56" t="str">
        <x:v>KB010</x:v>
      </x:c>
      <x:c r="C487" s="56" t="str">
        <x:v>Core verification — Amazon Cicapair mini</x:v>
      </x:c>
      <x:c r="D487" s="56" t="str">
        <x:v>Direct page showed $25, 4.2/395, 2K+ bought/month, #4,484 Beauty, #8 CC Facial Creams, sold and shipped by Amazon.com.</x:v>
      </x:c>
      <x:c r="E487" s="56" t="str">
        <x:v>Amazon U.S.</x:v>
      </x:c>
      <x:c r="F487" s="56" t="str">
        <x:v>https://www.amazon.com/dp/B0F7J295X1</x:v>
      </x:c>
      <x:c r="G487" s="56" t="str">
        <x:v>Marketplace / Official Brand Store Display</x:v>
      </x:c>
      <x:c r="H487" s="56"/>
      <x:c r="I487" s="56" t="str">
        <x:v>2026-07-31</x:v>
      </x:c>
      <x:c r="J487" s="56" t="str">
        <x:v>Verified Platform Display</x:v>
      </x:c>
      <x:c r="K487" s="56" t="str">
        <x:v>High</x:v>
      </x:c>
      <x:c r="L487" s="56" t="str">
        <x:v>Yes</x:v>
      </x:c>
      <x:c r="M487" s="56"/>
      <x:c r="N487" s="56" t="str">
        <x:v>ASIN B0F7J295X1; dynamic public badge.</x:v>
      </x:c>
      <x:c r="O487" s="56" t="str">
        <x:v>Codex</x:v>
      </x:c>
    </x:row>
    <x:row r="488" ht="112" customHeight="1">
      <x:c r="A488" s="56" t="str">
        <x:v>SRC-DJ-021</x:v>
      </x:c>
      <x:c r="B488" s="56" t="str">
        <x:v>KB010</x:v>
      </x:c>
      <x:c r="C488" s="56" t="str">
        <x:v>Core verification — Amazon Ceramidin Cream</x:v>
      </x:c>
      <x:c r="D488" s="56" t="str">
        <x:v>Direct page showed $52, 4.7/2,242, 600+ bought/month, #9,661 Beauty and #257 Face Moisturizers, sold and shipped by Amazon.com.</x:v>
      </x:c>
      <x:c r="E488" s="56" t="str">
        <x:v>Amazon U.S.</x:v>
      </x:c>
      <x:c r="F488" s="56" t="str">
        <x:v>https://www.amazon.com/dp/B015RYQBIS</x:v>
      </x:c>
      <x:c r="G488" s="56" t="str">
        <x:v>Marketplace / Official Brand Store Display</x:v>
      </x:c>
      <x:c r="H488" s="56"/>
      <x:c r="I488" s="56" t="str">
        <x:v>2026-07-31</x:v>
      </x:c>
      <x:c r="J488" s="56" t="str">
        <x:v>Verified Platform Display</x:v>
      </x:c>
      <x:c r="K488" s="56" t="str">
        <x:v>High</x:v>
      </x:c>
      <x:c r="L488" s="56" t="str">
        <x:v>Yes</x:v>
      </x:c>
      <x:c r="M488" s="56"/>
      <x:c r="N488" s="56" t="str">
        <x:v>ASIN B015RYQBIS; dynamic public badge.</x:v>
      </x:c>
      <x:c r="O488" s="56" t="str">
        <x:v>Codex</x:v>
      </x:c>
    </x:row>
    <x:row r="489" ht="112" customHeight="1">
      <x:c r="A489" s="56" t="str">
        <x:v>SRC-DJ-022</x:v>
      </x:c>
      <x:c r="B489" s="56" t="str">
        <x:v>KB010</x:v>
      </x:c>
      <x:c r="C489" s="56" t="str">
        <x:v>Core verification — Amazon Cicapair Moisturizer</x:v>
      </x:c>
      <x:c r="D489" s="56" t="str">
        <x:v>Direct page showed $52, 4.5/644, 800+ bought/month, #9,483 Beauty and #254 Face Moisturizers, sold and shipped by Amazon.com.</x:v>
      </x:c>
      <x:c r="E489" s="56" t="str">
        <x:v>Amazon U.S.</x:v>
      </x:c>
      <x:c r="F489" s="56" t="str">
        <x:v>https://www.amazon.com/dp/B0D2GG3M5V</x:v>
      </x:c>
      <x:c r="G489" s="56" t="str">
        <x:v>Marketplace / Official Brand Store Display</x:v>
      </x:c>
      <x:c r="H489" s="56"/>
      <x:c r="I489" s="56" t="str">
        <x:v>2026-07-31</x:v>
      </x:c>
      <x:c r="J489" s="56" t="str">
        <x:v>Verified Platform Display</x:v>
      </x:c>
      <x:c r="K489" s="56" t="str">
        <x:v>High</x:v>
      </x:c>
      <x:c r="L489" s="56" t="str">
        <x:v>Yes</x:v>
      </x:c>
      <x:c r="M489" s="56"/>
      <x:c r="N489" s="56" t="str">
        <x:v>ASIN B0D2GG3M5V; dynamic public badge.</x:v>
      </x:c>
      <x:c r="O489" s="56" t="str">
        <x:v>Codex</x:v>
      </x:c>
    </x:row>
    <x:row r="490" ht="112" customHeight="1">
      <x:c r="A490" s="56" t="str">
        <x:v>SRC-DJ-023</x:v>
      </x:c>
      <x:c r="B490" s="56" t="str">
        <x:v>KB010</x:v>
      </x:c>
      <x:c r="C490" s="56" t="str">
        <x:v>Core verification — Amazon Cryo Rubber</x:v>
      </x:c>
      <x:c r="D490" s="56" t="str">
        <x:v>Direct page showed $16.50, 4.6/124, 1K+ bought/month, #6,819 Beauty and #46 Facial Masks, sold and shipped by Amazon.com.</x:v>
      </x:c>
      <x:c r="E490" s="56" t="str">
        <x:v>Amazon U.S.</x:v>
      </x:c>
      <x:c r="F490" s="56" t="str">
        <x:v>https://www.amazon.com/dp/B0FX3BBXYR</x:v>
      </x:c>
      <x:c r="G490" s="56" t="str">
        <x:v>Marketplace / Official Brand Store Display</x:v>
      </x:c>
      <x:c r="H490" s="56"/>
      <x:c r="I490" s="56" t="str">
        <x:v>2026-07-31</x:v>
      </x:c>
      <x:c r="J490" s="56" t="str">
        <x:v>Verified Platform Display</x:v>
      </x:c>
      <x:c r="K490" s="56" t="str">
        <x:v>High</x:v>
      </x:c>
      <x:c r="L490" s="56" t="str">
        <x:v>Yes</x:v>
      </x:c>
      <x:c r="M490" s="56"/>
      <x:c r="N490" s="56" t="str">
        <x:v>ASIN B0FX3BBXYR; manufacturer displayed as Have &amp; Be USA, Inc.</x:v>
      </x:c>
      <x:c r="O490" s="56" t="str">
        <x:v>Codex</x:v>
      </x:c>
    </x:row>
    <x:row r="491" ht="112" customHeight="1">
      <x:c r="A491" s="56" t="str">
        <x:v>SRC-DJ-024</x:v>
      </x:c>
      <x:c r="B491" s="56" t="str">
        <x:v>KB010</x:v>
      </x:c>
      <x:c r="C491" s="56" t="str">
        <x:v>Core verification — Amazon Premium BB</x:v>
      </x:c>
      <x:c r="D491" s="56" t="str">
        <x:v>Direct page showed $49, 4.5/371, 1K+ bought/month, #7,762 Beauty and #9 BB Facial Creams, sold and shipped by Amazon.com.</x:v>
      </x:c>
      <x:c r="E491" s="56" t="str">
        <x:v>Amazon U.S.</x:v>
      </x:c>
      <x:c r="F491" s="56" t="str">
        <x:v>https://www.amazon.com/dp/B0D5YY8HWK</x:v>
      </x:c>
      <x:c r="G491" s="56" t="str">
        <x:v>Marketplace / Official Brand Store Display</x:v>
      </x:c>
      <x:c r="H491" s="56"/>
      <x:c r="I491" s="56" t="str">
        <x:v>2026-07-31</x:v>
      </x:c>
      <x:c r="J491" s="56" t="str">
        <x:v>Verified Platform Display</x:v>
      </x:c>
      <x:c r="K491" s="56" t="str">
        <x:v>High</x:v>
      </x:c>
      <x:c r="L491" s="56" t="str">
        <x:v>Yes</x:v>
      </x:c>
      <x:c r="M491" s="56"/>
      <x:c r="N491" s="56" t="str">
        <x:v>ASIN B0D5YY8HWK; verify exact shade NDC.</x:v>
      </x:c>
      <x:c r="O491" s="56" t="str">
        <x:v>Codex</x:v>
      </x:c>
    </x:row>
    <x:row r="492" ht="112" customHeight="1">
      <x:c r="A492" s="56" t="str">
        <x:v>SRC-DJ-025</x:v>
      </x:c>
      <x:c r="B492" s="56" t="str">
        <x:v>KB010</x:v>
      </x:c>
      <x:c r="C492" s="56" t="str">
        <x:v>Amazon lower-bound methodology</x:v>
      </x:c>
      <x:c r="D492" s="56" t="str">
        <x:v>Five distinct hero ASIN badges imply at least 5,400 monthly units and $188,300/month at observed prices: $50,000 + $31,200 + $41,600 + $16,500 + $49,000.</x:v>
      </x:c>
      <x:c r="E492" s="56" t="str">
        <x:v>Analyst Calculation</x:v>
      </x:c>
      <x:c r="F492" s="56" t="str">
        <x:v>https://www.amazon.com/s?k=Dr.Jart%2B</x:v>
      </x:c>
      <x:c r="G492" s="56" t="str">
        <x:v>Derived from Marketplace Displays</x:v>
      </x:c>
      <x:c r="H492" s="56"/>
      <x:c r="I492" s="56" t="str">
        <x:v>2026-07-31</x:v>
      </x:c>
      <x:c r="J492" s="56" t="str">
        <x:v>Conservative Sales Proxy</x:v>
      </x:c>
      <x:c r="K492" s="56" t="str">
        <x:v>Medium-High</x:v>
      </x:c>
      <x:c r="L492" s="56" t="str">
        <x:v>Yes</x:v>
      </x:c>
      <x:c r="M492" s="56"/>
      <x:c r="N492" s="56" t="str">
        <x:v>Not audited revenue; excludes all other SKUs, tax, returns, coupons and amounts above rounded minimums.</x:v>
      </x:c>
      <x:c r="O492" s="56" t="str">
        <x:v>Codex</x:v>
      </x:c>
    </x:row>
    <x:row r="493" ht="112" customHeight="1">
      <x:c r="A493" s="56" t="str">
        <x:v>SRC-DJ-026</x:v>
      </x:c>
      <x:c r="B493" s="56" t="str">
        <x:v>KB010</x:v>
      </x:c>
      <x:c r="C493" s="56" t="str">
        <x:v>Amazon duplicate/version control</x:v>
      </x:c>
      <x:c r="D493" s="56" t="str">
        <x:v>An older/full-size Cicapair ASIN displayed $54, 500+ bought/month and 4.3/1.6K; it was excluded from the lower-bound total to avoid possible version/size overlap.</x:v>
      </x:c>
      <x:c r="E493" s="56" t="str">
        <x:v>Amazon U.S.</x:v>
      </x:c>
      <x:c r="F493" s="56" t="str">
        <x:v>https://www.amazon.com/dp/B07DR5816K</x:v>
      </x:c>
      <x:c r="G493" s="56" t="str">
        <x:v>Marketplace Display</x:v>
      </x:c>
      <x:c r="H493" s="56"/>
      <x:c r="I493" s="56" t="str">
        <x:v>2026-07-31</x:v>
      </x:c>
      <x:c r="J493" s="56" t="str">
        <x:v>Verified Exclusion / Version Risk</x:v>
      </x:c>
      <x:c r="K493" s="56" t="str">
        <x:v>High</x:v>
      </x:c>
      <x:c r="L493" s="56" t="str">
        <x:v>Yes</x:v>
      </x:c>
      <x:c r="M493" s="56"/>
      <x:c r="N493" s="56" t="str">
        <x:v>Formula, size and version mapping must be controlled.</x:v>
      </x:c>
      <x:c r="O493" s="56" t="str">
        <x:v>Codex</x:v>
      </x:c>
    </x:row>
    <x:row r="494" ht="112" customHeight="1">
      <x:c r="A494" s="56" t="str">
        <x:v>SRC-DJ-027</x:v>
      </x:c>
      <x:c r="B494" s="56" t="str">
        <x:v>KB010</x:v>
      </x:c>
      <x:c r="C494" s="56" t="str">
        <x:v>Amazon secondary hero breadth</x:v>
      </x:c>
      <x:c r="D494" s="56" t="str">
        <x:v>Vital Hydra Water Cream displayed $40, 400+ bought/month and 4.6/278, supporting demand beyond the five selected heroes.</x:v>
      </x:c>
      <x:c r="E494" s="56" t="str">
        <x:v>Amazon U.S.</x:v>
      </x:c>
      <x:c r="F494" s="56" t="str">
        <x:v>https://www.amazon.com/dp/B0D2GVM3JX</x:v>
      </x:c>
      <x:c r="G494" s="56" t="str">
        <x:v>Marketplace Display</x:v>
      </x:c>
      <x:c r="H494" s="56"/>
      <x:c r="I494" s="56" t="str">
        <x:v>2026-07-31</x:v>
      </x:c>
      <x:c r="J494" s="56" t="str">
        <x:v>Verified Secondary Demand Signal</x:v>
      </x:c>
      <x:c r="K494" s="56" t="str">
        <x:v>High</x:v>
      </x:c>
      <x:c r="L494" s="56" t="str">
        <x:v>Yes</x:v>
      </x:c>
      <x:c r="M494" s="56"/>
      <x:c r="N494" s="56" t="str">
        <x:v>Excluded from conservative five-hero total.</x:v>
      </x:c>
      <x:c r="O494" s="56" t="str">
        <x:v>Codex</x:v>
      </x:c>
    </x:row>
    <x:row r="495" ht="112" customHeight="1">
      <x:c r="A495" s="56" t="str">
        <x:v>SRC-DJ-028</x:v>
      </x:c>
      <x:c r="B495" s="56" t="str">
        <x:v>KB010</x:v>
      </x:c>
      <x:c r="C495" s="56" t="str">
        <x:v>Amazon mask breadth</x:v>
      </x:c>
      <x:c r="D495" s="56" t="str">
        <x:v>A Dermask five-pack displayed $37, 600+ bought/month and 4.5/295, supporting broader mask demand.</x:v>
      </x:c>
      <x:c r="E495" s="56" t="str">
        <x:v>Amazon U.S.</x:v>
      </x:c>
      <x:c r="F495" s="56" t="str">
        <x:v>https://www.amazon.com/dp/B0DF81C9TM</x:v>
      </x:c>
      <x:c r="G495" s="56" t="str">
        <x:v>Marketplace Display</x:v>
      </x:c>
      <x:c r="H495" s="56"/>
      <x:c r="I495" s="56" t="str">
        <x:v>2026-07-31</x:v>
      </x:c>
      <x:c r="J495" s="56" t="str">
        <x:v>Verified Secondary Demand Signal</x:v>
      </x:c>
      <x:c r="K495" s="56" t="str">
        <x:v>High</x:v>
      </x:c>
      <x:c r="L495" s="56" t="str">
        <x:v>Yes</x:v>
      </x:c>
      <x:c r="M495" s="56"/>
      <x:c r="N495" s="56" t="str">
        <x:v>Excluded from conservative five-hero total.</x:v>
      </x:c>
      <x:c r="O495" s="56" t="str">
        <x:v>Codex</x:v>
      </x:c>
    </x:row>
    <x:row r="496" ht="112" customHeight="1">
      <x:c r="A496" s="56" t="str">
        <x:v>SRC-DJ-029</x:v>
      </x:c>
      <x:c r="B496" s="56" t="str">
        <x:v>KB010</x:v>
      </x:c>
      <x:c r="C496" s="56" t="str">
        <x:v>Sephora U.S. brand breadth</x:v>
      </x:c>
      <x:c r="D496" s="56" t="str">
        <x:v>Sephora displayed about 47 Dr.Jart+ results across skincare, masks and BB/complexion, with Cicapair and Ceramidin prominent.</x:v>
      </x:c>
      <x:c r="E496" s="56" t="str">
        <x:v>Sephora U.S.</x:v>
      </x:c>
      <x:c r="F496" s="56" t="str">
        <x:v>https://www.sephora.com/brand/dr-jart</x:v>
      </x:c>
      <x:c r="G496" s="56" t="str">
        <x:v>Authorized National Retailer</x:v>
      </x:c>
      <x:c r="H496" s="56"/>
      <x:c r="I496" s="56" t="str">
        <x:v>2026-07-31</x:v>
      </x:c>
      <x:c r="J496" s="56" t="str">
        <x:v>Verified Retailer Display</x:v>
      </x:c>
      <x:c r="K496" s="56" t="str">
        <x:v>High</x:v>
      </x:c>
      <x:c r="L496" s="56" t="str">
        <x:v>Yes</x:v>
      </x:c>
      <x:c r="M496" s="56"/>
      <x:c r="N496" s="56" t="str">
        <x:v>Assortment and counts are dynamic.</x:v>
      </x:c>
      <x:c r="O496" s="56" t="str">
        <x:v>Codex</x:v>
      </x:c>
    </x:row>
    <x:row r="497" ht="112" customHeight="1">
      <x:c r="A497" s="56" t="str">
        <x:v>SRC-DJ-030</x:v>
      </x:c>
      <x:c r="B497" s="56" t="str">
        <x:v>KB010</x:v>
      </x:c>
      <x:c r="C497" s="56" t="str">
        <x:v>Sephora Cicapair reviews and price</x:v>
      </x:c>
      <x:c r="D497" s="56" t="str">
        <x:v>Sephora displayed the Cicapair mini at $25 with about 888 reviews and strong coverage/satisfaction/sun-protection tags.</x:v>
      </x:c>
      <x:c r="E497" s="56" t="str">
        <x:v>Sephora U.S.</x:v>
      </x:c>
      <x:c r="F497" s="56" t="str">
        <x:v>https://www.sephora.com/product/mini-cicapair-tm-tiger-grass-color-correcting-treatment-spf-30-P517137</x:v>
      </x:c>
      <x:c r="G497" s="56" t="str">
        <x:v>Authorized Retailer Product Page</x:v>
      </x:c>
      <x:c r="H497" s="56"/>
      <x:c r="I497" s="56" t="str">
        <x:v>2026-07-31</x:v>
      </x:c>
      <x:c r="J497" s="56" t="str">
        <x:v>Verified Retailer Review / Price Fact</x:v>
      </x:c>
      <x:c r="K497" s="56" t="str">
        <x:v>High</x:v>
      </x:c>
      <x:c r="L497" s="56" t="str">
        <x:v>Yes</x:v>
      </x:c>
      <x:c r="M497" s="56"/>
      <x:c r="N497" s="56" t="str">
        <x:v>Some reviews are incentivized; counts change.</x:v>
      </x:c>
      <x:c r="O497" s="56" t="str">
        <x:v>Codex</x:v>
      </x:c>
    </x:row>
    <x:row r="498" ht="112" customHeight="1">
      <x:c r="A498" s="56" t="str">
        <x:v>SRC-DJ-031</x:v>
      </x:c>
      <x:c r="B498" s="56" t="str">
        <x:v>KB010</x:v>
      </x:c>
      <x:c r="C498" s="56" t="str">
        <x:v>Sephora Premium BB reviews and loves</x:v>
      </x:c>
      <x:c r="D498" s="56" t="str">
        <x:v>Sephora displayed Premium BB at $49 with about 1.2K reviews, 105K loves and six shades.</x:v>
      </x:c>
      <x:c r="E498" s="56" t="str">
        <x:v>Sephora U.S.</x:v>
      </x:c>
      <x:c r="F498" s="56" t="str">
        <x:v>https://www.sephora.com/product/premium-bb-tinted-moisturizer-with-niacinamide-spf-40-P501005</x:v>
      </x:c>
      <x:c r="G498" s="56" t="str">
        <x:v>Authorized Retailer OTC Product Page</x:v>
      </x:c>
      <x:c r="H498" s="56"/>
      <x:c r="I498" s="56" t="str">
        <x:v>2026-07-31</x:v>
      </x:c>
      <x:c r="J498" s="56" t="str">
        <x:v>Verified Retailer Review / Price Fact</x:v>
      </x:c>
      <x:c r="K498" s="56" t="str">
        <x:v>High</x:v>
      </x:c>
      <x:c r="L498" s="56" t="str">
        <x:v>Yes</x:v>
      </x:c>
      <x:c r="M498" s="56"/>
      <x:c r="N498" s="56" t="str">
        <x:v>Every shade requires exact OTC mapping.</x:v>
      </x:c>
      <x:c r="O498" s="56" t="str">
        <x:v>Codex</x:v>
      </x:c>
    </x:row>
    <x:row r="499" ht="112" customHeight="1">
      <x:c r="A499" s="56" t="str">
        <x:v>SRC-DJ-032</x:v>
      </x:c>
      <x:c r="B499" s="56" t="str">
        <x:v>KB010</x:v>
      </x:c>
      <x:c r="C499" s="56" t="str">
        <x:v>Sephora Ceramidin review depth</x:v>
      </x:c>
      <x:c r="D499" s="56" t="str">
        <x:v>Sephora displayed about 825 reviews for Ceramidin, corroborating durable prestige awareness; current official/Amazon MSRP is $52.</x:v>
      </x:c>
      <x:c r="E499" s="56" t="str">
        <x:v>Sephora U.S.</x:v>
      </x:c>
      <x:c r="F499" s="56" t="str">
        <x:v>https://www.sephora.com/product/dr-jart-ceramidin-tm-skin-barrier-moisturizing-cream-P504007</x:v>
      </x:c>
      <x:c r="G499" s="56" t="str">
        <x:v>Authorized Retailer Product Page</x:v>
      </x:c>
      <x:c r="H499" s="56"/>
      <x:c r="I499" s="56" t="str">
        <x:v>2026-07-31</x:v>
      </x:c>
      <x:c r="J499" s="56" t="str">
        <x:v>Verified Retailer Review Fact</x:v>
      </x:c>
      <x:c r="K499" s="56" t="str">
        <x:v>High</x:v>
      </x:c>
      <x:c r="L499" s="56" t="str">
        <x:v>Yes</x:v>
      </x:c>
      <x:c r="M499" s="56"/>
      <x:c r="N499" s="56" t="str">
        <x:v>A cached $49 price may lag the current $52 official price.</x:v>
      </x:c>
      <x:c r="O499" s="56" t="str">
        <x:v>Codex</x:v>
      </x:c>
    </x:row>
    <x:row r="500" ht="112" customHeight="1">
      <x:c r="A500" s="56" t="str">
        <x:v>SRC-DJ-033</x:v>
      </x:c>
      <x:c r="B500" s="56" t="str">
        <x:v>KB010</x:v>
      </x:c>
      <x:c r="C500" s="56" t="str">
        <x:v>Sephora Cryo Rubber review depth</x:v>
      </x:c>
      <x:c r="D500" s="56" t="str">
        <x:v>Sephora's rubber-mask category displayed Dr.Jart+ Cryo Rubber variants near $16 with review counts around 210-232.</x:v>
      </x:c>
      <x:c r="E500" s="56" t="str">
        <x:v>Sephora U.S.</x:v>
      </x:c>
      <x:c r="F500" s="56" t="str">
        <x:v>https://www.sephora.com/buy/rubber-face-masks</x:v>
      </x:c>
      <x:c r="G500" s="56" t="str">
        <x:v>Authorized Retailer Category Page</x:v>
      </x:c>
      <x:c r="H500" s="56"/>
      <x:c r="I500" s="56" t="str">
        <x:v>2026-07-31</x:v>
      </x:c>
      <x:c r="J500" s="56" t="str">
        <x:v>Verified Retailer Review / Price Fact</x:v>
      </x:c>
      <x:c r="K500" s="56" t="str">
        <x:v>High</x:v>
      </x:c>
      <x:c r="L500" s="56" t="str">
        <x:v>Yes</x:v>
      </x:c>
      <x:c r="M500" s="56"/>
      <x:c r="N500" s="56" t="str">
        <x:v>Variant-specific counts and prices change.</x:v>
      </x:c>
      <x:c r="O500" s="56" t="str">
        <x:v>Codex</x:v>
      </x:c>
    </x:row>
    <x:row r="501" ht="112" customHeight="1">
      <x:c r="A501" s="56" t="str">
        <x:v>SRC-DJ-034</x:v>
      </x:c>
      <x:c r="B501" s="56" t="str">
        <x:v>KB010</x:v>
      </x:c>
      <x:c r="C501" s="56" t="str">
        <x:v>Sephora at Kohl's breadth</x:v>
      </x:c>
      <x:c r="D501" s="56" t="str">
        <x:v>Kohl's displayed 10 relevant Dr.Jart+ results, including Cicapair, Ceramidin and the Cicapair moisturizer with strong review aggregates.</x:v>
      </x:c>
      <x:c r="E501" s="56" t="str">
        <x:v>Kohl's / Sephora</x:v>
      </x:c>
      <x:c r="F501" s="56" t="str">
        <x:v>https://www.kohls.com/catalog/sephora-dr-jart-korean-beauty-combination-skin-cream-skincare.jsp</x:v>
      </x:c>
      <x:c r="G501" s="56" t="str">
        <x:v>Authorized Retailer Search Page</x:v>
      </x:c>
      <x:c r="H501" s="56"/>
      <x:c r="I501" s="56" t="str">
        <x:v>2026-07-31</x:v>
      </x:c>
      <x:c r="J501" s="56" t="str">
        <x:v>Verified Retailer Display</x:v>
      </x:c>
      <x:c r="K501" s="56" t="str">
        <x:v>High</x:v>
      </x:c>
      <x:c r="L501" s="56" t="str">
        <x:v>Yes</x:v>
      </x:c>
      <x:c r="M501" s="56"/>
      <x:c r="N501" s="56" t="str">
        <x:v>Assortment and review syndication change.</x:v>
      </x:c>
      <x:c r="O501" s="56" t="str">
        <x:v>Codex</x:v>
      </x:c>
    </x:row>
    <x:row r="502" ht="112" customHeight="1">
      <x:c r="A502" s="56" t="str">
        <x:v>SRC-DJ-035</x:v>
      </x:c>
      <x:c r="B502" s="56" t="str">
        <x:v>KB010</x:v>
      </x:c>
      <x:c r="C502" s="56" t="str">
        <x:v>Target Plus provenance risk</x:v>
      </x:c>
      <x:c r="D502" s="56" t="str">
        <x:v>Target page for Ceramidin stated sold and shipped by SleekShop at $52.99; seller authorization was not established and the page contained an apparent specification error.</x:v>
      </x:c>
      <x:c r="E502" s="56" t="str">
        <x:v>Target Plus</x:v>
      </x:c>
      <x:c r="F502" s="56" t="str">
        <x:v>https://www.target.com/p/-/A-91377262</x:v>
      </x:c>
      <x:c r="G502" s="56" t="str">
        <x:v>Third-Party Marketplace Listing</x:v>
      </x:c>
      <x:c r="H502" s="56"/>
      <x:c r="I502" s="56" t="str">
        <x:v>2026-07-31</x:v>
      </x:c>
      <x:c r="J502" s="56" t="str">
        <x:v>Verified Risk Signal</x:v>
      </x:c>
      <x:c r="K502" s="56" t="str">
        <x:v>Medium-High</x:v>
      </x:c>
      <x:c r="L502" s="56" t="str">
        <x:v>Yes</x:v>
      </x:c>
      <x:c r="M502" s="56"/>
      <x:c r="N502" s="56" t="str">
        <x:v>Do not treat as authorized Target distribution without written confirmation.</x:v>
      </x:c>
      <x:c r="O502" s="56" t="str">
        <x:v>Codex</x:v>
      </x:c>
    </x:row>
    <x:row r="503" ht="112" customHeight="1">
      <x:c r="A503" s="56" t="str">
        <x:v>SRC-DJ-036</x:v>
      </x:c>
      <x:c r="B503" s="56" t="str">
        <x:v>KB010</x:v>
      </x:c>
      <x:c r="C503" s="56" t="str">
        <x:v>Walmart marketplace price and provenance risk</x:v>
      </x:c>
      <x:c r="D503" s="56" t="str">
        <x:v>Walmart displayed about 25 Dr.Jart+ marketplace results and material discounts versus official MSRP; seller authorization and provenance were not established.</x:v>
      </x:c>
      <x:c r="E503" s="56" t="str">
        <x:v>Walmart Marketplace</x:v>
      </x:c>
      <x:c r="F503" s="56" t="str">
        <x:v>https://www.walmart.com/c/kp/jart</x:v>
      </x:c>
      <x:c r="G503" s="56" t="str">
        <x:v>Third-Party Marketplace Search</x:v>
      </x:c>
      <x:c r="H503" s="56"/>
      <x:c r="I503" s="56" t="str">
        <x:v>2026-07-31</x:v>
      </x:c>
      <x:c r="J503" s="56" t="str">
        <x:v>Verified Risk Signal</x:v>
      </x:c>
      <x:c r="K503" s="56" t="str">
        <x:v>Medium-High</x:v>
      </x:c>
      <x:c r="L503" s="56" t="str">
        <x:v>Yes</x:v>
      </x:c>
      <x:c r="M503" s="56"/>
      <x:c r="N503" s="56" t="str">
        <x:v>Gray-market, counterfeit and channel-conflict risk.</x:v>
      </x:c>
      <x:c r="O503" s="56" t="str">
        <x:v>Codex</x:v>
      </x:c>
    </x:row>
    <x:row r="504" ht="112" customHeight="1">
      <x:c r="A504" s="56" t="str">
        <x:v>SRC-DJ-037</x:v>
      </x:c>
      <x:c r="B504" s="56" t="str">
        <x:v>KB010</x:v>
      </x:c>
      <x:c r="C504" s="56" t="str">
        <x:v>Reddit — Cicapair orange/cakey application risk</x:v>
      </x:c>
      <x:c r="D504" s="56" t="str">
        <x:v>Users discuss orange cast, skin-tone mismatch and cakey application despite strong visible redness correction.</x:v>
      </x:c>
      <x:c r="E504" s="56" t="str">
        <x:v>Reddit r/SkincareAddiction</x:v>
      </x:c>
      <x:c r="F504" s="56" t="str">
        <x:v>https://www.reddit.com/r/SkincareAddiction/comments/1b0uu70/how_do_i_use_dr_jart_cicapair_cream_i_cannot_get/</x:v>
      </x:c>
      <x:c r="G504" s="56" t="str">
        <x:v>Consumer Forum</x:v>
      </x:c>
      <x:c r="H504" s="56"/>
      <x:c r="I504" s="56" t="str">
        <x:v>2026-07-31</x:v>
      </x:c>
      <x:c r="J504" s="56" t="str">
        <x:v>Anecdotal Consumer Evidence</x:v>
      </x:c>
      <x:c r="K504" s="56" t="str">
        <x:v>Low-Medium</x:v>
      </x:c>
      <x:c r="L504" s="56" t="str">
        <x:v>Mixed</x:v>
      </x:c>
      <x:c r="M504" s="56"/>
      <x:c r="N504" s="56" t="str">
        <x:v>Self-selected; formula/version may vary.</x:v>
      </x:c>
      <x:c r="O504" s="56" t="str">
        <x:v>Codex</x:v>
      </x:c>
    </x:row>
    <x:row r="505" ht="112" customHeight="1">
      <x:c r="A505" s="56" t="str">
        <x:v>SRC-DJ-038</x:v>
      </x:c>
      <x:c r="B505" s="56" t="str">
        <x:v>KB010</x:v>
      </x:c>
      <x:c r="C505" s="56" t="str">
        <x:v>Reddit — reformulation and flaking</x:v>
      </x:c>
      <x:c r="D505" s="56" t="str">
        <x:v>Users discuss a reformulated Cicapair/Ceramidin experience, including good redness correction but visible flaking and perceived lower Ceramidin moisture.</x:v>
      </x:c>
      <x:c r="E505" s="56" t="str">
        <x:v>Reddit r/SkincareAddiction</x:v>
      </x:c>
      <x:c r="F505" s="56" t="str">
        <x:v>https://www.reddit.com/r/SkincareAddiction/comments/14486ia/has_anyone_tried_the_reformulated_dr_jart_color/</x:v>
      </x:c>
      <x:c r="G505" s="56" t="str">
        <x:v>Consumer Forum</x:v>
      </x:c>
      <x:c r="H505" s="56"/>
      <x:c r="I505" s="56" t="str">
        <x:v>2026-07-31</x:v>
      </x:c>
      <x:c r="J505" s="56" t="str">
        <x:v>Anecdotal Product-Version Risk</x:v>
      </x:c>
      <x:c r="K505" s="56" t="str">
        <x:v>Low-Medium</x:v>
      </x:c>
      <x:c r="L505" s="56" t="str">
        <x:v>Mixed</x:v>
      </x:c>
      <x:c r="M505" s="56"/>
      <x:c r="N505" s="56" t="str">
        <x:v>No defect finding; supports version transparency.</x:v>
      </x:c>
      <x:c r="O505" s="56" t="str">
        <x:v>Codex</x:v>
      </x:c>
    </x:row>
    <x:row r="506" ht="112" customHeight="1">
      <x:c r="A506" s="56" t="str">
        <x:v>SRC-DJ-039</x:v>
      </x:c>
      <x:c r="B506" s="56" t="str">
        <x:v>KB010</x:v>
      </x:c>
      <x:c r="C506" s="56" t="str">
        <x:v>Reddit — legacy awareness and price objection</x:v>
      </x:c>
      <x:c r="D506" s="56" t="str">
        <x:v>Users recognize Dr.Jart+ as an early K-Beauty gateway brand but repeatedly cite high U.S. prices and cheaper comparable Asian-beauty products.</x:v>
      </x:c>
      <x:c r="E506" s="56" t="str">
        <x:v>Reddit r/AsianBeauty</x:v>
      </x:c>
      <x:c r="F506" s="56" t="str">
        <x:v>https://www.reddit.com/r/AsianBeauty/comments/137852a/why_doesnt_dr_jart_get_more_love/</x:v>
      </x:c>
      <x:c r="G506" s="56" t="str">
        <x:v>Consumer Forum</x:v>
      </x:c>
      <x:c r="H506" s="56"/>
      <x:c r="I506" s="56" t="str">
        <x:v>2026-07-31</x:v>
      </x:c>
      <x:c r="J506" s="56" t="str">
        <x:v>Anecdotal Awareness / Value Evidence</x:v>
      </x:c>
      <x:c r="K506" s="56" t="str">
        <x:v>Low-Medium</x:v>
      </x:c>
      <x:c r="L506" s="56" t="str">
        <x:v>Mixed</x:v>
      </x:c>
      <x:c r="M506" s="56"/>
      <x:c r="N506" s="56" t="str">
        <x:v>Not necessarily U.S.-specific.</x:v>
      </x:c>
      <x:c r="O506" s="56" t="str">
        <x:v>Codex</x:v>
      </x:c>
    </x:row>
    <x:row r="507" ht="112" customHeight="1">
      <x:c r="A507" s="56" t="str">
        <x:v>SRC-DJ-040</x:v>
      </x:c>
      <x:c r="B507" s="56" t="str">
        <x:v>KB010</x:v>
      </x:c>
      <x:c r="C507" s="56" t="str">
        <x:v>Reddit — best/worst product themes</x:v>
      </x:c>
      <x:c r="D507" s="56" t="str">
        <x:v>Users praise Ceramidin barrier recovery and Cryo Rubber experience while reporting Cicapair breakouts, Ceramidin stickiness and high single-use mask prices.</x:v>
      </x:c>
      <x:c r="E507" s="56" t="str">
        <x:v>Reddit r/AsianBeauty</x:v>
      </x:c>
      <x:c r="F507" s="56" t="str">
        <x:v>https://www.reddit.com/r/AsianBeauty/comments/mvwubp/best_worst_of_dr_jart/</x:v>
      </x:c>
      <x:c r="G507" s="56" t="str">
        <x:v>Consumer Forum</x:v>
      </x:c>
      <x:c r="H507" s="56"/>
      <x:c r="I507" s="56" t="str">
        <x:v>2026-07-31</x:v>
      </x:c>
      <x:c r="J507" s="56" t="str">
        <x:v>Anecdotal Consumer Evidence</x:v>
      </x:c>
      <x:c r="K507" s="56" t="str">
        <x:v>Low-Medium</x:v>
      </x:c>
      <x:c r="L507" s="56" t="str">
        <x:v>Mixed</x:v>
      </x:c>
      <x:c r="M507" s="56"/>
      <x:c r="N507" s="56" t="str">
        <x:v>Older formula/version may differ.</x:v>
      </x:c>
      <x:c r="O507" s="56" t="str">
        <x:v>Codex</x:v>
      </x:c>
    </x:row>
    <x:row r="508" ht="112" customHeight="1">
      <x:c r="A508" s="56" t="str">
        <x:v>SRC-DJ-041</x:v>
      </x:c>
      <x:c r="B508" s="56" t="str">
        <x:v>KB010</x:v>
      </x:c>
      <x:c r="C508" s="56" t="str">
        <x:v>Reddit — Amazon authenticity concern</x:v>
      </x:c>
      <x:c r="D508" s="56" t="str">
        <x:v>Consumers ask whether discounted Dr.Jart+ Amazon Ceramidin inventory is authentic, illustrating persistent seller/provenance concern.</x:v>
      </x:c>
      <x:c r="E508" s="56" t="str">
        <x:v>Reddit r/SkincareAddiction</x:v>
      </x:c>
      <x:c r="F508" s="56" t="str">
        <x:v>https://www.reddit.com/r/SkincareAddiction/comments/1b3l540/is_dr_jart_ceramidin_on_amazon_fake/</x:v>
      </x:c>
      <x:c r="G508" s="56" t="str">
        <x:v>Consumer Forum</x:v>
      </x:c>
      <x:c r="H508" s="56"/>
      <x:c r="I508" s="56" t="str">
        <x:v>2026-07-31</x:v>
      </x:c>
      <x:c r="J508" s="56" t="str">
        <x:v>Anecdotal Counterfeit Risk</x:v>
      </x:c>
      <x:c r="K508" s="56" t="str">
        <x:v>Low-Medium</x:v>
      </x:c>
      <x:c r="L508" s="56" t="str">
        <x:v>Mixed</x:v>
      </x:c>
      <x:c r="M508" s="56"/>
      <x:c r="N508" s="56" t="str">
        <x:v>No counterfeit finding; use only authorized seller documentation.</x:v>
      </x:c>
      <x:c r="O508" s="56" t="str">
        <x:v>Codex</x:v>
      </x:c>
    </x:row>
    <x:row r="509" ht="112" customHeight="1">
      <x:c r="A509" s="56" t="str">
        <x:v>SRC-DJ-042</x:v>
      </x:c>
      <x:c r="B509" s="56" t="str">
        <x:v>KB010</x:v>
      </x:c>
      <x:c r="C509" s="56" t="str">
        <x:v>Independent editorial — Ceramidin</x:v>
      </x:c>
      <x:c r="D509" s="56" t="str">
        <x:v>Marie Claire identified Ceramidin as strongly hydrating and long-lasting for sensitive skin while noting possible pilling under makeup.</x:v>
      </x:c>
      <x:c r="E509" s="56" t="str">
        <x:v>Marie Claire</x:v>
      </x:c>
      <x:c r="F509" s="56" t="str">
        <x:v>https://www.marieclaire.com/beauty/best-moisturizers-sensitive-skin/</x:v>
      </x:c>
      <x:c r="G509" s="56" t="str">
        <x:v>Independent Editorial / Affiliate Commerce</x:v>
      </x:c>
      <x:c r="H509" s="56"/>
      <x:c r="I509" s="56" t="str">
        <x:v>2026-07-31</x:v>
      </x:c>
      <x:c r="J509" s="56" t="str">
        <x:v>Independent Editorial Evidence</x:v>
      </x:c>
      <x:c r="K509" s="56" t="str">
        <x:v>Medium-High</x:v>
      </x:c>
      <x:c r="L509" s="56" t="str">
        <x:v>Yes</x:v>
      </x:c>
      <x:c r="M509" s="56"/>
      <x:c r="N509" s="56" t="str">
        <x:v>Not clinical evidence; affiliate context may apply.</x:v>
      </x:c>
      <x:c r="O509" s="56" t="str">
        <x:v>Codex</x:v>
      </x:c>
    </x:row>
    <x:row r="510" ht="112" customHeight="1">
      <x:c r="A510" s="56" t="str">
        <x:v>SRC-DJ-043</x:v>
      </x:c>
      <x:c r="B510" s="56" t="str">
        <x:v>KB010</x:v>
      </x:c>
      <x:c r="C510" s="56" t="str">
        <x:v>Independent editorial — Cryo Rubber</x:v>
      </x:c>
      <x:c r="D510" s="56" t="str">
        <x:v>Who What Wear praised Cryo Rubber's cooling adherence and glow while noting strong smell and high price.</x:v>
      </x:c>
      <x:c r="E510" s="56" t="str">
        <x:v>Who What Wear</x:v>
      </x:c>
      <x:c r="F510" s="56" t="str">
        <x:v>https://www.whowhatwear.com/beauty/skin/best-hydrating-face-mask</x:v>
      </x:c>
      <x:c r="G510" s="56" t="str">
        <x:v>Independent Editorial / Affiliate Commerce</x:v>
      </x:c>
      <x:c r="H510" s="56"/>
      <x:c r="I510" s="56" t="str">
        <x:v>2026-07-31</x:v>
      </x:c>
      <x:c r="J510" s="56" t="str">
        <x:v>Independent Editorial Evidence</x:v>
      </x:c>
      <x:c r="K510" s="56" t="str">
        <x:v>Medium-High</x:v>
      </x:c>
      <x:c r="L510" s="56" t="str">
        <x:v>Yes</x:v>
      </x:c>
      <x:c r="M510" s="56"/>
      <x:c r="N510" s="56" t="str">
        <x:v>Not clinical evidence; affiliate context may apply.</x:v>
      </x:c>
      <x:c r="O510" s="56" t="str">
        <x:v>Codex</x:v>
      </x:c>
    </x:row>
    <x:row r="511" ht="112" customHeight="1">
      <x:c r="A511" s="56" t="str">
        <x:v>SRC-DJ-044</x:v>
      </x:c>
      <x:c r="B511" s="56" t="str">
        <x:v>KB010</x:v>
      </x:c>
      <x:c r="C511" s="56" t="str">
        <x:v>Competitor — Erborian CC Red Correct</x:v>
      </x:c>
      <x:c r="D511" s="56" t="str">
        <x:v>Official U.S. page listed 45 mL at $46; Sephora displayed $26-$46 and about 413 reviews.</x:v>
      </x:c>
      <x:c r="E511" s="56" t="str">
        <x:v>Erborian / Sephora</x:v>
      </x:c>
      <x:c r="F511" s="56" t="str">
        <x:v>https://usa.erborian.com/cc-red-correct---color-correcting-cream-6AA10670.html</x:v>
      </x:c>
      <x:c r="G511" s="56" t="str">
        <x:v>Official Competitor Product Page</x:v>
      </x:c>
      <x:c r="H511" s="56"/>
      <x:c r="I511" s="56" t="str">
        <x:v>2026-07-31</x:v>
      </x:c>
      <x:c r="J511" s="56" t="str">
        <x:v>Verified Competitor Fact</x:v>
      </x:c>
      <x:c r="K511" s="56" t="str">
        <x:v>High</x:v>
      </x:c>
      <x:c r="L511" s="56" t="str">
        <x:v>Yes</x:v>
      </x:c>
      <x:c r="M511" s="56"/>
      <x:c r="N511" s="56" t="str">
        <x:v>SPF and package versions can change.</x:v>
      </x:c>
      <x:c r="O511" s="56" t="str">
        <x:v>Codex</x:v>
      </x:c>
    </x:row>
    <x:row r="512" ht="112" customHeight="1">
      <x:c r="A512" s="56" t="str">
        <x:v>SRC-DJ-045</x:v>
      </x:c>
      <x:c r="B512" s="56" t="str">
        <x:v>KB010</x:v>
      </x:c>
      <x:c r="C512" s="56" t="str">
        <x:v>Competitor — Hero Rescue Balm +Red Correct</x:v>
      </x:c>
      <x:c r="D512" s="56" t="str">
        <x:v>Target displayed 15 mL at $12.89 with 3.9/1,746 and fair-to-medium post-blemish redness positioning.</x:v>
      </x:c>
      <x:c r="E512" s="56" t="str">
        <x:v>Target / Hero Cosmetics</x:v>
      </x:c>
      <x:c r="F512" s="56" t="str">
        <x:v>https://www.target.com/p/-/A-94569157</x:v>
      </x:c>
      <x:c r="G512" s="56" t="str">
        <x:v>Authorized Competitor Retailer</x:v>
      </x:c>
      <x:c r="H512" s="56"/>
      <x:c r="I512" s="56" t="str">
        <x:v>2026-07-31</x:v>
      </x:c>
      <x:c r="J512" s="56" t="str">
        <x:v>Verified Competitor Fact</x:v>
      </x:c>
      <x:c r="K512" s="56" t="str">
        <x:v>High</x:v>
      </x:c>
      <x:c r="L512" s="56" t="str">
        <x:v>Yes</x:v>
      </x:c>
      <x:c r="M512" s="56"/>
      <x:c r="N512" s="56" t="str">
        <x:v>2026 formula rollout and incentivized reviews require version-aware comparison.</x:v>
      </x:c>
      <x:c r="O512" s="56" t="str">
        <x:v>Codex</x:v>
      </x:c>
    </x:row>
    <x:row r="513" ht="112" customHeight="1">
      <x:c r="A513" s="56" t="str">
        <x:v>SRC-DJ-046</x:v>
      </x:c>
      <x:c r="B513" s="56" t="str">
        <x:v>KB010</x:v>
      </x:c>
      <x:c r="C513" s="56" t="str">
        <x:v>Competitor — AESTURA ATOBARRIER365 Cream</x:v>
      </x:c>
      <x:c r="D513" s="56" t="str">
        <x:v>Sephora listed the 80 mL ceramide/niacinamide cream near $32, creating a substantially lower price-per-mL barrier alternative.</x:v>
      </x:c>
      <x:c r="E513" s="56" t="str">
        <x:v>Sephora / AESTURA</x:v>
      </x:c>
      <x:c r="F513" s="56" t="str">
        <x:v>https://www.sephora.com/product/atobarrier365-cream-with-ceramides-niacinamide-for-skin-moisture-barrier-repair-P515494</x:v>
      </x:c>
      <x:c r="G513" s="56" t="str">
        <x:v>Authorized Competitor Retailer</x:v>
      </x:c>
      <x:c r="H513" s="56"/>
      <x:c r="I513" s="56" t="str">
        <x:v>2026-07-31</x:v>
      </x:c>
      <x:c r="J513" s="56" t="str">
        <x:v>Verified Competitor Fact</x:v>
      </x:c>
      <x:c r="K513" s="56" t="str">
        <x:v>High</x:v>
      </x:c>
      <x:c r="L513" s="56" t="str">
        <x:v>Yes</x:v>
      </x:c>
      <x:c r="M513" s="56"/>
      <x:c r="N513" s="56" t="str">
        <x:v>Review counts and promotion change.</x:v>
      </x:c>
      <x:c r="O513" s="56" t="str">
        <x:v>Codex</x:v>
      </x:c>
    </x:row>
    <x:row r="514" ht="112" customHeight="1">
      <x:c r="A514" s="56" t="str">
        <x:v>SRC-DJ-047</x:v>
      </x:c>
      <x:c r="B514" s="56" t="str">
        <x:v>KB010</x:v>
      </x:c>
      <x:c r="C514" s="56" t="str">
        <x:v>Competitor — Biodance mask</x:v>
      </x:c>
      <x:c r="D514" s="56" t="str">
        <x:v>Official Biodance page positions a four-pack of Bio-Collagen Real Deep Masks near $19 as a multi-hour viral hydrogel alternative.</x:v>
      </x:c>
      <x:c r="E514" s="56" t="str">
        <x:v>Biodance Official</x:v>
      </x:c>
      <x:c r="F514" s="56" t="str">
        <x:v>https://biodance.com/products/bio-collagen-real-deep-mask</x:v>
      </x:c>
      <x:c r="G514" s="56" t="str">
        <x:v>Official Competitor Product Page</x:v>
      </x:c>
      <x:c r="H514" s="56"/>
      <x:c r="I514" s="56" t="str">
        <x:v>2026-07-31</x:v>
      </x:c>
      <x:c r="J514" s="56" t="str">
        <x:v>Verified Competitor Fact</x:v>
      </x:c>
      <x:c r="K514" s="56" t="str">
        <x:v>High</x:v>
      </x:c>
      <x:c r="L514" s="56" t="str">
        <x:v>Yes</x:v>
      </x:c>
      <x:c r="M514" s="56"/>
      <x:c r="N514" s="56" t="str">
        <x:v>Different treatment time, material and claims.</x:v>
      </x:c>
      <x:c r="O514" s="56" t="str">
        <x:v>Codex</x:v>
      </x:c>
    </x:row>
    <x:row r="515" ht="112" customHeight="1">
      <x:c r="A515" s="56" t="str">
        <x:v>SRC-DJ-048</x:v>
      </x:c>
      <x:c r="B515" s="56" t="str">
        <x:v>KB010</x:v>
      </x:c>
      <x:c r="C515" s="56" t="str">
        <x:v>Competitor — IT Cosmetics CC+ Cream</x:v>
      </x:c>
      <x:c r="D515" s="56" t="str">
        <x:v>Sephora displayed the 32 mL SPF 50+ CC cream at $39 with about 8.7K reviews and 556K loves; current editorial coverage cites 30 shades.</x:v>
      </x:c>
      <x:c r="E515" s="56" t="str">
        <x:v>Sephora / IT Cosmetics</x:v>
      </x:c>
      <x:c r="F515" s="56" t="str">
        <x:v>https://www.sephora.com/product/your-skin-but-better-cc-cream-spf-50-P411885</x:v>
      </x:c>
      <x:c r="G515" s="56" t="str">
        <x:v>Authorized Competitor Retailer</x:v>
      </x:c>
      <x:c r="H515" s="56"/>
      <x:c r="I515" s="56" t="str">
        <x:v>2026-07-31</x:v>
      </x:c>
      <x:c r="J515" s="56" t="str">
        <x:v>Verified Competitor Fact</x:v>
      </x:c>
      <x:c r="K515" s="56" t="str">
        <x:v>High</x:v>
      </x:c>
      <x:c r="L515" s="56" t="str">
        <x:v>Yes</x:v>
      </x:c>
      <x:c r="M515" s="56"/>
      <x:c r="N515" s="56" t="str">
        <x:v>Shade count and formulation may change.</x:v>
      </x:c>
      <x:c r="O515" s="56" t="str">
        <x:v>Codex</x:v>
      </x:c>
    </x:row>
    <x:row r="516" ht="112" customHeight="1">
      <x:c r="A516" s="56" t="str">
        <x:v>SRC-DJ-049</x:v>
      </x:c>
      <x:c r="B516" s="56" t="str">
        <x:v>KB010</x:v>
      </x:c>
      <x:c r="C516" s="56" t="str">
        <x:v>FDA — MoCRA registration and listing</x:v>
      </x:c>
      <x:c r="D516" s="56" t="str">
        <x:v>FDA states manufacturers/processors must register facilities and responsible persons must list marketed cosmetic products with ingredients, with ongoing renewals/updates.</x:v>
      </x:c>
      <x:c r="E516" s="56" t="str">
        <x:v>U.S. FDA</x:v>
      </x:c>
      <x:c r="F516" s="56" t="str">
        <x:v>https://www.fda.gov/cosmetics/registration-listing-cosmetic-product-facilities-and-products</x:v>
      </x:c>
      <x:c r="G516" s="56" t="str">
        <x:v>Regulator</x:v>
      </x:c>
      <x:c r="H516" s="56"/>
      <x:c r="I516" s="56" t="str">
        <x:v>2026-07-31</x:v>
      </x:c>
      <x:c r="J516" s="56" t="str">
        <x:v>Verified Regulatory Requirement</x:v>
      </x:c>
      <x:c r="K516" s="56" t="str">
        <x:v>High</x:v>
      </x:c>
      <x:c r="L516" s="56" t="str">
        <x:v>Yes</x:v>
      </x:c>
      <x:c r="M516" s="56"/>
      <x:c r="N516" s="56" t="str">
        <x:v>Registration/listing is not FDA approval; verify exact responsible person and facilities.</x:v>
      </x:c>
      <x:c r="O516" s="56" t="str">
        <x:v>Codex</x:v>
      </x:c>
    </x:row>
    <x:row r="517" ht="112" customHeight="1">
      <x:c r="A517" s="56" t="str">
        <x:v>SRC-DJ-050</x:v>
      </x:c>
      <x:c r="B517" s="56" t="str">
        <x:v>KB010</x:v>
      </x:c>
      <x:c r="C517" s="56" t="str">
        <x:v>FDA — cosmetic claims classification</x:v>
      </x:c>
      <x:c r="D517" s="56" t="str">
        <x:v>FDA states cosmetic claims must be truthful and not misleading, and disease-treatment or structure/function claims can make a product a drug.</x:v>
      </x:c>
      <x:c r="E517" s="56" t="str">
        <x:v>U.S. FDA</x:v>
      </x:c>
      <x:c r="F517" s="56" t="str">
        <x:v>https://www.fda.gov/cosmetics/cosmetics-labeling/cosmetics-labeling-claims</x:v>
      </x:c>
      <x:c r="G517" s="56" t="str">
        <x:v>Regulator</x:v>
      </x:c>
      <x:c r="H517" s="56"/>
      <x:c r="I517" s="56" t="str">
        <x:v>2026-07-31</x:v>
      </x:c>
      <x:c r="J517" s="56" t="str">
        <x:v>Verified Regulatory Requirement</x:v>
      </x:c>
      <x:c r="K517" s="56" t="str">
        <x:v>High</x:v>
      </x:c>
      <x:c r="L517" s="56" t="str">
        <x:v>Yes</x:v>
      </x:c>
      <x:c r="M517" s="56"/>
      <x:c r="N517" s="56" t="str">
        <x:v>Review redness, rosacea, barrier repair, post-procedure and anti-aging claims.</x:v>
      </x:c>
      <x:c r="O517" s="56" t="str">
        <x:v>Codex</x:v>
      </x:c>
    </x:row>
    <x:row r="518" ht="112" customHeight="1">
      <x:c r="A518" s="56" t="str">
        <x:v>SRC-DJ-051</x:v>
      </x:c>
      <x:c r="B518" s="56" t="str">
        <x:v>KB010</x:v>
      </x:c>
      <x:c r="C518" s="56" t="str">
        <x:v>DailyMed — current Cicapair SPF 30 label</x:v>
      </x:c>
      <x:c r="D518" s="56" t="str">
        <x:v>DailyMed lists NDC 49404-156 for current Cicapair Soothing Color Correcting Treatment with titanium dioxide 3.1%, zinc oxide 14.6%, OTC Drug Facts, Have &amp; Be labeler and Estée Lauder registrant.</x:v>
      </x:c>
      <x:c r="E518" s="56" t="str">
        <x:v>DailyMed / U.S. NLM</x:v>
      </x:c>
      <x:c r="F518" s="56" t="str">
        <x:v>https://dailymed.nlm.nih.gov/dailymed/drugInfo.cfm?setid=32c1aba6-5e29-aba9-e063-6394a90a8e56</x:v>
      </x:c>
      <x:c r="G518" s="56" t="str">
        <x:v>Regulatory Drug Label</x:v>
      </x:c>
      <x:c r="H518" s="56" t="str">
        <x:v>2025-04-14</x:v>
      </x:c>
      <x:c r="I518" s="56" t="str">
        <x:v>2026-07-31</x:v>
      </x:c>
      <x:c r="J518" s="56" t="str">
        <x:v>Verified Product-Specific OTC Fact</x:v>
      </x:c>
      <x:c r="K518" s="56" t="str">
        <x:v>High</x:v>
      </x:c>
      <x:c r="L518" s="56" t="str">
        <x:v>Yes</x:v>
      </x:c>
      <x:c r="M518" s="56"/>
      <x:c r="N518" s="56" t="str">
        <x:v>Confirm supplied size, lot, formula and artwork match the current NDC packages.</x:v>
      </x:c>
      <x:c r="O518" s="56" t="str">
        <x:v>Codex</x:v>
      </x:c>
    </x:row>
    <x:row r="519" ht="112" customHeight="1">
      <x:c r="A519" s="56" t="str">
        <x:v>SRC-DJ-052</x:v>
      </x:c>
      <x:c r="B519" s="56" t="str">
        <x:v>KB010</x:v>
      </x:c>
      <x:c r="C519" s="56" t="str">
        <x:v>DailyMed — Premium BB Fair-Light SPF 40 label</x:v>
      </x:c>
      <x:c r="D519" s="56" t="str">
        <x:v>DailyMed lists NDC 49404-148-02 with octinoxate 6.8%, octisalate 4.5%, titanium dioxide 4.8% and zinc oxide 5.0%, updated December 2025.</x:v>
      </x:c>
      <x:c r="E519" s="56" t="str">
        <x:v>DailyMed / U.S. NLM</x:v>
      </x:c>
      <x:c r="F519" s="56" t="str">
        <x:v>https://dailymed.nlm.nih.gov/dailymed/drugInfo.cfm?setid=b38b1b64-b433-4e11-9cf6-2108a552d139</x:v>
      </x:c>
      <x:c r="G519" s="56" t="str">
        <x:v>Regulatory Drug Label</x:v>
      </x:c>
      <x:c r="H519" s="56" t="str">
        <x:v>2025-12-31</x:v>
      </x:c>
      <x:c r="I519" s="56" t="str">
        <x:v>2026-07-31</x:v>
      </x:c>
      <x:c r="J519" s="56" t="str">
        <x:v>Verified Product-Specific OTC Fact</x:v>
      </x:c>
      <x:c r="K519" s="56" t="str">
        <x:v>High</x:v>
      </x:c>
      <x:c r="L519" s="56" t="str">
        <x:v>Yes</x:v>
      </x:c>
      <x:c r="M519" s="56"/>
      <x:c r="N519" s="56" t="str">
        <x:v>Only Fair-Light was verified here; require exact NDC/Drug Facts/label for every shade.</x:v>
      </x:c>
      <x:c r="O519" s="56" t="str">
        <x:v>Codex</x:v>
      </x:c>
    </x:row>
    <x:row r="520" ht="118" customHeight="1">
      <x:c r="A520" s="56" t="str">
        <x:v>SRC-TOR-001</x:v>
      </x:c>
      <x:c r="B520" s="56" t="str">
        <x:v>KB011</x:v>
      </x:c>
      <x:c r="C520" s="56" t="str">
        <x:v>Core verification — official website</x:v>
      </x:c>
      <x:c r="D520" s="56" t="str">
        <x:v>The controlling URL https://torriden.us is the active official U.S. brand storefront and catalog.</x:v>
      </x:c>
      <x:c r="E520" s="56" t="str">
        <x:v>Torriden U.S.</x:v>
      </x:c>
      <x:c r="F520" s="56" t="str">
        <x:v>https://torriden.us</x:v>
      </x:c>
      <x:c r="G520" s="56" t="str">
        <x:v>Official Brand Site</x:v>
      </x:c>
      <x:c r="H520" s="56"/>
      <x:c r="I520" s="56" t="str">
        <x:v>2026-08-01</x:v>
      </x:c>
      <x:c r="J520" s="56" t="str">
        <x:v>Verified Official Website</x:v>
      </x:c>
      <x:c r="K520" s="56" t="str">
        <x:v>High</x:v>
      </x:c>
      <x:c r="L520" s="56" t="str">
        <x:v>Yes</x:v>
      </x:c>
      <x:c r="M520" s="56"/>
      <x:c r="N520" s="56" t="str">
        <x:v>Source Website field was preserved and independently confirmed.</x:v>
      </x:c>
      <x:c r="O520" s="56" t="str">
        <x:v>Codex</x:v>
      </x:c>
    </x:row>
    <x:row r="521" ht="118" customHeight="1">
      <x:c r="A521" s="56" t="str">
        <x:v>SRC-TOR-002</x:v>
      </x:c>
      <x:c r="B521" s="56" t="str">
        <x:v>KB011</x:v>
      </x:c>
      <x:c r="C521" s="56" t="str">
        <x:v>Company identity and legal details</x:v>
      </x:c>
      <x:c r="D521" s="56" t="str">
        <x:v>Official U.S. story/footer identifies Torriden Co., Ltd., owners In-Goo Kwon and Yoon-Hee Lee, business number 760-86-00222, Korean address and torriden.usa@torriden.com.</x:v>
      </x:c>
      <x:c r="E521" s="56" t="str">
        <x:v>Torriden U.S.</x:v>
      </x:c>
      <x:c r="F521" s="56" t="str">
        <x:v>https://torriden.us/pages/torriden-story</x:v>
      </x:c>
      <x:c r="G521" s="56" t="str">
        <x:v>Official Brand / Legal Page</x:v>
      </x:c>
      <x:c r="H521" s="56"/>
      <x:c r="I521" s="56" t="str">
        <x:v>2026-08-01</x:v>
      </x:c>
      <x:c r="J521" s="56" t="str">
        <x:v>Verified Company Fact</x:v>
      </x:c>
      <x:c r="K521" s="56" t="str">
        <x:v>High</x:v>
      </x:c>
      <x:c r="L521" s="56" t="str">
        <x:v>Yes</x:v>
      </x:c>
      <x:c r="M521" s="56"/>
      <x:c r="N521" s="56" t="str">
        <x:v>No public U.S. legal entity, importer or responsible person was confirmed.</x:v>
      </x:c>
      <x:c r="O521" s="56" t="str">
        <x:v>Codex</x:v>
      </x:c>
    </x:row>
    <x:row r="522" ht="118" customHeight="1">
      <x:c r="A522" s="56" t="str">
        <x:v>SRC-TOR-003</x:v>
      </x:c>
      <x:c r="B522" s="56" t="str">
        <x:v>KB011</x:v>
      </x:c>
      <x:c r="C522" s="56" t="str">
        <x:v>Korean company and operating locations</x:v>
      </x:c>
      <x:c r="D522" s="56" t="str">
        <x:v>Official Korean company page identifies Torriden Co., Ltd., Daejeon headquarters/research lab and Seoul Lotte World Tower branch.</x:v>
      </x:c>
      <x:c r="E522" s="56" t="str">
        <x:v>Torriden Korea</x:v>
      </x:c>
      <x:c r="F522" s="56" t="str">
        <x:v>https://www.torriden.com/service/company.php</x:v>
      </x:c>
      <x:c r="G522" s="56" t="str">
        <x:v>Official Corporate Page</x:v>
      </x:c>
      <x:c r="H522" s="56"/>
      <x:c r="I522" s="56" t="str">
        <x:v>2026-08-01</x:v>
      </x:c>
      <x:c r="J522" s="56" t="str">
        <x:v>Verified Company Fact</x:v>
      </x:c>
      <x:c r="K522" s="56" t="str">
        <x:v>High</x:v>
      </x:c>
      <x:c r="L522" s="56" t="str">
        <x:v>Yes</x:v>
      </x:c>
      <x:c r="M522" s="56"/>
      <x:c r="N522" s="56" t="str">
        <x:v>Confirm the exact contracting/manufacturing entity and U.S. roles by SKU.</x:v>
      </x:c>
      <x:c r="O522" s="56" t="str">
        <x:v>Codex</x:v>
      </x:c>
    </x:row>
    <x:row r="523" ht="118" customHeight="1">
      <x:c r="A523" s="56" t="str">
        <x:v>SRC-TOR-004</x:v>
      </x:c>
      <x:c r="B523" s="56" t="str">
        <x:v>KB011</x:v>
      </x:c>
      <x:c r="C523" s="56" t="str">
        <x:v>Core verification — primary category</x:v>
      </x:c>
      <x:c r="D523" s="56" t="str">
        <x:v>Official navigation and collections are led by toner/pad, cleanser, serum, moisturizer, masks and eye/lip care across DIVE IN, BALANCEFUL, SOLID IN and CELLMAZING.</x:v>
      </x:c>
      <x:c r="E523" s="56" t="str">
        <x:v>Torriden U.S.</x:v>
      </x:c>
      <x:c r="F523" s="56" t="str">
        <x:v>https://torriden.us/collections/all</x:v>
      </x:c>
      <x:c r="G523" s="56" t="str">
        <x:v>Official Product Catalog</x:v>
      </x:c>
      <x:c r="H523" s="56"/>
      <x:c r="I523" s="56" t="str">
        <x:v>2026-08-01</x:v>
      </x:c>
      <x:c r="J523" s="56" t="str">
        <x:v>Verified Category Fact</x:v>
      </x:c>
      <x:c r="K523" s="56" t="str">
        <x:v>High</x:v>
      </x:c>
      <x:c r="L523" s="56" t="str">
        <x:v>Yes</x:v>
      </x:c>
      <x:c r="M523" s="56"/>
      <x:c r="N523" s="56" t="str">
        <x:v>Supports skincare as primary category and lip care as a secondary adjacency.</x:v>
      </x:c>
      <x:c r="O523" s="56" t="str">
        <x:v>Codex</x:v>
      </x:c>
    </x:row>
    <x:row r="524" ht="118" customHeight="1">
      <x:c r="A524" s="56" t="str">
        <x:v>SRC-TOR-005</x:v>
      </x:c>
      <x:c r="B524" s="56" t="str">
        <x:v>KB011</x:v>
      </x:c>
      <x:c r="C524" s="56" t="str">
        <x:v>Best-seller and franchise architecture</x:v>
      </x:c>
      <x:c r="D524" s="56" t="str">
        <x:v>Official best-seller/navigation display highlights DIVE IN Soothing Cream, DIVE IN Serum and SOLID IN Lip Essence, with 5D active-delivery franchise architecture.</x:v>
      </x:c>
      <x:c r="E524" s="56" t="str">
        <x:v>Torriden U.S.</x:v>
      </x:c>
      <x:c r="F524" s="56" t="str">
        <x:v>https://torriden.us/collections/best-sellers</x:v>
      </x:c>
      <x:c r="G524" s="56" t="str">
        <x:v>Official Collection Page</x:v>
      </x:c>
      <x:c r="H524" s="56"/>
      <x:c r="I524" s="56" t="str">
        <x:v>2026-08-01</x:v>
      </x:c>
      <x:c r="J524" s="56" t="str">
        <x:v>Verified Hero / Positioning Fact</x:v>
      </x:c>
      <x:c r="K524" s="56" t="str">
        <x:v>High</x:v>
      </x:c>
      <x:c r="L524" s="56" t="str">
        <x:v>Yes</x:v>
      </x:c>
      <x:c r="M524" s="56"/>
      <x:c r="N524" s="56" t="str">
        <x:v>Brand-owned merchandising; marketplace and retailer demand were separately checked.</x:v>
      </x:c>
      <x:c r="O524" s="56" t="str">
        <x:v>Codex</x:v>
      </x:c>
    </x:row>
    <x:row r="525" ht="118" customHeight="1">
      <x:c r="A525" s="56" t="str">
        <x:v>SRC-TOR-006</x:v>
      </x:c>
      <x:c r="B525" s="56" t="str">
        <x:v>KB011</x:v>
      </x:c>
      <x:c r="C525" s="56" t="str">
        <x:v>Core awareness — official Instagram</x:v>
      </x:c>
      <x:c r="D525" s="56" t="str">
        <x:v>Verified @torriden profile displayed 172,237 followers, 16 following and availability at Sephora and Amazon Beauty.</x:v>
      </x:c>
      <x:c r="E525" s="56" t="str">
        <x:v>Instagram / Torriden</x:v>
      </x:c>
      <x:c r="F525" s="56" t="str">
        <x:v>https://www.instagram.com/torriden/</x:v>
      </x:c>
      <x:c r="G525" s="56" t="str">
        <x:v>Official Social Profile</x:v>
      </x:c>
      <x:c r="H525" s="56"/>
      <x:c r="I525" s="56" t="str">
        <x:v>2026-08-01</x:v>
      </x:c>
      <x:c r="J525" s="56" t="str">
        <x:v>Verified Platform Display</x:v>
      </x:c>
      <x:c r="K525" s="56" t="str">
        <x:v>High</x:v>
      </x:c>
      <x:c r="L525" s="56" t="str">
        <x:v>Yes</x:v>
      </x:c>
      <x:c r="M525" s="56"/>
      <x:c r="N525" s="56" t="str">
        <x:v>Counts are dynamic; awareness only.</x:v>
      </x:c>
      <x:c r="O525" s="56" t="str">
        <x:v>Codex</x:v>
      </x:c>
    </x:row>
    <x:row r="526" ht="118" customHeight="1">
      <x:c r="A526" s="56" t="str">
        <x:v>SRC-TOR-007</x:v>
      </x:c>
      <x:c r="B526" s="56" t="str">
        <x:v>KB011</x:v>
      </x:c>
      <x:c r="C526" s="56" t="str">
        <x:v>Core awareness — official TikTok Shop</x:v>
      </x:c>
      <x:c r="D526" s="56" t="str">
        <x:v>Official Torriden U.S. Shop displayed 90.1K+ followers, 154.2K sold, 1,541 videos and about 4.5 rating.</x:v>
      </x:c>
      <x:c r="E526" s="56" t="str">
        <x:v>TikTok Shop U.S.</x:v>
      </x:c>
      <x:c r="F526" s="56" t="str">
        <x:v>https://shop.tiktok.com/us/store/torriden-us/7495586043621444520</x:v>
      </x:c>
      <x:c r="G526" s="56" t="str">
        <x:v>Official Social-Commerce Store</x:v>
      </x:c>
      <x:c r="H526" s="56"/>
      <x:c r="I526" s="56" t="str">
        <x:v>2026-08-01</x:v>
      </x:c>
      <x:c r="J526" s="56" t="str">
        <x:v>Verified Platform Display</x:v>
      </x:c>
      <x:c r="K526" s="56" t="str">
        <x:v>Medium-High</x:v>
      </x:c>
      <x:c r="L526" s="56" t="str">
        <x:v>Yes</x:v>
      </x:c>
      <x:c r="M526" s="56"/>
      <x:c r="N526" s="56" t="str">
        <x:v>Cumulative dynamic store counts; not audited U.S. revenue.</x:v>
      </x:c>
      <x:c r="O526" s="56" t="str">
        <x:v>Codex</x:v>
      </x:c>
    </x:row>
    <x:row r="527" ht="118" customHeight="1">
      <x:c r="A527" s="56" t="str">
        <x:v>SRC-TOR-008</x:v>
      </x:c>
      <x:c r="B527" s="56" t="str">
        <x:v>KB011</x:v>
      </x:c>
      <x:c r="C527" s="56" t="str">
        <x:v>Sephora U.S. launch and awareness</x:v>
      </x:c>
      <x:c r="D527" s="56" t="str">
        <x:v>Launch release states Torriden entered Sephora U.S. stores and online in August 2025 and names DIVE IN Serum as the core hero.</x:v>
      </x:c>
      <x:c r="E527" s="56" t="str">
        <x:v>Torriden / PR Newswire</x:v>
      </x:c>
      <x:c r="F527" s="56" t="str">
        <x:v>https://www.prnewswire.com/news-releases/k-beauty-brand-torriden-launches-at-sephora-302537022.html</x:v>
      </x:c>
      <x:c r="G527" s="56" t="str">
        <x:v>Brand Press Release</x:v>
      </x:c>
      <x:c r="H527" s="56" t="str">
        <x:v>2025-08-25</x:v>
      </x:c>
      <x:c r="I527" s="56" t="str">
        <x:v>2026-08-01</x:v>
      </x:c>
      <x:c r="J527" s="56" t="str">
        <x:v>Verified Channel Launch / Brand-Reported Awareness</x:v>
      </x:c>
      <x:c r="K527" s="56" t="str">
        <x:v>High</x:v>
      </x:c>
      <x:c r="L527" s="56" t="str">
        <x:v>Yes</x:v>
      </x:c>
      <x:c r="M527" s="56"/>
      <x:c r="N527" s="56" t="str">
        <x:v>The one-in-four Korean women ownership statement is brand-sourced and not independently verified here.</x:v>
      </x:c>
      <x:c r="O527" s="56" t="str">
        <x:v>Codex</x:v>
      </x:c>
    </x:row>
    <x:row r="528" ht="118" customHeight="1">
      <x:c r="A528" s="56" t="str">
        <x:v>SRC-TOR-009</x:v>
      </x:c>
      <x:c r="B528" s="56" t="str">
        <x:v>KB011</x:v>
      </x:c>
      <x:c r="C528" s="56" t="str">
        <x:v>Sephora U.S. assortment breadth</x:v>
      </x:c>
      <x:c r="D528" s="56" t="str">
        <x:v>Sephora displayed 11 Torriden results and store/same-day fulfillment filters, confirming current national prestige placement.</x:v>
      </x:c>
      <x:c r="E528" s="56" t="str">
        <x:v>Sephora U.S.</x:v>
      </x:c>
      <x:c r="F528" s="56" t="str">
        <x:v>https://www.sephora.com/brand/torriden</x:v>
      </x:c>
      <x:c r="G528" s="56" t="str">
        <x:v>Authorized National Retailer</x:v>
      </x:c>
      <x:c r="H528" s="56"/>
      <x:c r="I528" s="56" t="str">
        <x:v>2026-08-01</x:v>
      </x:c>
      <x:c r="J528" s="56" t="str">
        <x:v>Verified Retailer Display</x:v>
      </x:c>
      <x:c r="K528" s="56" t="str">
        <x:v>High</x:v>
      </x:c>
      <x:c r="L528" s="56" t="str">
        <x:v>Yes</x:v>
      </x:c>
      <x:c r="M528" s="56"/>
      <x:c r="N528" s="56" t="str">
        <x:v>Assortment, filters and product counts are dynamic.</x:v>
      </x:c>
      <x:c r="O528" s="56" t="str">
        <x:v>Codex</x:v>
      </x:c>
    </x:row>
    <x:row r="529" ht="118" customHeight="1">
      <x:c r="A529" s="56" t="str">
        <x:v>SRC-TOR-010</x:v>
      </x:c>
      <x:c r="B529" s="56" t="str">
        <x:v>KB011</x:v>
      </x:c>
      <x:c r="C529" s="56" t="str">
        <x:v>DIVE IN Serum official product facts</x:v>
      </x:c>
      <x:c r="D529" s="56" t="str">
        <x:v>Official page listed the 50 mL serum at $24 with 208 reviews and five molecular sizes of hyaluronic acid plus panthenol/allantoin positioning.</x:v>
      </x:c>
      <x:c r="E529" s="56" t="str">
        <x:v>Torriden U.S.</x:v>
      </x:c>
      <x:c r="F529" s="56" t="str">
        <x:v>https://torriden.us/products/dive-in-serum</x:v>
      </x:c>
      <x:c r="G529" s="56" t="str">
        <x:v>Official Product Page</x:v>
      </x:c>
      <x:c r="H529" s="56"/>
      <x:c r="I529" s="56" t="str">
        <x:v>2026-08-01</x:v>
      </x:c>
      <x:c r="J529" s="56" t="str">
        <x:v>Verified Product / Price Fact</x:v>
      </x:c>
      <x:c r="K529" s="56" t="str">
        <x:v>High</x:v>
      </x:c>
      <x:c r="L529" s="56" t="str">
        <x:v>Yes</x:v>
      </x:c>
      <x:c r="M529" s="56"/>
      <x:c r="N529" s="56" t="str">
        <x:v>Deep-layer and penetration language requires U.S. claims substantiation review.</x:v>
      </x:c>
      <x:c r="O529" s="56" t="str">
        <x:v>Codex</x:v>
      </x:c>
    </x:row>
    <x:row r="530" ht="118" customHeight="1">
      <x:c r="A530" s="56" t="str">
        <x:v>SRC-TOR-011</x:v>
      </x:c>
      <x:c r="B530" s="56" t="str">
        <x:v>KB011</x:v>
      </x:c>
      <x:c r="C530" s="56" t="str">
        <x:v>DIVE IN Soothing Cream official product facts</x:v>
      </x:c>
      <x:c r="D530" s="56" t="str">
        <x:v>Official page listed 100 mL at $27, with a $22.95 promotion when checked, about 167 reviews and 5D HA/panthenol/allantoin positioning.</x:v>
      </x:c>
      <x:c r="E530" s="56" t="str">
        <x:v>Torriden U.S.</x:v>
      </x:c>
      <x:c r="F530" s="56" t="str">
        <x:v>https://torriden.us/products/dive-in-soothing-cream</x:v>
      </x:c>
      <x:c r="G530" s="56" t="str">
        <x:v>Official Product Page</x:v>
      </x:c>
      <x:c r="H530" s="56"/>
      <x:c r="I530" s="56" t="str">
        <x:v>2026-08-01</x:v>
      </x:c>
      <x:c r="J530" s="56" t="str">
        <x:v>Verified Product / Price / Promotion Fact</x:v>
      </x:c>
      <x:c r="K530" s="56" t="str">
        <x:v>High</x:v>
      </x:c>
      <x:c r="L530" s="56" t="str">
        <x:v>Yes</x:v>
      </x:c>
      <x:c r="M530" s="56"/>
      <x:c r="N530" s="56" t="str">
        <x:v>Tube/jar package and formula-version controls are required.</x:v>
      </x:c>
      <x:c r="O530" s="56" t="str">
        <x:v>Codex</x:v>
      </x:c>
    </x:row>
    <x:row r="531" ht="118" customHeight="1">
      <x:c r="A531" s="56" t="str">
        <x:v>SRC-TOR-012</x:v>
      </x:c>
      <x:c r="B531" s="56" t="str">
        <x:v>KB011</x:v>
      </x:c>
      <x:c r="C531" s="56" t="str">
        <x:v>DIVE IN Toner official product facts</x:v>
      </x:c>
      <x:c r="D531" s="56" t="str">
        <x:v>Official page listed the 300 mL low-pH hydrating toner at $23 with about 53 reviews.</x:v>
      </x:c>
      <x:c r="E531" s="56" t="str">
        <x:v>Torriden U.S.</x:v>
      </x:c>
      <x:c r="F531" s="56" t="str">
        <x:v>https://torriden.us/products/dive-in-toner</x:v>
      </x:c>
      <x:c r="G531" s="56" t="str">
        <x:v>Official Product Page</x:v>
      </x:c>
      <x:c r="H531" s="56"/>
      <x:c r="I531" s="56" t="str">
        <x:v>2026-08-01</x:v>
      </x:c>
      <x:c r="J531" s="56" t="str">
        <x:v>Verified Product / Price Fact</x:v>
      </x:c>
      <x:c r="K531" s="56" t="str">
        <x:v>High</x:v>
      </x:c>
      <x:c r="L531" s="56" t="str">
        <x:v>Yes</x:v>
      </x:c>
      <x:c r="M531" s="56"/>
      <x:c r="N531" s="56" t="str">
        <x:v>Brand-owned claims require substantiation.</x:v>
      </x:c>
      <x:c r="O531" s="56" t="str">
        <x:v>Codex</x:v>
      </x:c>
    </x:row>
    <x:row r="532" ht="118" customHeight="1">
      <x:c r="A532" s="56" t="str">
        <x:v>SRC-TOR-013</x:v>
      </x:c>
      <x:c r="B532" s="56" t="str">
        <x:v>KB011</x:v>
      </x:c>
      <x:c r="C532" s="56" t="str">
        <x:v>DIVE IN Mask official product facts</x:v>
      </x:c>
      <x:c r="D532" s="56" t="str">
        <x:v>Official page listed 10 × 27 mL sheet masks at $33 with about 70 reviews.</x:v>
      </x:c>
      <x:c r="E532" s="56" t="str">
        <x:v>Torriden U.S.</x:v>
      </x:c>
      <x:c r="F532" s="56" t="str">
        <x:v>https://torriden.us/products/dive-in-mask</x:v>
      </x:c>
      <x:c r="G532" s="56" t="str">
        <x:v>Official Product Page</x:v>
      </x:c>
      <x:c r="H532" s="56"/>
      <x:c r="I532" s="56" t="str">
        <x:v>2026-08-01</x:v>
      </x:c>
      <x:c r="J532" s="56" t="str">
        <x:v>Verified Product / Price Fact</x:v>
      </x:c>
      <x:c r="K532" s="56" t="str">
        <x:v>High</x:v>
      </x:c>
      <x:c r="L532" s="56" t="str">
        <x:v>Yes</x:v>
      </x:c>
      <x:c r="M532" s="56"/>
      <x:c r="N532" s="56" t="str">
        <x:v>Single-use price and environmental burden affect repeat economics.</x:v>
      </x:c>
      <x:c r="O532" s="56" t="str">
        <x:v>Codex</x:v>
      </x:c>
    </x:row>
    <x:row r="533" ht="118" customHeight="1">
      <x:c r="A533" s="56" t="str">
        <x:v>SRC-TOR-014</x:v>
      </x:c>
      <x:c r="B533" s="56" t="str">
        <x:v>KB011</x:v>
      </x:c>
      <x:c r="C533" s="56" t="str">
        <x:v>SOLID IN Lip Essence official product facts</x:v>
      </x:c>
      <x:c r="D533" s="56" t="str">
        <x:v>Official page listed 11 mL at $11 with about 54 reviews and five ceramides, jojoba oil and petrolatum positioning.</x:v>
      </x:c>
      <x:c r="E533" s="56" t="str">
        <x:v>Torriden U.S.</x:v>
      </x:c>
      <x:c r="F533" s="56" t="str">
        <x:v>https://torriden.us/products/solid-in-lip-essence-set</x:v>
      </x:c>
      <x:c r="G533" s="56" t="str">
        <x:v>Official Product Page</x:v>
      </x:c>
      <x:c r="H533" s="56"/>
      <x:c r="I533" s="56" t="str">
        <x:v>2026-08-01</x:v>
      </x:c>
      <x:c r="J533" s="56" t="str">
        <x:v>Verified Product / Price Fact</x:v>
      </x:c>
      <x:c r="K533" s="56" t="str">
        <x:v>High</x:v>
      </x:c>
      <x:c r="L533" s="56" t="str">
        <x:v>Yes</x:v>
      </x:c>
      <x:c r="M533" s="56"/>
      <x:c r="N533" s="56" t="str">
        <x:v>Amazon comparison uses a two-pack, not the official single unit.</x:v>
      </x:c>
      <x:c r="O533" s="56" t="str">
        <x:v>Codex</x:v>
      </x:c>
    </x:row>
    <x:row r="534" ht="118" customHeight="1">
      <x:c r="A534" s="56" t="str">
        <x:v>SRC-TOR-015</x:v>
      </x:c>
      <x:c r="B534" s="56" t="str">
        <x:v>KB011</x:v>
      </x:c>
      <x:c r="C534" s="56" t="str">
        <x:v>Amazon U.S. assortment breadth</x:v>
      </x:c>
      <x:c r="D534" s="56" t="str">
        <x:v>Amazon search displayed 126 Torriden results, mixing official TORRIDEN-sold offers, bundles, alternate versions and third-party sellers.</x:v>
      </x:c>
      <x:c r="E534" s="56" t="str">
        <x:v>Amazon U.S.</x:v>
      </x:c>
      <x:c r="F534" s="56" t="str">
        <x:v>https://www.amazon.com/s?k=Torriden</x:v>
      </x:c>
      <x:c r="G534" s="56" t="str">
        <x:v>Marketplace Search</x:v>
      </x:c>
      <x:c r="H534" s="56"/>
      <x:c r="I534" s="56" t="str">
        <x:v>2026-08-01</x:v>
      </x:c>
      <x:c r="J534" s="56" t="str">
        <x:v>Verified Marketplace Breadth / Risk Signal</x:v>
      </x:c>
      <x:c r="K534" s="56" t="str">
        <x:v>Medium-High</x:v>
      </x:c>
      <x:c r="L534" s="56" t="str">
        <x:v>Yes</x:v>
      </x:c>
      <x:c r="M534" s="56"/>
      <x:c r="N534" s="56" t="str">
        <x:v>Search counts and seller mix are dynamic.</x:v>
      </x:c>
      <x:c r="O534" s="56" t="str">
        <x:v>Codex</x:v>
      </x:c>
    </x:row>
    <x:row r="535" ht="118" customHeight="1">
      <x:c r="A535" s="56" t="str">
        <x:v>SRC-TOR-016</x:v>
      </x:c>
      <x:c r="B535" s="56" t="str">
        <x:v>KB011</x:v>
      </x:c>
      <x:c r="C535" s="56" t="str">
        <x:v>Core verification — Amazon DIVE IN Serum</x:v>
      </x:c>
      <x:c r="D535" s="56" t="str">
        <x:v>Direct page showed $22.50, 4.5/4,207, 9K+ bought/month, #1,841 Beauty and #56 Facial Serums; sold by TORRIDEN.</x:v>
      </x:c>
      <x:c r="E535" s="56" t="str">
        <x:v>Amazon U.S.</x:v>
      </x:c>
      <x:c r="F535" s="56" t="str">
        <x:v>https://www.amazon.com/dp/B07WZ2YTDP</x:v>
      </x:c>
      <x:c r="G535" s="56" t="str">
        <x:v>Marketplace / Official Seller Display</x:v>
      </x:c>
      <x:c r="H535" s="56"/>
      <x:c r="I535" s="56" t="str">
        <x:v>2026-08-01</x:v>
      </x:c>
      <x:c r="J535" s="56" t="str">
        <x:v>Verified Platform Display</x:v>
      </x:c>
      <x:c r="K535" s="56" t="str">
        <x:v>High</x:v>
      </x:c>
      <x:c r="L535" s="56" t="str">
        <x:v>Yes</x:v>
      </x:c>
      <x:c r="M535" s="56"/>
      <x:c r="N535" s="56" t="str">
        <x:v>ASIN B07WZ2YTDP; dynamic public badge and rank.</x:v>
      </x:c>
      <x:c r="O535" s="56" t="str">
        <x:v>Codex</x:v>
      </x:c>
    </x:row>
    <x:row r="536" ht="118" customHeight="1">
      <x:c r="A536" s="56" t="str">
        <x:v>SRC-TOR-017</x:v>
      </x:c>
      <x:c r="B536" s="56" t="str">
        <x:v>KB011</x:v>
      </x:c>
      <x:c r="C536" s="56" t="str">
        <x:v>Core verification — Amazon Soothing Cream tube</x:v>
      </x:c>
      <x:c r="D536" s="56" t="str">
        <x:v>Direct page showed $27, 4.5/253 and 1K+ bought/month for the current 100 mL tube; sold by TORRIDEN.</x:v>
      </x:c>
      <x:c r="E536" s="56" t="str">
        <x:v>Amazon U.S.</x:v>
      </x:c>
      <x:c r="F536" s="56" t="str">
        <x:v>https://www.amazon.com/dp/B0CMH3QM8V</x:v>
      </x:c>
      <x:c r="G536" s="56" t="str">
        <x:v>Marketplace / Official Seller Display</x:v>
      </x:c>
      <x:c r="H536" s="56"/>
      <x:c r="I536" s="56" t="str">
        <x:v>2026-08-01</x:v>
      </x:c>
      <x:c r="J536" s="56" t="str">
        <x:v>Verified Platform Display</x:v>
      </x:c>
      <x:c r="K536" s="56" t="str">
        <x:v>High</x:v>
      </x:c>
      <x:c r="L536" s="56" t="str">
        <x:v>Yes</x:v>
      </x:c>
      <x:c r="M536" s="56"/>
      <x:c r="N536" s="56" t="str">
        <x:v>ASIN B0CMH3QM8V; use exact package/version files.</x:v>
      </x:c>
      <x:c r="O536" s="56" t="str">
        <x:v>Codex</x:v>
      </x:c>
    </x:row>
    <x:row r="537" ht="118" customHeight="1">
      <x:c r="A537" s="56" t="str">
        <x:v>SRC-TOR-018</x:v>
      </x:c>
      <x:c r="B537" s="56" t="str">
        <x:v>KB011</x:v>
      </x:c>
      <x:c r="C537" s="56" t="str">
        <x:v>Core verification — Amazon Toner</x:v>
      </x:c>
      <x:c r="D537" s="56" t="str">
        <x:v>Direct page showed $23, 4.7/531, 900+ bought/month, #21,727 Beauty and #152 Facial Toners; sold by TORRIDEN.</x:v>
      </x:c>
      <x:c r="E537" s="56" t="str">
        <x:v>Amazon U.S.</x:v>
      </x:c>
      <x:c r="F537" s="56" t="str">
        <x:v>https://www.amazon.com/dp/B08TBG2T2C</x:v>
      </x:c>
      <x:c r="G537" s="56" t="str">
        <x:v>Marketplace / Official Seller Display</x:v>
      </x:c>
      <x:c r="H537" s="56"/>
      <x:c r="I537" s="56" t="str">
        <x:v>2026-08-01</x:v>
      </x:c>
      <x:c r="J537" s="56" t="str">
        <x:v>Verified Platform Display</x:v>
      </x:c>
      <x:c r="K537" s="56" t="str">
        <x:v>High</x:v>
      </x:c>
      <x:c r="L537" s="56" t="str">
        <x:v>Yes</x:v>
      </x:c>
      <x:c r="M537" s="56"/>
      <x:c r="N537" s="56" t="str">
        <x:v>ASIN B08TBG2T2C; dynamic public badge and rank.</x:v>
      </x:c>
      <x:c r="O537" s="56" t="str">
        <x:v>Codex</x:v>
      </x:c>
    </x:row>
    <x:row r="538" ht="118" customHeight="1">
      <x:c r="A538" s="56" t="str">
        <x:v>SRC-TOR-019</x:v>
      </x:c>
      <x:c r="B538" s="56" t="str">
        <x:v>KB011</x:v>
      </x:c>
      <x:c r="C538" s="56" t="str">
        <x:v>Core verification — Amazon DIVE IN Mask</x:v>
      </x:c>
      <x:c r="D538" s="56" t="str">
        <x:v>Direct page showed $33, 4.7/486 and 1K+ bought/month for the 10-pack; sold by TORRIDEN.</x:v>
      </x:c>
      <x:c r="E538" s="56" t="str">
        <x:v>Amazon U.S.</x:v>
      </x:c>
      <x:c r="F538" s="56" t="str">
        <x:v>https://www.amazon.com/dp/B08TBJY2DP</x:v>
      </x:c>
      <x:c r="G538" s="56" t="str">
        <x:v>Marketplace / Official Seller Display</x:v>
      </x:c>
      <x:c r="H538" s="56"/>
      <x:c r="I538" s="56" t="str">
        <x:v>2026-08-01</x:v>
      </x:c>
      <x:c r="J538" s="56" t="str">
        <x:v>Verified Platform Display</x:v>
      </x:c>
      <x:c r="K538" s="56" t="str">
        <x:v>High</x:v>
      </x:c>
      <x:c r="L538" s="56" t="str">
        <x:v>Yes</x:v>
      </x:c>
      <x:c r="M538" s="56"/>
      <x:c r="N538" s="56" t="str">
        <x:v>ASIN B08TBJY2DP; dynamic public badge.</x:v>
      </x:c>
      <x:c r="O538" s="56" t="str">
        <x:v>Codex</x:v>
      </x:c>
    </x:row>
    <x:row r="539" ht="118" customHeight="1">
      <x:c r="A539" s="56" t="str">
        <x:v>SRC-TOR-020</x:v>
      </x:c>
      <x:c r="B539" s="56" t="str">
        <x:v>KB011</x:v>
      </x:c>
      <x:c r="C539" s="56" t="str">
        <x:v>Core verification — Amazon SOLID IN Lip Essence</x:v>
      </x:c>
      <x:c r="D539" s="56" t="str">
        <x:v>Direct page showed $17.99, 4.6/480 and 700+ bought/month for a two-pack; sold by TORRIDEN.</x:v>
      </x:c>
      <x:c r="E539" s="56" t="str">
        <x:v>Amazon U.S.</x:v>
      </x:c>
      <x:c r="F539" s="56" t="str">
        <x:v>https://www.amazon.com/dp/B0BT3Z7469</x:v>
      </x:c>
      <x:c r="G539" s="56" t="str">
        <x:v>Marketplace / Official Seller Display</x:v>
      </x:c>
      <x:c r="H539" s="56"/>
      <x:c r="I539" s="56" t="str">
        <x:v>2026-08-01</x:v>
      </x:c>
      <x:c r="J539" s="56" t="str">
        <x:v>Verified Platform Display</x:v>
      </x:c>
      <x:c r="K539" s="56" t="str">
        <x:v>High</x:v>
      </x:c>
      <x:c r="L539" s="56" t="str">
        <x:v>Yes</x:v>
      </x:c>
      <x:c r="M539" s="56"/>
      <x:c r="N539" s="56" t="str">
        <x:v>ASIN B0BT3Z7469; compare on a two-unit basis.</x:v>
      </x:c>
      <x:c r="O539" s="56" t="str">
        <x:v>Codex</x:v>
      </x:c>
    </x:row>
    <x:row r="540" ht="118" customHeight="1">
      <x:c r="A540" s="56" t="str">
        <x:v>SRC-TOR-021</x:v>
      </x:c>
      <x:c r="B540" s="56" t="str">
        <x:v>KB011</x:v>
      </x:c>
      <x:c r="C540" s="56" t="str">
        <x:v>Amazon lower-bound methodology</x:v>
      </x:c>
      <x:c r="D540" s="56" t="str">
        <x:v>Five distinct official-seller hero badges imply at least 12,600 units and $295,793/month at observed prices: $202,500 + $27,000 + $20,700 + $33,000 + $12,593.</x:v>
      </x:c>
      <x:c r="E540" s="56" t="str">
        <x:v>Analyst Calculation</x:v>
      </x:c>
      <x:c r="F540" s="56" t="str">
        <x:v>https://www.amazon.com/s?k=Torriden</x:v>
      </x:c>
      <x:c r="G540" s="56" t="str">
        <x:v>Derived from Marketplace Displays</x:v>
      </x:c>
      <x:c r="H540" s="56"/>
      <x:c r="I540" s="56" t="str">
        <x:v>2026-08-01</x:v>
      </x:c>
      <x:c r="J540" s="56" t="str">
        <x:v>Conservative Sales Proxy</x:v>
      </x:c>
      <x:c r="K540" s="56" t="str">
        <x:v>Medium-High</x:v>
      </x:c>
      <x:c r="L540" s="56" t="str">
        <x:v>Yes</x:v>
      </x:c>
      <x:c r="M540" s="56"/>
      <x:c r="N540" s="56" t="str">
        <x:v>Not audited revenue; excludes all other SKUs, taxes, returns, coupons and units above rounded minimums.</x:v>
      </x:c>
      <x:c r="O540" s="56" t="str">
        <x:v>Codex</x:v>
      </x:c>
    </x:row>
    <x:row r="541" ht="118" customHeight="1">
      <x:c r="A541" s="56" t="str">
        <x:v>SRC-TOR-022</x:v>
      </x:c>
      <x:c r="B541" s="56" t="str">
        <x:v>KB011</x:v>
      </x:c>
      <x:c r="C541" s="56" t="str">
        <x:v>Amazon duplicate/version and third-party risk</x:v>
      </x:c>
      <x:c r="D541" s="56" t="str">
        <x:v>Alternate/jar Soothing Cream offer showed $24.24, 4.6/1,644, 2K+ bought/month, low stock and BasicT as seller; excluded from the sales floor.</x:v>
      </x:c>
      <x:c r="E541" s="56" t="str">
        <x:v>Amazon U.S.</x:v>
      </x:c>
      <x:c r="F541" s="56" t="str">
        <x:v>https://www.amazon.com/dp/B097PDX6JN</x:v>
      </x:c>
      <x:c r="G541" s="56" t="str">
        <x:v>Third-Party Marketplace Display</x:v>
      </x:c>
      <x:c r="H541" s="56"/>
      <x:c r="I541" s="56" t="str">
        <x:v>2026-08-01</x:v>
      </x:c>
      <x:c r="J541" s="56" t="str">
        <x:v>Verified Exclusion / Provenance Risk</x:v>
      </x:c>
      <x:c r="K541" s="56" t="str">
        <x:v>High</x:v>
      </x:c>
      <x:c r="L541" s="56" t="str">
        <x:v>Yes</x:v>
      </x:c>
      <x:c r="M541" s="56"/>
      <x:c r="N541" s="56" t="str">
        <x:v>Seller authorization and package/version mapping were not confirmed.</x:v>
      </x:c>
      <x:c r="O541" s="56" t="str">
        <x:v>Codex</x:v>
      </x:c>
    </x:row>
    <x:row r="542" ht="118" customHeight="1">
      <x:c r="A542" s="56" t="str">
        <x:v>SRC-TOR-023</x:v>
      </x:c>
      <x:c r="B542" s="56" t="str">
        <x:v>KB011</x:v>
      </x:c>
      <x:c r="C542" s="56" t="str">
        <x:v>Amazon secondary breadth — cleanser</x:v>
      </x:c>
      <x:c r="D542" s="56" t="str">
        <x:v>DIVE IN cleansing foam displayed about $17, 4.6/665 and 1K+ bought/month from TORRIDEN, supporting demand beyond the five heroes.</x:v>
      </x:c>
      <x:c r="E542" s="56" t="str">
        <x:v>Amazon U.S.</x:v>
      </x:c>
      <x:c r="F542" s="56" t="str">
        <x:v>https://www.amazon.com/dp/B0B5GN1K8D</x:v>
      </x:c>
      <x:c r="G542" s="56" t="str">
        <x:v>Marketplace / Official Seller Display</x:v>
      </x:c>
      <x:c r="H542" s="56"/>
      <x:c r="I542" s="56" t="str">
        <x:v>2026-08-01</x:v>
      </x:c>
      <x:c r="J542" s="56" t="str">
        <x:v>Verified Secondary Demand Signal</x:v>
      </x:c>
      <x:c r="K542" s="56" t="str">
        <x:v>High</x:v>
      </x:c>
      <x:c r="L542" s="56" t="str">
        <x:v>Yes</x:v>
      </x:c>
      <x:c r="M542" s="56"/>
      <x:c r="N542" s="56" t="str">
        <x:v>Excluded from the conservative five-hero total.</x:v>
      </x:c>
      <x:c r="O542" s="56" t="str">
        <x:v>Codex</x:v>
      </x:c>
    </x:row>
    <x:row r="543" ht="118" customHeight="1">
      <x:c r="A543" s="56" t="str">
        <x:v>SRC-TOR-024</x:v>
      </x:c>
      <x:c r="B543" s="56" t="str">
        <x:v>KB011</x:v>
      </x:c>
      <x:c r="C543" s="56" t="str">
        <x:v>TikTok product-level momentum</x:v>
      </x:c>
      <x:c r="D543" s="56" t="str">
        <x:v>Official Shop displayed 26.2K sold for CELLMAZING Firming Duo near $48.45 and 8.8K sold for Firming Cream near $26.60.</x:v>
      </x:c>
      <x:c r="E543" s="56" t="str">
        <x:v>TikTok Shop U.S.</x:v>
      </x:c>
      <x:c r="F543" s="56" t="str">
        <x:v>https://shop.tiktok.com/us/store/torriden-us/7495586043621444520</x:v>
      </x:c>
      <x:c r="G543" s="56" t="str">
        <x:v>Official Social-Commerce Display</x:v>
      </x:c>
      <x:c r="H543" s="56"/>
      <x:c r="I543" s="56" t="str">
        <x:v>2026-08-01</x:v>
      </x:c>
      <x:c r="J543" s="56" t="str">
        <x:v>Verified Product Momentum Signal</x:v>
      </x:c>
      <x:c r="K543" s="56" t="str">
        <x:v>Medium</x:v>
      </x:c>
      <x:c r="L543" s="56" t="str">
        <x:v>Yes</x:v>
      </x:c>
      <x:c r="M543" s="56"/>
      <x:c r="N543" s="56" t="str">
        <x:v>Cumulative dynamic displays; exact period and refunds are not public.</x:v>
      </x:c>
      <x:c r="O543" s="56" t="str">
        <x:v>Codex</x:v>
      </x:c>
    </x:row>
    <x:row r="544" ht="118" customHeight="1">
      <x:c r="A544" s="56" t="str">
        <x:v>SRC-TOR-025</x:v>
      </x:c>
      <x:c r="B544" s="56" t="str">
        <x:v>KB011</x:v>
      </x:c>
      <x:c r="C544" s="56" t="str">
        <x:v>Sephora DIVE IN Serum engagement</x:v>
      </x:c>
      <x:c r="D544" s="56" t="str">
        <x:v>Sephora listed 50 mL at $24 with 264 reviews and 27.9K loves and highlighted absorption, hydration and plumping.</x:v>
      </x:c>
      <x:c r="E544" s="56" t="str">
        <x:v>Sephora U.S.</x:v>
      </x:c>
      <x:c r="F544" s="56" t="str">
        <x:v>https://www.sephora.com/product/dive-in-serum-P517680</x:v>
      </x:c>
      <x:c r="G544" s="56" t="str">
        <x:v>Authorized Retailer Product Page</x:v>
      </x:c>
      <x:c r="H544" s="56"/>
      <x:c r="I544" s="56" t="str">
        <x:v>2026-08-01</x:v>
      </x:c>
      <x:c r="J544" s="56" t="str">
        <x:v>Verified Retailer Price / Engagement</x:v>
      </x:c>
      <x:c r="K544" s="56" t="str">
        <x:v>High</x:v>
      </x:c>
      <x:c r="L544" s="56" t="str">
        <x:v>Yes</x:v>
      </x:c>
      <x:c r="M544" s="56"/>
      <x:c r="N544" s="56" t="str">
        <x:v>Reviews may include incentives; counts are dynamic.</x:v>
      </x:c>
      <x:c r="O544" s="56" t="str">
        <x:v>Codex</x:v>
      </x:c>
    </x:row>
    <x:row r="545" ht="118" customHeight="1">
      <x:c r="A545" s="56" t="str">
        <x:v>SRC-TOR-026</x:v>
      </x:c>
      <x:c r="B545" s="56" t="str">
        <x:v>KB011</x:v>
      </x:c>
      <x:c r="C545" s="56" t="str">
        <x:v>Sephora Soothing Cream engagement</x:v>
      </x:c>
      <x:c r="D545" s="56" t="str">
        <x:v>Sephora listed 100 mL at $27 with 188 reviews and 10.1K loves and highlighted light feel, satisfaction and absorption.</x:v>
      </x:c>
      <x:c r="E545" s="56" t="str">
        <x:v>Sephora U.S.</x:v>
      </x:c>
      <x:c r="F545" s="56" t="str">
        <x:v>https://www.sephora.com/product/dive-in-soothing-cream-P517672</x:v>
      </x:c>
      <x:c r="G545" s="56" t="str">
        <x:v>Authorized Retailer Product Page</x:v>
      </x:c>
      <x:c r="H545" s="56"/>
      <x:c r="I545" s="56" t="str">
        <x:v>2026-08-01</x:v>
      </x:c>
      <x:c r="J545" s="56" t="str">
        <x:v>Verified Retailer Price / Engagement</x:v>
      </x:c>
      <x:c r="K545" s="56" t="str">
        <x:v>High</x:v>
      </x:c>
      <x:c r="L545" s="56" t="str">
        <x:v>Yes</x:v>
      </x:c>
      <x:c r="M545" s="56"/>
      <x:c r="N545" s="56" t="str">
        <x:v>Reviews may include incentives; counts are dynamic.</x:v>
      </x:c>
      <x:c r="O545" s="56" t="str">
        <x:v>Codex</x:v>
      </x:c>
    </x:row>
    <x:row r="546" ht="118" customHeight="1">
      <x:c r="A546" s="56" t="str">
        <x:v>SRC-TOR-027</x:v>
      </x:c>
      <x:c r="B546" s="56" t="str">
        <x:v>KB011</x:v>
      </x:c>
      <x:c r="C546" s="56" t="str">
        <x:v>Costco national club presence</x:v>
      </x:c>
      <x:c r="D546" s="56" t="str">
        <x:v>Official Costco product page lists DIVE IN Low Molecular Hyaluronic Acid Serum two-pack, item 1779932.</x:v>
      </x:c>
      <x:c r="E546" s="56" t="str">
        <x:v>Costco U.S.</x:v>
      </x:c>
      <x:c r="F546" s="56" t="str">
        <x:v>https://www.costco.com/p/-/torriden-dive-in-low-molecular-hyaluronic-acid-serum-2-pack/4000224232</x:v>
      </x:c>
      <x:c r="G546" s="56" t="str">
        <x:v>National Club Retailer</x:v>
      </x:c>
      <x:c r="H546" s="56"/>
      <x:c r="I546" s="56" t="str">
        <x:v>2026-08-01</x:v>
      </x:c>
      <x:c r="J546" s="56" t="str">
        <x:v>Verified Retail Presence</x:v>
      </x:c>
      <x:c r="K546" s="56" t="str">
        <x:v>High</x:v>
      </x:c>
      <x:c r="L546" s="56" t="str">
        <x:v>Yes</x:v>
      </x:c>
      <x:c r="M546" s="56"/>
      <x:c r="N546" s="56" t="str">
        <x:v>Member price and inventory can vary by account/location.</x:v>
      </x:c>
      <x:c r="O546" s="56" t="str">
        <x:v>Codex</x:v>
      </x:c>
    </x:row>
    <x:row r="547" ht="118" customHeight="1">
      <x:c r="A547" s="56" t="str">
        <x:v>SRC-TOR-028</x:v>
      </x:c>
      <x:c r="B547" s="56" t="str">
        <x:v>KB011</x:v>
      </x:c>
      <x:c r="C547" s="56" t="str">
        <x:v>Costco price-compression evidence</x:v>
      </x:c>
      <x:c r="D547" s="56" t="str">
        <x:v>A May 2026 deal record captured two 50 mL serums plus a mini at $24.99 for Costco members.</x:v>
      </x:c>
      <x:c r="E547" s="56" t="str">
        <x:v>Slickdeals / Costco</x:v>
      </x:c>
      <x:c r="F547" s="56" t="str">
        <x:v>https://slickdeals.net/f/19494315-costco-members-torriden-dive-in-low-molecular-hyaluronic-acid-serum-set-24-99</x:v>
      </x:c>
      <x:c r="G547" s="56" t="str">
        <x:v>Deal Tracker / Retail Promotion</x:v>
      </x:c>
      <x:c r="H547" s="56" t="str">
        <x:v>2026-05</x:v>
      </x:c>
      <x:c r="I547" s="56" t="str">
        <x:v>2026-08-01</x:v>
      </x:c>
      <x:c r="J547" s="56" t="str">
        <x:v>Verified Historical Promotion / Risk Signal</x:v>
      </x:c>
      <x:c r="K547" s="56" t="str">
        <x:v>Medium</x:v>
      </x:c>
      <x:c r="L547" s="56" t="str">
        <x:v>Yes</x:v>
      </x:c>
      <x:c r="M547" s="56"/>
      <x:c r="N547" s="56" t="str">
        <x:v>Not current guaranteed pricing; demonstrates club/off-price conflict risk.</x:v>
      </x:c>
      <x:c r="O547" s="56" t="str">
        <x:v>Codex</x:v>
      </x:c>
    </x:row>
    <x:row r="548" ht="118" customHeight="1">
      <x:c r="A548" s="56" t="str">
        <x:v>SRC-TOR-029</x:v>
      </x:c>
      <x:c r="B548" s="56" t="str">
        <x:v>KB011</x:v>
      </x:c>
      <x:c r="C548" s="56" t="str">
        <x:v>Walmart marketplace provenance risk</x:v>
      </x:c>
      <x:c r="D548" s="56" t="str">
        <x:v>Walmart serum listing displayed about 4.0/39 and a marketplace seller review identifying The Lighthouse Distributors; brand authorization was not established.</x:v>
      </x:c>
      <x:c r="E548" s="56" t="str">
        <x:v>Walmart Marketplace</x:v>
      </x:c>
      <x:c r="F548" s="56" t="str">
        <x:v>https://www.walmart.com/ip/821646126</x:v>
      </x:c>
      <x:c r="G548" s="56" t="str">
        <x:v>Third-Party Marketplace Listing</x:v>
      </x:c>
      <x:c r="H548" s="56"/>
      <x:c r="I548" s="56" t="str">
        <x:v>2026-08-01</x:v>
      </x:c>
      <x:c r="J548" s="56" t="str">
        <x:v>Verified Risk Signal</x:v>
      </x:c>
      <x:c r="K548" s="56" t="str">
        <x:v>Medium</x:v>
      </x:c>
      <x:c r="L548" s="56" t="str">
        <x:v>Yes</x:v>
      </x:c>
      <x:c r="M548" s="56"/>
      <x:c r="N548" s="56" t="str">
        <x:v>Do not treat as official Walmart distribution without written confirmation.</x:v>
      </x:c>
      <x:c r="O548" s="56" t="str">
        <x:v>Codex</x:v>
      </x:c>
    </x:row>
    <x:row r="549" ht="118" customHeight="1">
      <x:c r="A549" s="56" t="str">
        <x:v>SRC-TOR-030</x:v>
      </x:c>
      <x:c r="B549" s="56" t="str">
        <x:v>KB011</x:v>
      </x:c>
      <x:c r="C549" s="56" t="str">
        <x:v>Olive Young U.S. brand presence</x:v>
      </x:c>
      <x:c r="D549" s="56" t="str">
        <x:v>Olive Young U.S. brand directory lists Torriden among its brands.</x:v>
      </x:c>
      <x:c r="E549" s="56" t="str">
        <x:v>Olive Young U.S.</x:v>
      </x:c>
      <x:c r="F549" s="56" t="str">
        <x:v>https://us.oliveyoung.com/brands</x:v>
      </x:c>
      <x:c r="G549" s="56" t="str">
        <x:v>Retailer Brand Directory</x:v>
      </x:c>
      <x:c r="H549" s="56"/>
      <x:c r="I549" s="56" t="str">
        <x:v>2026-08-01</x:v>
      </x:c>
      <x:c r="J549" s="56" t="str">
        <x:v>Verified Brand-List Presence</x:v>
      </x:c>
      <x:c r="K549" s="56" t="str">
        <x:v>Medium-High</x:v>
      </x:c>
      <x:c r="L549" s="56" t="str">
        <x:v>Yes</x:v>
      </x:c>
      <x:c r="M549" s="56"/>
      <x:c r="N549" s="56" t="str">
        <x:v>SKU-level U.S. assortment, inventory and authorization should be confirmed.</x:v>
      </x:c>
      <x:c r="O549" s="56" t="str">
        <x:v>Codex</x:v>
      </x:c>
    </x:row>
    <x:row r="550" ht="118" customHeight="1">
      <x:c r="A550" s="56" t="str">
        <x:v>SRC-TOR-031</x:v>
      </x:c>
      <x:c r="B550" s="56" t="str">
        <x:v>KB011</x:v>
      </x:c>
      <x:c r="C550" s="56" t="str">
        <x:v>Olive Young global visibility</x:v>
      </x:c>
      <x:c r="D550" s="56" t="str">
        <x:v>Olive Young Global maintains a Torriden brand page, supporting long-running K-Beauty retail awareness and cross-border availability.</x:v>
      </x:c>
      <x:c r="E550" s="56" t="str">
        <x:v>Olive Young Global</x:v>
      </x:c>
      <x:c r="F550" s="56" t="str">
        <x:v>https://m.global.oliveyoung.com/global/brands/torriden</x:v>
      </x:c>
      <x:c r="G550" s="56" t="str">
        <x:v>Cross-Border Retailer Brand Page</x:v>
      </x:c>
      <x:c r="H550" s="56"/>
      <x:c r="I550" s="56" t="str">
        <x:v>2026-08-01</x:v>
      </x:c>
      <x:c r="J550" s="56" t="str">
        <x:v>Verified Retail Visibility</x:v>
      </x:c>
      <x:c r="K550" s="56" t="str">
        <x:v>Medium-High</x:v>
      </x:c>
      <x:c r="L550" s="56" t="str">
        <x:v>Yes</x:v>
      </x:c>
      <x:c r="M550" s="56"/>
      <x:c r="N550" s="56" t="str">
        <x:v>Global channel evidence is not U.S. sell-through.</x:v>
      </x:c>
      <x:c r="O550" s="56" t="str">
        <x:v>Codex</x:v>
      </x:c>
    </x:row>
    <x:row r="551" ht="118" customHeight="1">
      <x:c r="A551" s="56" t="str">
        <x:v>SRC-TOR-032</x:v>
      </x:c>
      <x:c r="B551" s="56" t="str">
        <x:v>KB011</x:v>
      </x:c>
      <x:c r="C551" s="56" t="str">
        <x:v>StyleKorean cross-border pricing</x:v>
      </x:c>
      <x:c r="D551" s="56" t="str">
        <x:v>Current StyleKorean Torriden product page showed a $26 list/$23.40 promotion for DIVE IN pads and temporary out-of-stock status.</x:v>
      </x:c>
      <x:c r="E551" s="56" t="str">
        <x:v>StyleKorean</x:v>
      </x:c>
      <x:c r="F551" s="56" t="str">
        <x:v>https://www.stylekorean.com/product/torriden-dive-in-low-molecule-hyaluronic-acid-multi-pad-80ea-/1669614755</x:v>
      </x:c>
      <x:c r="G551" s="56" t="str">
        <x:v>Cross-Border Retailer</x:v>
      </x:c>
      <x:c r="H551" s="56"/>
      <x:c r="I551" s="56" t="str">
        <x:v>2026-08-01</x:v>
      </x:c>
      <x:c r="J551" s="56" t="str">
        <x:v>Verified Cross-Border Price / Availability</x:v>
      </x:c>
      <x:c r="K551" s="56" t="str">
        <x:v>Medium</x:v>
      </x:c>
      <x:c r="L551" s="56" t="str">
        <x:v>Yes</x:v>
      </x:c>
      <x:c r="M551" s="56"/>
      <x:c r="N551" s="56" t="str">
        <x:v>Authorization, shipping, duties and package versions require confirmation.</x:v>
      </x:c>
      <x:c r="O551" s="56" t="str">
        <x:v>Codex</x:v>
      </x:c>
    </x:row>
    <x:row r="552" ht="118" customHeight="1">
      <x:c r="A552" s="56" t="str">
        <x:v>SRC-TOR-033</x:v>
      </x:c>
      <x:c r="B552" s="56" t="str">
        <x:v>KB011</x:v>
      </x:c>
      <x:c r="C552" s="56" t="str">
        <x:v>Target current distribution check</x:v>
      </x:c>
      <x:c r="D552" s="56" t="str">
        <x:v>Target's Torriden-filtered premium-skincare page stated no matching products; other search-indexed category pages showed unrelated items.</x:v>
      </x:c>
      <x:c r="E552" s="56" t="str">
        <x:v>Target U.S.</x:v>
      </x:c>
      <x:c r="F552" s="56" t="str">
        <x:v>https://www.target.com/c/premium-skin-care/torriden/-/N-55ajaZq643lewxu68</x:v>
      </x:c>
      <x:c r="G552" s="56" t="str">
        <x:v>Retailer Current Check</x:v>
      </x:c>
      <x:c r="H552" s="56"/>
      <x:c r="I552" s="56" t="str">
        <x:v>2026-08-01</x:v>
      </x:c>
      <x:c r="J552" s="56" t="str">
        <x:v>No Current Product Match Verified</x:v>
      </x:c>
      <x:c r="K552" s="56" t="str">
        <x:v>Medium-High</x:v>
      </x:c>
      <x:c r="L552" s="56" t="str">
        <x:v>Yes</x:v>
      </x:c>
      <x:c r="M552" s="56"/>
      <x:c r="N552" s="56" t="str">
        <x:v>Do not infer Target distribution from SEO category URLs alone.</x:v>
      </x:c>
      <x:c r="O552" s="56" t="str">
        <x:v>Codex</x:v>
      </x:c>
    </x:row>
    <x:row r="553" ht="118" customHeight="1">
      <x:c r="A553" s="56" t="str">
        <x:v>SRC-TOR-034</x:v>
      </x:c>
      <x:c r="B553" s="56" t="str">
        <x:v>KB011</x:v>
      </x:c>
      <x:c r="C553" s="56" t="str">
        <x:v>Ulta current distribution check</x:v>
      </x:c>
      <x:c r="D553" s="56" t="str">
        <x:v>A targeted Ulta search did not identify a current Torriden brand or product page.</x:v>
      </x:c>
      <x:c r="E553" s="56" t="str">
        <x:v>Ulta Beauty</x:v>
      </x:c>
      <x:c r="F553" s="56" t="str">
        <x:v>https://www.ulta.com/search?search=Torriden</x:v>
      </x:c>
      <x:c r="G553" s="56" t="str">
        <x:v>Retailer Current Check</x:v>
      </x:c>
      <x:c r="H553" s="56"/>
      <x:c r="I553" s="56" t="str">
        <x:v>2026-08-01</x:v>
      </x:c>
      <x:c r="J553" s="56" t="str">
        <x:v>No Current Assortment Verified</x:v>
      </x:c>
      <x:c r="K553" s="56" t="str">
        <x:v>Medium</x:v>
      </x:c>
      <x:c r="L553" s="56" t="str">
        <x:v>Yes</x:v>
      </x:c>
      <x:c r="M553" s="56"/>
      <x:c r="N553" s="56" t="str">
        <x:v>Absence from a scoped search is not a permanent or legal conclusion.</x:v>
      </x:c>
      <x:c r="O553" s="56" t="str">
        <x:v>Codex</x:v>
      </x:c>
    </x:row>
    <x:row r="554" ht="118" customHeight="1">
      <x:c r="A554" s="56" t="str">
        <x:v>SRC-TOR-035</x:v>
      </x:c>
      <x:c r="B554" s="56" t="str">
        <x:v>KB011</x:v>
      </x:c>
      <x:c r="C554" s="56" t="str">
        <x:v>YesStyle brand history and cross-border context</x:v>
      </x:c>
      <x:c r="D554" s="56" t="str">
        <x:v>YesStyle's Torriden brand profile places brand formation in 2015 and supports global K-Beauty awareness.</x:v>
      </x:c>
      <x:c r="E554" s="56" t="str">
        <x:v>YesStyle Editorial</x:v>
      </x:c>
      <x:c r="F554" s="56" t="str">
        <x:v>https://www.yesstyle.com/blog/2022-08-31/brand-spotlight-torriden/</x:v>
      </x:c>
      <x:c r="G554" s="56" t="str">
        <x:v>Retailer Editorial / Brand Profile</x:v>
      </x:c>
      <x:c r="H554" s="56" t="str">
        <x:v>2022-08-31</x:v>
      </x:c>
      <x:c r="I554" s="56" t="str">
        <x:v>2026-08-01</x:v>
      </x:c>
      <x:c r="J554" s="56" t="str">
        <x:v>Corroborated Brand History / Cross-Border Context</x:v>
      </x:c>
      <x:c r="K554" s="56" t="str">
        <x:v>Medium</x:v>
      </x:c>
      <x:c r="L554" s="56" t="str">
        <x:v>Yes</x:v>
      </x:c>
      <x:c r="M554" s="56"/>
      <x:c r="N554" s="56" t="str">
        <x:v>Retailer editorial and affiliate context; not an official corporate record.</x:v>
      </x:c>
      <x:c r="O554" s="56" t="str">
        <x:v>Codex</x:v>
      </x:c>
    </x:row>
    <x:row r="555" ht="118" customHeight="1">
      <x:c r="A555" s="56" t="str">
        <x:v>SRC-TOR-036</x:v>
      </x:c>
      <x:c r="B555" s="56" t="str">
        <x:v>KB011</x:v>
      </x:c>
      <x:c r="C555" s="56" t="str">
        <x:v>Reddit — broad honest-review themes</x:v>
      </x:c>
      <x:c r="D555" s="56" t="str">
        <x:v>Recent thread includes repeated praise for lightweight, non-sticky, gentle hydration and cleanser comfort, alongside ordinary/no-special-effect reactions.</x:v>
      </x:c>
      <x:c r="E555" s="56" t="str">
        <x:v>Reddit r/koreanskincare</x:v>
      </x:c>
      <x:c r="F555" s="56" t="str">
        <x:v>https://www.reddit.com/r/koreanskincare/comments/1uf8qp6/pls_give_your_honest_reviews_for_torriden_products/</x:v>
      </x:c>
      <x:c r="G555" s="56" t="str">
        <x:v>Consumer Forum</x:v>
      </x:c>
      <x:c r="H555" s="56"/>
      <x:c r="I555" s="56" t="str">
        <x:v>2026-08-01</x:v>
      </x:c>
      <x:c r="J555" s="56" t="str">
        <x:v>Anecdotal Consumer Evidence</x:v>
      </x:c>
      <x:c r="K555" s="56" t="str">
        <x:v>Low-Medium</x:v>
      </x:c>
      <x:c r="L555" s="56" t="str">
        <x:v>Mixed</x:v>
      </x:c>
      <x:c r="M555" s="56"/>
      <x:c r="N555" s="56" t="str">
        <x:v>Self-selected; product versions and routines vary.</x:v>
      </x:c>
      <x:c r="O555" s="56" t="str">
        <x:v>Codex</x:v>
      </x:c>
    </x:row>
    <x:row r="556" ht="118" customHeight="1">
      <x:c r="A556" s="56" t="str">
        <x:v>SRC-TOR-037</x:v>
      </x:c>
      <x:c r="B556" s="56" t="str">
        <x:v>KB011</x:v>
      </x:c>
      <x:c r="C556" s="56" t="str">
        <x:v>Reddit — serum dryness/tightness</x:v>
      </x:c>
      <x:c r="D556" s="56" t="str">
        <x:v>Users discuss DIVE IN Serum feeling drying without moisturizer sealing or in dry conditions.</x:v>
      </x:c>
      <x:c r="E556" s="56" t="str">
        <x:v>Reddit r/koreanskincare</x:v>
      </x:c>
      <x:c r="F556" s="56" t="str">
        <x:v>https://www.reddit.com/r/koreanskincare/comments/1op5hdw/anyone_else_find_the_torriden_divein_serum_drying/</x:v>
      </x:c>
      <x:c r="G556" s="56" t="str">
        <x:v>Consumer Forum</x:v>
      </x:c>
      <x:c r="H556" s="56"/>
      <x:c r="I556" s="56" t="str">
        <x:v>2026-08-01</x:v>
      </x:c>
      <x:c r="J556" s="56" t="str">
        <x:v>Anecdotal Use-Condition Risk</x:v>
      </x:c>
      <x:c r="K556" s="56" t="str">
        <x:v>Low-Medium</x:v>
      </x:c>
      <x:c r="L556" s="56" t="str">
        <x:v>Mixed</x:v>
      </x:c>
      <x:c r="M556" s="56"/>
      <x:c r="N556" s="56" t="str">
        <x:v>No clinical causality finding.</x:v>
      </x:c>
      <x:c r="O556" s="56" t="str">
        <x:v>Codex</x:v>
      </x:c>
    </x:row>
    <x:row r="557" ht="118" customHeight="1">
      <x:c r="A557" s="56" t="str">
        <x:v>SRC-TOR-038</x:v>
      </x:c>
      <x:c r="B557" s="56" t="str">
        <x:v>KB011</x:v>
      </x:c>
      <x:c r="C557" s="56" t="str">
        <x:v>Reddit — cream redness/itching</x:v>
      </x:c>
      <x:c r="D557" s="56" t="str">
        <x:v>A user reported red itchy blotches after DIVE IN Soothing Cream.</x:v>
      </x:c>
      <x:c r="E557" s="56" t="str">
        <x:v>Reddit r/KoreanBeauty</x:v>
      </x:c>
      <x:c r="F557" s="56" t="str">
        <x:v>https://www.reddit.com/r/KoreanBeauty/comments/1hiz7oq</x:v>
      </x:c>
      <x:c r="G557" s="56" t="str">
        <x:v>Consumer Forum</x:v>
      </x:c>
      <x:c r="H557" s="56"/>
      <x:c r="I557" s="56" t="str">
        <x:v>2026-08-01</x:v>
      </x:c>
      <x:c r="J557" s="56" t="str">
        <x:v>Anecdotal Sensitivity Signal</x:v>
      </x:c>
      <x:c r="K557" s="56" t="str">
        <x:v>Low</x:v>
      </x:c>
      <x:c r="L557" s="56" t="str">
        <x:v>Mixed</x:v>
      </x:c>
      <x:c r="M557" s="56"/>
      <x:c r="N557" s="56" t="str">
        <x:v>Single report; no diagnosis or defect finding.</x:v>
      </x:c>
      <x:c r="O557" s="56" t="str">
        <x:v>Codex</x:v>
      </x:c>
    </x:row>
    <x:row r="558" ht="118" customHeight="1">
      <x:c r="A558" s="56" t="str">
        <x:v>SRC-TOR-039</x:v>
      </x:c>
      <x:c r="B558" s="56" t="str">
        <x:v>KB011</x:v>
      </x:c>
      <x:c r="C558" s="56" t="str">
        <x:v>Reddit — routine breakouts/dryness</x:v>
      </x:c>
      <x:c r="D558" s="56" t="str">
        <x:v>Users discuss toner/serum/moisturizer routines coinciding with dryness or breakouts, illustrating individual fit and causality uncertainty.</x:v>
      </x:c>
      <x:c r="E558" s="56" t="str">
        <x:v>Reddit r/AsianBeauty</x:v>
      </x:c>
      <x:c r="F558" s="56" t="str">
        <x:v>https://www.reddit.com/r/AsianBeauty/comments/1hoy4v2</x:v>
      </x:c>
      <x:c r="G558" s="56" t="str">
        <x:v>Consumer Forum</x:v>
      </x:c>
      <x:c r="H558" s="56"/>
      <x:c r="I558" s="56" t="str">
        <x:v>2026-08-01</x:v>
      </x:c>
      <x:c r="J558" s="56" t="str">
        <x:v>Anecdotal Consumer Evidence</x:v>
      </x:c>
      <x:c r="K558" s="56" t="str">
        <x:v>Low</x:v>
      </x:c>
      <x:c r="L558" s="56" t="str">
        <x:v>Mixed</x:v>
      </x:c>
      <x:c r="M558" s="56"/>
      <x:c r="N558" s="56" t="str">
        <x:v>Multiple-product use obscures causality.</x:v>
      </x:c>
      <x:c r="O558" s="56" t="str">
        <x:v>Codex</x:v>
      </x:c>
    </x:row>
    <x:row r="559" ht="118" customHeight="1">
      <x:c r="A559" s="56" t="str">
        <x:v>SRC-TOR-040</x:v>
      </x:c>
      <x:c r="B559" s="56" t="str">
        <x:v>KB011</x:v>
      </x:c>
      <x:c r="C559" s="56" t="str">
        <x:v>Reddit — cloudy serum/package concern</x:v>
      </x:c>
      <x:c r="D559" s="56" t="str">
        <x:v>Discussion of cloudy serum appearance illustrates the need for batch, package, formula-version and authorized-seller education.</x:v>
      </x:c>
      <x:c r="E559" s="56" t="str">
        <x:v>Reddit r/AsianBeauty</x:v>
      </x:c>
      <x:c r="F559" s="56" t="str">
        <x:v>https://www.reddit.com/r/AsianBeauty/comments/1fj9ahb/is_it_normal_for_it_to_be_clouded_torriden/</x:v>
      </x:c>
      <x:c r="G559" s="56" t="str">
        <x:v>Consumer Forum</x:v>
      </x:c>
      <x:c r="H559" s="56"/>
      <x:c r="I559" s="56" t="str">
        <x:v>2026-08-01</x:v>
      </x:c>
      <x:c r="J559" s="56" t="str">
        <x:v>Anecdotal Version / Appearance Risk</x:v>
      </x:c>
      <x:c r="K559" s="56" t="str">
        <x:v>Low-Medium</x:v>
      </x:c>
      <x:c r="L559" s="56" t="str">
        <x:v>Mixed</x:v>
      </x:c>
      <x:c r="M559" s="56"/>
      <x:c r="N559" s="56" t="str">
        <x:v>No defect or counterfeit finding was established.</x:v>
      </x:c>
      <x:c r="O559" s="56" t="str">
        <x:v>Codex</x:v>
      </x:c>
    </x:row>
    <x:row r="560" ht="118" customHeight="1">
      <x:c r="A560" s="56" t="str">
        <x:v>SRC-TOR-041</x:v>
      </x:c>
      <x:c r="B560" s="56" t="str">
        <x:v>KB011</x:v>
      </x:c>
      <x:c r="C560" s="56" t="str">
        <x:v>Reddit — U.S. availability confusion</x:v>
      </x:c>
      <x:c r="D560" s="56" t="str">
        <x:v>Users questioned whether the serum was being pulled from U.S. channels while pointing to Amazon and Costco availability.</x:v>
      </x:c>
      <x:c r="E560" s="56" t="str">
        <x:v>Reddit r/OliveYoungGlobal</x:v>
      </x:c>
      <x:c r="F560" s="56" t="str">
        <x:v>https://www.reddit.com/r/OliveYoungGlobal/comments/1twpqz2/is_the_torriden_dive_in_serum_being_pulled_from_us/</x:v>
      </x:c>
      <x:c r="G560" s="56" t="str">
        <x:v>Consumer Forum</x:v>
      </x:c>
      <x:c r="H560" s="56"/>
      <x:c r="I560" s="56" t="str">
        <x:v>2026-08-01</x:v>
      </x:c>
      <x:c r="J560" s="56" t="str">
        <x:v>Anecdotal Channel-Communication Risk</x:v>
      </x:c>
      <x:c r="K560" s="56" t="str">
        <x:v>Low-Medium</x:v>
      </x:c>
      <x:c r="L560" s="56" t="str">
        <x:v>Mixed</x:v>
      </x:c>
      <x:c r="M560" s="56"/>
      <x:c r="N560" s="56" t="str">
        <x:v>Retail assortment is dynamic; not a withdrawal finding.</x:v>
      </x:c>
      <x:c r="O560" s="56" t="str">
        <x:v>Codex</x:v>
      </x:c>
    </x:row>
    <x:row r="561" ht="118" customHeight="1">
      <x:c r="A561" s="56" t="str">
        <x:v>SRC-TOR-042</x:v>
      </x:c>
      <x:c r="B561" s="56" t="str">
        <x:v>KB011</x:v>
      </x:c>
      <x:c r="C561" s="56" t="str">
        <x:v>Independent editorial — Torriden heroes</x:v>
      </x:c>
      <x:c r="D561" s="56" t="str">
        <x:v>Who What Wear's K-Beauty roundup praised Torriden mask adhesion/plumping, serum hydration and routine appeal.</x:v>
      </x:c>
      <x:c r="E561" s="56" t="str">
        <x:v>Who What Wear</x:v>
      </x:c>
      <x:c r="F561" s="56" t="str">
        <x:v>https://www.whowhatwear.com/beauty/skin/best-korean-skincare</x:v>
      </x:c>
      <x:c r="G561" s="56" t="str">
        <x:v>Independent Editorial / Affiliate Commerce</x:v>
      </x:c>
      <x:c r="H561" s="56" t="str">
        <x:v>2026-07</x:v>
      </x:c>
      <x:c r="I561" s="56" t="str">
        <x:v>2026-08-01</x:v>
      </x:c>
      <x:c r="J561" s="56" t="str">
        <x:v>Independent Editorial Evidence</x:v>
      </x:c>
      <x:c r="K561" s="56" t="str">
        <x:v>Medium-High</x:v>
      </x:c>
      <x:c r="L561" s="56" t="str">
        <x:v>Yes</x:v>
      </x:c>
      <x:c r="M561" s="56"/>
      <x:c r="N561" s="56" t="str">
        <x:v>Editorial preference, not clinical or sales evidence.</x:v>
      </x:c>
      <x:c r="O561" s="56" t="str">
        <x:v>Codex</x:v>
      </x:c>
    </x:row>
    <x:row r="562" ht="118" customHeight="1">
      <x:c r="A562" s="56" t="str">
        <x:v>SRC-TOR-043</x:v>
      </x:c>
      <x:c r="B562" s="56" t="str">
        <x:v>KB011</x:v>
      </x:c>
      <x:c r="C562" s="56" t="str">
        <x:v>Brand growth and Korean-platform awareness</x:v>
      </x:c>
      <x:c r="D562" s="56" t="str">
        <x:v>Hwahae case study places founding in 2015, DIVE IN launch in 2019 and describes awards and sales growth.</x:v>
      </x:c>
      <x:c r="E562" s="56" t="str">
        <x:v>Hwahae Business</x:v>
      </x:c>
      <x:c r="F562" s="56" t="str">
        <x:v>https://business.hwahae.co.kr/insight/torriden-sales-growth-01/</x:v>
      </x:c>
      <x:c r="G562" s="56" t="str">
        <x:v>Platform Case Study / Brand Marketing</x:v>
      </x:c>
      <x:c r="H562" s="56" t="str">
        <x:v>2025-11</x:v>
      </x:c>
      <x:c r="I562" s="56" t="str">
        <x:v>2026-08-01</x:v>
      </x:c>
      <x:c r="J562" s="56" t="str">
        <x:v>Corroborated History / Brand-Reported Growth</x:v>
      </x:c>
      <x:c r="K562" s="56" t="str">
        <x:v>Medium</x:v>
      </x:c>
      <x:c r="L562" s="56" t="str">
        <x:v>Yes</x:v>
      </x:c>
      <x:c r="M562" s="56"/>
      <x:c r="N562" s="56" t="str">
        <x:v>Marketing case study; not audited current U.S. revenue.</x:v>
      </x:c>
      <x:c r="O562" s="56" t="str">
        <x:v>Codex</x:v>
      </x:c>
    </x:row>
    <x:row r="563" ht="118" customHeight="1">
      <x:c r="A563" s="56" t="str">
        <x:v>SRC-TOR-044</x:v>
      </x:c>
      <x:c r="B563" s="56" t="str">
        <x:v>KB011</x:v>
      </x:c>
      <x:c r="C563" s="56" t="str">
        <x:v>Competitor — The Ordinary HA 2% + B5</x:v>
      </x:c>
      <x:c r="D563" s="56" t="str">
        <x:v>Sephora listed 30 mL at $12 with about 1.6K reviews, creating a lower-ticket and slightly lower-price-per-mL serum alternative.</x:v>
      </x:c>
      <x:c r="E563" s="56" t="str">
        <x:v>Sephora / The Ordinary</x:v>
      </x:c>
      <x:c r="F563" s="56" t="str">
        <x:v>https://www.sephora.com/product/the-ordinary-hyaluronic-acid-2-b5-hydrating-serum-P427419/</x:v>
      </x:c>
      <x:c r="G563" s="56" t="str">
        <x:v>Authorized Competitor Retailer</x:v>
      </x:c>
      <x:c r="H563" s="56"/>
      <x:c r="I563" s="56" t="str">
        <x:v>2026-08-01</x:v>
      </x:c>
      <x:c r="J563" s="56" t="str">
        <x:v>Verified Competitor Fact</x:v>
      </x:c>
      <x:c r="K563" s="56" t="str">
        <x:v>High</x:v>
      </x:c>
      <x:c r="L563" s="56" t="str">
        <x:v>Yes</x:v>
      </x:c>
      <x:c r="M563" s="56"/>
      <x:c r="N563" s="56" t="str">
        <x:v>Price and review counts are dynamic.</x:v>
      </x:c>
      <x:c r="O563" s="56" t="str">
        <x:v>Codex</x:v>
      </x:c>
    </x:row>
    <x:row r="564" ht="118" customHeight="1">
      <x:c r="A564" s="56" t="str">
        <x:v>SRC-TOR-045</x:v>
      </x:c>
      <x:c r="B564" s="56" t="str">
        <x:v>KB011</x:v>
      </x:c>
      <x:c r="C564" s="56" t="str">
        <x:v>Competitor — Beauty of Joseon Red Bean Water Gel</x:v>
      </x:c>
      <x:c r="D564" s="56" t="str">
        <x:v>Official page listed 100 mL at $18 and 4.9/886, a lower-priced lightweight gel-moisturizer alternative.</x:v>
      </x:c>
      <x:c r="E564" s="56" t="str">
        <x:v>Beauty of Joseon</x:v>
      </x:c>
      <x:c r="F564" s="56" t="str">
        <x:v>https://beautyofjoseon.com/products/red-bean-water-gel/</x:v>
      </x:c>
      <x:c r="G564" s="56" t="str">
        <x:v>Official Competitor Product Page</x:v>
      </x:c>
      <x:c r="H564" s="56"/>
      <x:c r="I564" s="56" t="str">
        <x:v>2026-08-01</x:v>
      </x:c>
      <x:c r="J564" s="56" t="str">
        <x:v>Verified Competitor Fact</x:v>
      </x:c>
      <x:c r="K564" s="56" t="str">
        <x:v>High</x:v>
      </x:c>
      <x:c r="L564" s="56" t="str">
        <x:v>Yes</x:v>
      </x:c>
      <x:c r="M564" s="56"/>
      <x:c r="N564" s="56" t="str">
        <x:v>Promotion and review counts change.</x:v>
      </x:c>
      <x:c r="O564" s="56" t="str">
        <x:v>Codex</x:v>
      </x:c>
    </x:row>
    <x:row r="565" ht="118" customHeight="1">
      <x:c r="A565" s="56" t="str">
        <x:v>SRC-TOR-046</x:v>
      </x:c>
      <x:c r="B565" s="56" t="str">
        <x:v>KB011</x:v>
      </x:c>
      <x:c r="C565" s="56" t="str">
        <x:v>Competitor — ANUA Rice 70 Glow Milky Toner</x:v>
      </x:c>
      <x:c r="D565" s="56" t="str">
        <x:v>Ulta listed 250 mL at $21 and 4.4/213 with rice, niacinamide and ceramide positioning.</x:v>
      </x:c>
      <x:c r="E565" s="56" t="str">
        <x:v>Ulta / ANUA</x:v>
      </x:c>
      <x:c r="F565" s="56" t="str">
        <x:v>https://www.ulta.com/p/rice-70-glow-milky-toner-pimprod2048932?sku=2634193</x:v>
      </x:c>
      <x:c r="G565" s="56" t="str">
        <x:v>Authorized Competitor Retailer</x:v>
      </x:c>
      <x:c r="H565" s="56"/>
      <x:c r="I565" s="56" t="str">
        <x:v>2026-08-01</x:v>
      </x:c>
      <x:c r="J565" s="56" t="str">
        <x:v>Verified Competitor Fact</x:v>
      </x:c>
      <x:c r="K565" s="56" t="str">
        <x:v>High</x:v>
      </x:c>
      <x:c r="L565" s="56" t="str">
        <x:v>Yes</x:v>
      </x:c>
      <x:c r="M565" s="56"/>
      <x:c r="N565" s="56" t="str">
        <x:v>Review counts and exclusivity can change.</x:v>
      </x:c>
      <x:c r="O565" s="56" t="str">
        <x:v>Codex</x:v>
      </x:c>
    </x:row>
    <x:row r="566" ht="118" customHeight="1">
      <x:c r="A566" s="56" t="str">
        <x:v>SRC-TOR-047</x:v>
      </x:c>
      <x:c r="B566" s="56" t="str">
        <x:v>KB011</x:v>
      </x:c>
      <x:c r="C566" s="56" t="str">
        <x:v>Competitor — Beauty of Joseon Centella mask</x:v>
      </x:c>
      <x:c r="D566" s="56" t="str">
        <x:v>Official Beauty of Joseon catalog listed the 10-sheet Centella Asiatica Calming Mask near $25 with a large positive review base.</x:v>
      </x:c>
      <x:c r="E566" s="56" t="str">
        <x:v>Beauty of Joseon</x:v>
      </x:c>
      <x:c r="F566" s="56" t="str">
        <x:v>https://beautyofjoseon.com/products/centella-asiatica-calming-mask</x:v>
      </x:c>
      <x:c r="G566" s="56" t="str">
        <x:v>Official Competitor Product Page</x:v>
      </x:c>
      <x:c r="H566" s="56"/>
      <x:c r="I566" s="56" t="str">
        <x:v>2026-08-01</x:v>
      </x:c>
      <x:c r="J566" s="56" t="str">
        <x:v>Verified Competitor Fact</x:v>
      </x:c>
      <x:c r="K566" s="56" t="str">
        <x:v>Medium-High</x:v>
      </x:c>
      <x:c r="L566" s="56" t="str">
        <x:v>Yes</x:v>
      </x:c>
      <x:c r="M566" s="56"/>
      <x:c r="N566" s="56" t="str">
        <x:v>Promotion and review displays change.</x:v>
      </x:c>
      <x:c r="O566" s="56" t="str">
        <x:v>Codex</x:v>
      </x:c>
    </x:row>
    <x:row r="567" ht="118" customHeight="1">
      <x:c r="A567" s="56" t="str">
        <x:v>SRC-TOR-048</x:v>
      </x:c>
      <x:c r="B567" s="56" t="str">
        <x:v>KB011</x:v>
      </x:c>
      <x:c r="C567" s="56" t="str">
        <x:v>Competitor — LANEIGE Lip Glowy Balm</x:v>
      </x:c>
      <x:c r="D567" s="56" t="str">
        <x:v>Sephora listed 10 g at $19 with about 7.8K reviews and very large consumer engagement.</x:v>
      </x:c>
      <x:c r="E567" s="56" t="str">
        <x:v>Sephora / LANEIGE</x:v>
      </x:c>
      <x:c r="F567" s="56" t="str">
        <x:v>https://www.sephora.com/product/glowy-lip-balm-P443563</x:v>
      </x:c>
      <x:c r="G567" s="56" t="str">
        <x:v>Authorized Competitor Retailer</x:v>
      </x:c>
      <x:c r="H567" s="56"/>
      <x:c r="I567" s="56" t="str">
        <x:v>2026-08-01</x:v>
      </x:c>
      <x:c r="J567" s="56" t="str">
        <x:v>Verified Competitor Fact</x:v>
      </x:c>
      <x:c r="K567" s="56" t="str">
        <x:v>High</x:v>
      </x:c>
      <x:c r="L567" s="56" t="str">
        <x:v>Yes</x:v>
      </x:c>
      <x:c r="M567" s="56"/>
      <x:c r="N567" s="56" t="str">
        <x:v>Flavor/shade counts and reviews change.</x:v>
      </x:c>
      <x:c r="O567" s="56" t="str">
        <x:v>Codex</x:v>
      </x:c>
    </x:row>
    <x:row r="568" ht="118" customHeight="1">
      <x:c r="A568" s="56" t="str">
        <x:v>SRC-TOR-049</x:v>
      </x:c>
      <x:c r="B568" s="56" t="str">
        <x:v>KB011</x:v>
      </x:c>
      <x:c r="C568" s="56" t="str">
        <x:v>FDA — MoCRA registration and listing</x:v>
      </x:c>
      <x:c r="D568" s="56" t="str">
        <x:v>FDA states manufacturers/processors must register facilities and responsible persons must list marketed cosmetic products, with biennial registration renewal and annual listing updates.</x:v>
      </x:c>
      <x:c r="E568" s="56" t="str">
        <x:v>U.S. FDA</x:v>
      </x:c>
      <x:c r="F568" s="56" t="str">
        <x:v>https://www.fda.gov/cosmetics/registration-listing-cosmetic-product-facilities-and-products</x:v>
      </x:c>
      <x:c r="G568" s="56" t="str">
        <x:v>Regulator</x:v>
      </x:c>
      <x:c r="H568" s="56"/>
      <x:c r="I568" s="56" t="str">
        <x:v>2026-08-01</x:v>
      </x:c>
      <x:c r="J568" s="56" t="str">
        <x:v>Verified Regulatory Requirement</x:v>
      </x:c>
      <x:c r="K568" s="56" t="str">
        <x:v>High</x:v>
      </x:c>
      <x:c r="L568" s="56" t="str">
        <x:v>Yes</x:v>
      </x:c>
      <x:c r="M568" s="56"/>
      <x:c r="N568" s="56" t="str">
        <x:v>Registration/listing is not FDA approval; verify exact facilities and responsible person.</x:v>
      </x:c>
      <x:c r="O568" s="56" t="str">
        <x:v>Codex</x:v>
      </x:c>
    </x:row>
    <x:row r="569" ht="118" customHeight="1">
      <x:c r="A569" s="56" t="str">
        <x:v>SRC-TOR-050</x:v>
      </x:c>
      <x:c r="B569" s="56" t="str">
        <x:v>KB011</x:v>
      </x:c>
      <x:c r="C569" s="56" t="str">
        <x:v>FDA — cosmetic claims classification</x:v>
      </x:c>
      <x:c r="D569" s="56" t="str">
        <x:v>FDA states cosmetic claims must be truthful and not misleading; disease-treatment or structure/function claims can make a product a drug.</x:v>
      </x:c>
      <x:c r="E569" s="56" t="str">
        <x:v>U.S. FDA</x:v>
      </x:c>
      <x:c r="F569" s="56" t="str">
        <x:v>https://www.fda.gov/cosmetics/cosmetics-labeling/cosmetics-labeling-claims</x:v>
      </x:c>
      <x:c r="G569" s="56" t="str">
        <x:v>Regulator</x:v>
      </x:c>
      <x:c r="H569" s="56"/>
      <x:c r="I569" s="56" t="str">
        <x:v>2026-08-01</x:v>
      </x:c>
      <x:c r="J569" s="56" t="str">
        <x:v>Verified Regulatory Requirement</x:v>
      </x:c>
      <x:c r="K569" s="56" t="str">
        <x:v>High</x:v>
      </x:c>
      <x:c r="L569" s="56" t="str">
        <x:v>Yes</x:v>
      </x:c>
      <x:c r="M569" s="56"/>
      <x:c r="N569" s="56" t="str">
        <x:v>Review deep-layer, pore-tightening, wrinkle, pigmentation, acne and barrier-repair language.</x:v>
      </x:c>
      <x:c r="O569" s="56" t="str">
        <x:v>Codex</x:v>
      </x:c>
    </x:row>
    <x:row r="570" ht="118" customHeight="1">
      <x:c r="A570" s="56" t="str">
        <x:v>SRC-TOR-051</x:v>
      </x:c>
      <x:c r="B570" s="56" t="str">
        <x:v>KB011</x:v>
      </x:c>
      <x:c r="C570" s="56" t="str">
        <x:v>FDA — importing cosmetics and entry data</x:v>
      </x:c>
      <x:c r="D570" s="56" t="str">
        <x:v>FDA explains cosmetics imports are regulated and accurate entry information is needed; drug-like claims can affect classification.</x:v>
      </x:c>
      <x:c r="E570" s="56" t="str">
        <x:v>U.S. FDA</x:v>
      </x:c>
      <x:c r="F570" s="56" t="str">
        <x:v>https://www.fda.gov/industry/importing-fda-regulated-products/importing-cosmetics</x:v>
      </x:c>
      <x:c r="G570" s="56" t="str">
        <x:v>Regulator</x:v>
      </x:c>
      <x:c r="H570" s="56"/>
      <x:c r="I570" s="56" t="str">
        <x:v>2026-08-01</x:v>
      </x:c>
      <x:c r="J570" s="56" t="str">
        <x:v>Verified Import / Classification Requirement</x:v>
      </x:c>
      <x:c r="K570" s="56" t="str">
        <x:v>High</x:v>
      </x:c>
      <x:c r="L570" s="56" t="str">
        <x:v>Yes</x:v>
      </x:c>
      <x:c r="M570" s="56"/>
      <x:c r="N570" s="56" t="str">
        <x:v>Confirm importer of record, product codes, labels and exact shipped formulas.</x:v>
      </x:c>
      <x:c r="O570" s="56" t="str">
        <x:v>Codex</x:v>
      </x:c>
    </x:row>
    <x:row r="571" ht="118" customHeight="1">
      <x:c r="A571" s="56" t="str">
        <x:v>SRC-TOR-052</x:v>
      </x:c>
      <x:c r="B571" s="56" t="str">
        <x:v>KB011</x:v>
      </x:c>
      <x:c r="C571" s="56" t="str">
        <x:v>Targeted DailyMed sunscreen check</x:v>
      </x:c>
      <x:c r="D571" s="56" t="str">
        <x:v>A targeted DailyMed search did not locate a Torriden OTC drug label on 2026-08-01. This does not prove noncompliance or establish legal clearance.</x:v>
      </x:c>
      <x:c r="E571" s="56" t="str">
        <x:v>DailyMed / U.S. NLM</x:v>
      </x:c>
      <x:c r="F571" s="56" t="str">
        <x:v>https://dailymed.nlm.nih.gov/dailymed/search.cfm?query=Torriden</x:v>
      </x:c>
      <x:c r="G571" s="56" t="str">
        <x:v>Regulatory Label Database Search</x:v>
      </x:c>
      <x:c r="H571" s="56"/>
      <x:c r="I571" s="56" t="str">
        <x:v>2026-08-01</x:v>
      </x:c>
      <x:c r="J571" s="56" t="str">
        <x:v>Scoped No-Result / Further Verification Required</x:v>
      </x:c>
      <x:c r="K571" s="56" t="str">
        <x:v>Medium</x:v>
      </x:c>
      <x:c r="L571" s="56" t="str">
        <x:v>Yes</x:v>
      </x:c>
      <x:c r="M571" s="56"/>
      <x:c r="N571" s="56" t="str">
        <x:v>Do not import or distribute Korean-market SPF products without exact U.S. OTC label/NDC, Drug Facts, actives, testing, manufacturer and artwork confirmed by counsel.</x:v>
      </x:c>
      <x:c r="O571" s="56" t="str">
        <x:v>Codex</x:v>
      </x:c>
    </x:row>
    <x:row r="572" ht="104" customHeight="1">
      <x:c r="A572" s="56" t="str">
        <x:v>SRC-NBZ-001</x:v>
      </x:c>
      <x:c r="B572" s="56" t="str">
        <x:v>KB012</x:v>
      </x:c>
      <x:c r="C572" s="56" t="str">
        <x:v>Core verification — official U.S. website</x:v>
      </x:c>
      <x:c r="D572" s="56" t="str">
        <x:v>Current official U.S. consumer site is us.numbuzin.com; the Source URL numbuzin.com remains an official Korean/global brand domain.</x:v>
      </x:c>
      <x:c r="E572" s="56" t="str">
        <x:v>Numbuzin U.S.</x:v>
      </x:c>
      <x:c r="F572" s="56" t="str">
        <x:v>https://us.numbuzin.com</x:v>
      </x:c>
      <x:c r="G572" s="56" t="str">
        <x:v>Official Brand Website</x:v>
      </x:c>
      <x:c r="H572" s="56"/>
      <x:c r="I572" s="56" t="str">
        <x:v>2026-08-01</x:v>
      </x:c>
      <x:c r="J572" s="56" t="str">
        <x:v>Verified Official Source</x:v>
      </x:c>
      <x:c r="K572" s="56" t="str">
        <x:v>High</x:v>
      </x:c>
      <x:c r="L572" s="56" t="str">
        <x:v>Yes</x:v>
      </x:c>
      <x:c r="M572" s="56"/>
      <x:c r="N572" s="56" t="str">
        <x:v>Use U.S. site for U.S. assortment, prices and consumer support; preserve Source URL unchanged.</x:v>
      </x:c>
      <x:c r="O572" s="56" t="str">
        <x:v>Codex</x:v>
      </x:c>
    </x:row>
    <x:row r="573" ht="104" customHeight="1">
      <x:c r="A573" s="56" t="str">
        <x:v>SRC-NBZ-002</x:v>
      </x:c>
      <x:c r="B573" s="56" t="str">
        <x:v>KB012</x:v>
      </x:c>
      <x:c r="C573" s="56" t="str">
        <x:v>Core verification — source domain</x:v>
      </x:c>
      <x:c r="D573" s="56" t="str">
        <x:v>numbuzin.com resolves to the brand's Korean/global official web presence.</x:v>
      </x:c>
      <x:c r="E573" s="56" t="str">
        <x:v>Numbuzin Korea</x:v>
      </x:c>
      <x:c r="F573" s="56" t="str">
        <x:v>https://www.numbuzin.com/about.html</x:v>
      </x:c>
      <x:c r="G573" s="56" t="str">
        <x:v>Official Brand Website</x:v>
      </x:c>
      <x:c r="H573" s="56"/>
      <x:c r="I573" s="56" t="str">
        <x:v>2026-08-01</x:v>
      </x:c>
      <x:c r="J573" s="56" t="str">
        <x:v>Verified Official Source</x:v>
      </x:c>
      <x:c r="K573" s="56" t="str">
        <x:v>High</x:v>
      </x:c>
      <x:c r="L573" s="56" t="str">
        <x:v>Yes</x:v>
      </x:c>
      <x:c r="M573" s="56"/>
      <x:c r="N573" s="56" t="str">
        <x:v>Confirms the controlling Source website is official, with U.S. site clarification.</x:v>
      </x:c>
      <x:c r="O573" s="56" t="str">
        <x:v>Codex</x:v>
      </x:c>
    </x:row>
    <x:row r="574" ht="104" customHeight="1">
      <x:c r="A574" s="56" t="str">
        <x:v>SRC-NBZ-003</x:v>
      </x:c>
      <x:c r="B574" s="56" t="str">
        <x:v>KB012</x:v>
      </x:c>
      <x:c r="C574" s="56" t="str">
        <x:v>Brand history and positioning</x:v>
      </x:c>
      <x:c r="D574" s="56" t="str">
        <x:v>Official About page says Numbuzin was founded in 2019 and uses numbered, concern-led skincare solutions.</x:v>
      </x:c>
      <x:c r="E574" s="56" t="str">
        <x:v>Numbuzin U.S. About</x:v>
      </x:c>
      <x:c r="F574" s="56" t="str">
        <x:v>https://us.numbuzin.com/pages/numbuzin</x:v>
      </x:c>
      <x:c r="G574" s="56" t="str">
        <x:v>Official Brand Page</x:v>
      </x:c>
      <x:c r="H574" s="56"/>
      <x:c r="I574" s="56" t="str">
        <x:v>2026-08-01</x:v>
      </x:c>
      <x:c r="J574" s="56" t="str">
        <x:v>Verified Brand Fact</x:v>
      </x:c>
      <x:c r="K574" s="56" t="str">
        <x:v>High</x:v>
      </x:c>
      <x:c r="L574" s="56" t="str">
        <x:v>Yes</x:v>
      </x:c>
      <x:c r="M574" s="56"/>
      <x:c r="N574" s="56" t="str">
        <x:v>Company philosophy is described as beginning in 2018.</x:v>
      </x:c>
      <x:c r="O574" s="56" t="str">
        <x:v>Codex</x:v>
      </x:c>
    </x:row>
    <x:row r="575" ht="104" customHeight="1">
      <x:c r="A575" s="56" t="str">
        <x:v>SRC-NBZ-004</x:v>
      </x:c>
      <x:c r="B575" s="56" t="str">
        <x:v>KB012</x:v>
      </x:c>
      <x:c r="C575" s="56" t="str">
        <x:v>U.S. legal operator</x:v>
      </x:c>
      <x:c r="D575" s="56" t="str">
        <x:v>Official U.S. Terms identify BENOW BEAUTY Inc. as operator of the U.S. mall.</x:v>
      </x:c>
      <x:c r="E575" s="56" t="str">
        <x:v>Numbuzin U.S. Terms</x:v>
      </x:c>
      <x:c r="F575" s="56" t="str">
        <x:v>https://us.numbuzin.com/policies/terms-of-service</x:v>
      </x:c>
      <x:c r="G575" s="56" t="str">
        <x:v>Official Legal Page</x:v>
      </x:c>
      <x:c r="H575" s="56"/>
      <x:c r="I575" s="56" t="str">
        <x:v>2026-08-01</x:v>
      </x:c>
      <x:c r="J575" s="56" t="str">
        <x:v>Verified Legal-Entity Fact</x:v>
      </x:c>
      <x:c r="K575" s="56" t="str">
        <x:v>High</x:v>
      </x:c>
      <x:c r="L575" s="56" t="str">
        <x:v>Yes</x:v>
      </x:c>
      <x:c r="M575" s="56"/>
      <x:c r="N575" s="56" t="str">
        <x:v>Confirm contracting seller, importer and responsible person separately.</x:v>
      </x:c>
      <x:c r="O575" s="56" t="str">
        <x:v>Codex</x:v>
      </x:c>
    </x:row>
    <x:row r="576" ht="104" customHeight="1">
      <x:c r="A576" s="56" t="str">
        <x:v>SRC-NBZ-005</x:v>
      </x:c>
      <x:c r="B576" s="56" t="str">
        <x:v>KB012</x:v>
      </x:c>
      <x:c r="C576" s="56" t="str">
        <x:v>U.S. fulfillment and wholesale contact</x:v>
      </x:c>
      <x:c r="D576" s="56" t="str">
        <x:v>FAQ states U.S. fulfillment and provides cs_numbuzinus@benow.co.kr; About routes wholesale to sales@benow.co.kr and marketing to marketing@benow.co.kr.</x:v>
      </x:c>
      <x:c r="E576" s="56" t="str">
        <x:v>Numbuzin U.S. FAQ</x:v>
      </x:c>
      <x:c r="F576" s="56" t="str">
        <x:v>https://us.numbuzin.com/pages/help-faqs</x:v>
      </x:c>
      <x:c r="G576" s="56" t="str">
        <x:v>Official FAQ</x:v>
      </x:c>
      <x:c r="H576" s="56"/>
      <x:c r="I576" s="56" t="str">
        <x:v>2026-08-01</x:v>
      </x:c>
      <x:c r="J576" s="56" t="str">
        <x:v>Verified Operating Fact</x:v>
      </x:c>
      <x:c r="K576" s="56" t="str">
        <x:v>High</x:v>
      </x:c>
      <x:c r="L576" s="56" t="str">
        <x:v>Yes</x:v>
      </x:c>
      <x:c r="M576" s="56"/>
      <x:c r="N576" s="56" t="str">
        <x:v>FAQ also notes local regulatory differences and limited certification statements.</x:v>
      </x:c>
      <x:c r="O576" s="56" t="str">
        <x:v>Codex</x:v>
      </x:c>
    </x:row>
    <x:row r="577" ht="104" customHeight="1">
      <x:c r="A577" s="56" t="str">
        <x:v>SRC-NBZ-006</x:v>
      </x:c>
      <x:c r="B577" s="56" t="str">
        <x:v>KB012</x:v>
      </x:c>
      <x:c r="C577" s="56" t="str">
        <x:v>Core verification — primary category</x:v>
      </x:c>
      <x:c r="D577" s="56" t="str">
        <x:v>Official assortment is skincare: toners, serums/ampoules, toner pads, cleansers, creams, masks and U.S. OTC sunscreen.</x:v>
      </x:c>
      <x:c r="E577" s="56" t="str">
        <x:v>Numbuzin U.S.</x:v>
      </x:c>
      <x:c r="F577" s="56" t="str">
        <x:v>https://us.numbuzin.com</x:v>
      </x:c>
      <x:c r="G577" s="56" t="str">
        <x:v>Official Brand Catalog</x:v>
      </x:c>
      <x:c r="H577" s="56"/>
      <x:c r="I577" s="56" t="str">
        <x:v>2026-08-01</x:v>
      </x:c>
      <x:c r="J577" s="56" t="str">
        <x:v>Verified Category Fact</x:v>
      </x:c>
      <x:c r="K577" s="56" t="str">
        <x:v>High</x:v>
      </x:c>
      <x:c r="L577" s="56" t="str">
        <x:v>Yes</x:v>
      </x:c>
      <x:c r="M577" s="56"/>
      <x:c r="N577" s="56" t="str">
        <x:v>Primary category remains Skincare.</x:v>
      </x:c>
      <x:c r="O577" s="56" t="str">
        <x:v>Codex</x:v>
      </x:c>
    </x:row>
    <x:row r="578" ht="104" customHeight="1">
      <x:c r="A578" s="56" t="str">
        <x:v>SRC-NBZ-007</x:v>
      </x:c>
      <x:c r="B578" s="56" t="str">
        <x:v>KB012</x:v>
      </x:c>
      <x:c r="C578" s="56" t="str">
        <x:v>Core verification — official channel map</x:v>
      </x:c>
      <x:c r="D578" s="56" t="str">
        <x:v>Official Linktree links the U.S. website, Instagram, TikTok, Amazon and U.S./global retailers including Ulta, Target and Costco.</x:v>
      </x:c>
      <x:c r="E578" s="56" t="str">
        <x:v>Numbuzin Linktree</x:v>
      </x:c>
      <x:c r="F578" s="56" t="str">
        <x:v>https://linktr.ee/numbuzin</x:v>
      </x:c>
      <x:c r="G578" s="56" t="str">
        <x:v>Official Social Link Hub</x:v>
      </x:c>
      <x:c r="H578" s="56"/>
      <x:c r="I578" s="56" t="str">
        <x:v>2026-08-01</x:v>
      </x:c>
      <x:c r="J578" s="56" t="str">
        <x:v>Verified Channel Map</x:v>
      </x:c>
      <x:c r="K578" s="56" t="str">
        <x:v>High</x:v>
      </x:c>
      <x:c r="L578" s="56" t="str">
        <x:v>Yes</x:v>
      </x:c>
      <x:c r="M578" s="56"/>
      <x:c r="N578" s="56" t="str">
        <x:v>Corroborates dense omnichannel presence.</x:v>
      </x:c>
      <x:c r="O578" s="56" t="str">
        <x:v>Codex</x:v>
      </x:c>
    </x:row>
    <x:row r="579" ht="104" customHeight="1">
      <x:c r="A579" s="56" t="str">
        <x:v>SRC-NBZ-008</x:v>
      </x:c>
      <x:c r="B579" s="56" t="str">
        <x:v>KB012</x:v>
      </x:c>
      <x:c r="C579" s="56" t="str">
        <x:v>Awareness — Instagram</x:v>
      </x:c>
      <x:c r="D579" s="56" t="str">
        <x:v>Third-party monitoring displayed 205,645 followers, 250 posts and 0.31 engagement for @numbuzin_global.</x:v>
      </x:c>
      <x:c r="E579" s="56" t="str">
        <x:v>Social Blade</x:v>
      </x:c>
      <x:c r="F579" s="56" t="str">
        <x:v>https://socialblade.com/instagram/user/numbuzin_global/realtime</x:v>
      </x:c>
      <x:c r="G579" s="56" t="str">
        <x:v>Third-Party Social Analytics</x:v>
      </x:c>
      <x:c r="H579" s="56"/>
      <x:c r="I579" s="56" t="str">
        <x:v>2026-08-01</x:v>
      </x:c>
      <x:c r="J579" s="56" t="str">
        <x:v>Dynamic Awareness Signal</x:v>
      </x:c>
      <x:c r="K579" s="56" t="str">
        <x:v>Medium</x:v>
      </x:c>
      <x:c r="L579" s="56" t="str">
        <x:v>Yes</x:v>
      </x:c>
      <x:c r="M579" s="56"/>
      <x:c r="N579" s="56" t="str">
        <x:v>Global, not U.S.-only; figures change.</x:v>
      </x:c>
      <x:c r="O579" s="56" t="str">
        <x:v>Codex</x:v>
      </x:c>
    </x:row>
    <x:row r="580" ht="104" customHeight="1">
      <x:c r="A580" s="56" t="str">
        <x:v>SRC-NBZ-009</x:v>
      </x:c>
      <x:c r="B580" s="56" t="str">
        <x:v>KB012</x:v>
      </x:c>
      <x:c r="C580" s="56" t="str">
        <x:v>Awareness — TikTok</x:v>
      </x:c>
      <x:c r="D580" s="56" t="str">
        <x:v>Third-party ranking displayed about 125.2K followers, 6.5K average views and 3.6% engagement for @numbuzin_global.</x:v>
      </x:c>
      <x:c r="E580" s="56" t="str">
        <x:v>Scrumball</x:v>
      </x:c>
      <x:c r="F580" s="56" t="str">
        <x:v>https://www.scrumball.com/ranking/top-beauty-influencers-on-tiktok-in-korea</x:v>
      </x:c>
      <x:c r="G580" s="56" t="str">
        <x:v>Third-Party Social Analytics</x:v>
      </x:c>
      <x:c r="H580" s="56"/>
      <x:c r="I580" s="56" t="str">
        <x:v>2026-08-01</x:v>
      </x:c>
      <x:c r="J580" s="56" t="str">
        <x:v>Dynamic Awareness Signal</x:v>
      </x:c>
      <x:c r="K580" s="56" t="str">
        <x:v>Medium-Low</x:v>
      </x:c>
      <x:c r="L580" s="56" t="str">
        <x:v>Yes</x:v>
      </x:c>
      <x:c r="M580" s="56"/>
      <x:c r="N580" s="56" t="str">
        <x:v>Global account and third-party methodology; not U.S.-only.</x:v>
      </x:c>
      <x:c r="O580" s="56" t="str">
        <x:v>Codex</x:v>
      </x:c>
    </x:row>
    <x:row r="581" ht="104" customHeight="1">
      <x:c r="A581" s="56" t="str">
        <x:v>SRC-NBZ-010</x:v>
      </x:c>
      <x:c r="B581" s="56" t="str">
        <x:v>KB012</x:v>
      </x:c>
      <x:c r="C581" s="56" t="str">
        <x:v>Awareness — hashtag</x:v>
      </x:c>
      <x:c r="D581" s="56" t="str">
        <x:v>TikTok Creative Center displayed about 156K overall posts for #numbuzin at the reviewed snapshot.</x:v>
      </x:c>
      <x:c r="E581" s="56" t="str">
        <x:v>TikTok Creative Center</x:v>
      </x:c>
      <x:c r="F581" s="56" t="str">
        <x:v>https://ads.tiktok.com/business/creativecenter/hashtag/numbuzin/pc/en?countryCode=TH&amp;period=7</x:v>
      </x:c>
      <x:c r="G581" s="56" t="str">
        <x:v>Platform Trend Tool</x:v>
      </x:c>
      <x:c r="H581" s="56"/>
      <x:c r="I581" s="56" t="str">
        <x:v>2026-08-01</x:v>
      </x:c>
      <x:c r="J581" s="56" t="str">
        <x:v>Dynamic Global Trend Signal</x:v>
      </x:c>
      <x:c r="K581" s="56" t="str">
        <x:v>Medium</x:v>
      </x:c>
      <x:c r="L581" s="56" t="str">
        <x:v>Yes</x:v>
      </x:c>
      <x:c r="M581" s="56"/>
      <x:c r="N581" s="56" t="str">
        <x:v>Snapshot used Thailand filter and is not a U.S.-specific demand metric.</x:v>
      </x:c>
      <x:c r="O581" s="56" t="str">
        <x:v>Codex</x:v>
      </x:c>
    </x:row>
    <x:row r="582" ht="104" customHeight="1">
      <x:c r="A582" s="56" t="str">
        <x:v>SRC-NBZ-011</x:v>
      </x:c>
      <x:c r="B582" s="56" t="str">
        <x:v>KB012</x:v>
      </x:c>
      <x:c r="C582" s="56" t="str">
        <x:v>Core verification — Amazon storefront</x:v>
      </x:c>
      <x:c r="D582" s="56" t="str">
        <x:v>Official Linktree points to the Numbuzin Amazon brand store; sampled product pages showed numbuzin Official as seller.</x:v>
      </x:c>
      <x:c r="E582" s="56" t="str">
        <x:v>Amazon U.S.</x:v>
      </x:c>
      <x:c r="F582" s="56" t="str">
        <x:v>https://www.amazon.com/stores/page/BDB9CC0A-DA48-41E3-ACD8-B0255744997D</x:v>
      </x:c>
      <x:c r="G582" s="56" t="str">
        <x:v>Official Marketplace Storefront</x:v>
      </x:c>
      <x:c r="H582" s="56"/>
      <x:c r="I582" s="56" t="str">
        <x:v>2026-08-01</x:v>
      </x:c>
      <x:c r="J582" s="56" t="str">
        <x:v>Verified Official-Seller Context</x:v>
      </x:c>
      <x:c r="K582" s="56" t="str">
        <x:v>High</x:v>
      </x:c>
      <x:c r="L582" s="56" t="str">
        <x:v>Yes</x:v>
      </x:c>
      <x:c r="M582" s="56"/>
      <x:c r="N582" s="56" t="str">
        <x:v>Seller and shipping identity must be rechecked at purchase.</x:v>
      </x:c>
      <x:c r="O582" s="56" t="str">
        <x:v>Codex</x:v>
      </x:c>
    </x:row>
    <x:row r="583" ht="104" customHeight="1">
      <x:c r="A583" s="56" t="str">
        <x:v>SRC-NBZ-012</x:v>
      </x:c>
      <x:c r="B583" s="56" t="str">
        <x:v>KB012</x:v>
      </x:c>
      <x:c r="C583" s="56" t="str">
        <x:v>Core verification — Amazon No. 9 Essence</x:v>
      </x:c>
      <x:c r="D583" s="56" t="str">
        <x:v>Page showed 20K+ bought/month, $23.30 one-time, #1,874 Beauty and #56 Facial Serums; sold by numbuzin Official.</x:v>
      </x:c>
      <x:c r="E583" s="56" t="str">
        <x:v>Amazon U.S.</x:v>
      </x:c>
      <x:c r="F583" s="56" t="str">
        <x:v>https://www.amazon.com/dp/B0DLKGLBPG</x:v>
      </x:c>
      <x:c r="G583" s="56" t="str">
        <x:v>Marketplace / Official Seller Display</x:v>
      </x:c>
      <x:c r="H583" s="56"/>
      <x:c r="I583" s="56" t="str">
        <x:v>2026-08-01</x:v>
      </x:c>
      <x:c r="J583" s="56" t="str">
        <x:v>Verified Platform Display</x:v>
      </x:c>
      <x:c r="K583" s="56" t="str">
        <x:v>High</x:v>
      </x:c>
      <x:c r="L583" s="56" t="str">
        <x:v>Yes</x:v>
      </x:c>
      <x:c r="M583" s="56"/>
      <x:c r="N583" s="56" t="str">
        <x:v>ASIN B0DLKGLBPG; dynamic public proxy.</x:v>
      </x:c>
      <x:c r="O583" s="56" t="str">
        <x:v>Codex</x:v>
      </x:c>
    </x:row>
    <x:row r="584" ht="104" customHeight="1">
      <x:c r="A584" s="56" t="str">
        <x:v>SRC-NBZ-013</x:v>
      </x:c>
      <x:c r="B584" s="56" t="str">
        <x:v>KB012</x:v>
      </x:c>
      <x:c r="C584" s="56" t="str">
        <x:v>Core verification — Amazon No. 5 Serum</x:v>
      </x:c>
      <x:c r="D584" s="56" t="str">
        <x:v>Page showed 9K+ bought/month, $12.74 displayed subscription/current price, #1,836 Beauty and #86 Facial Serums; sold by numbuzin Official.</x:v>
      </x:c>
      <x:c r="E584" s="56" t="str">
        <x:v>Amazon U.S.</x:v>
      </x:c>
      <x:c r="F584" s="56" t="str">
        <x:v>https://www.amazon.com/dp/B0C61FD7P9</x:v>
      </x:c>
      <x:c r="G584" s="56" t="str">
        <x:v>Marketplace / Official Seller Display</x:v>
      </x:c>
      <x:c r="H584" s="56"/>
      <x:c r="I584" s="56" t="str">
        <x:v>2026-08-01</x:v>
      </x:c>
      <x:c r="J584" s="56" t="str">
        <x:v>Verified Platform Display</x:v>
      </x:c>
      <x:c r="K584" s="56" t="str">
        <x:v>High</x:v>
      </x:c>
      <x:c r="L584" s="56" t="str">
        <x:v>Yes</x:v>
      </x:c>
      <x:c r="M584" s="56"/>
      <x:c r="N584" s="56" t="str">
        <x:v>ASIN B0C61FD7P9; price type changes.</x:v>
      </x:c>
      <x:c r="O584" s="56" t="str">
        <x:v>Codex</x:v>
      </x:c>
    </x:row>
    <x:row r="585" ht="104" customHeight="1">
      <x:c r="A585" s="56" t="str">
        <x:v>SRC-NBZ-014</x:v>
      </x:c>
      <x:c r="B585" s="56" t="str">
        <x:v>KB012</x:v>
      </x:c>
      <x:c r="C585" s="56" t="str">
        <x:v>Core verification — Amazon No. 3 Toner</x:v>
      </x:c>
      <x:c r="D585" s="56" t="str">
        <x:v>Page showed 7K+ bought/month, $12.70 and #33 Toners; sold by numbuzin Official.</x:v>
      </x:c>
      <x:c r="E585" s="56" t="str">
        <x:v>Amazon U.S.</x:v>
      </x:c>
      <x:c r="F585" s="56" t="str">
        <x:v>https://www.amazon.com/dp/B0915CMY57</x:v>
      </x:c>
      <x:c r="G585" s="56" t="str">
        <x:v>Marketplace / Official Seller Display</x:v>
      </x:c>
      <x:c r="H585" s="56"/>
      <x:c r="I585" s="56" t="str">
        <x:v>2026-08-01</x:v>
      </x:c>
      <x:c r="J585" s="56" t="str">
        <x:v>Verified Platform Display</x:v>
      </x:c>
      <x:c r="K585" s="56" t="str">
        <x:v>High</x:v>
      </x:c>
      <x:c r="L585" s="56" t="str">
        <x:v>Yes</x:v>
      </x:c>
      <x:c r="M585" s="56"/>
      <x:c r="N585" s="56" t="str">
        <x:v>ASIN B0915CMY57; does not support a current top-10 claim.</x:v>
      </x:c>
      <x:c r="O585" s="56" t="str">
        <x:v>Codex</x:v>
      </x:c>
    </x:row>
    <x:row r="586" ht="104" customHeight="1">
      <x:c r="A586" s="56" t="str">
        <x:v>SRC-NBZ-015</x:v>
      </x:c>
      <x:c r="B586" s="56" t="str">
        <x:v>KB012</x:v>
      </x:c>
      <x:c r="C586" s="56" t="str">
        <x:v>Core verification — Amazon No. 9 Toner</x:v>
      </x:c>
      <x:c r="D586" s="56" t="str">
        <x:v>Page showed 5K+ bought/month, $16.99 one-time and #44 Toners; sold by numbuzin Official.</x:v>
      </x:c>
      <x:c r="E586" s="56" t="str">
        <x:v>Amazon U.S.</x:v>
      </x:c>
      <x:c r="F586" s="56" t="str">
        <x:v>https://www.amazon.com/dp/B0F4RF551P</x:v>
      </x:c>
      <x:c r="G586" s="56" t="str">
        <x:v>Marketplace / Official Seller Display</x:v>
      </x:c>
      <x:c r="H586" s="56"/>
      <x:c r="I586" s="56" t="str">
        <x:v>2026-08-01</x:v>
      </x:c>
      <x:c r="J586" s="56" t="str">
        <x:v>Verified Platform Display</x:v>
      </x:c>
      <x:c r="K586" s="56" t="str">
        <x:v>High</x:v>
      </x:c>
      <x:c r="L586" s="56" t="str">
        <x:v>Yes</x:v>
      </x:c>
      <x:c r="M586" s="56"/>
      <x:c r="N586" s="56" t="str">
        <x:v>ASIN B0F4RF551P; dynamic public proxy.</x:v>
      </x:c>
      <x:c r="O586" s="56" t="str">
        <x:v>Codex</x:v>
      </x:c>
    </x:row>
    <x:row r="587" ht="104" customHeight="1">
      <x:c r="A587" s="56" t="str">
        <x:v>SRC-NBZ-016</x:v>
      </x:c>
      <x:c r="B587" s="56" t="str">
        <x:v>KB012</x:v>
      </x:c>
      <x:c r="C587" s="56" t="str">
        <x:v>Core verification — Amazon No. 3 Serum</x:v>
      </x:c>
      <x:c r="D587" s="56" t="str">
        <x:v>Page showed 1K+ bought/month, 4.4/4,274 and #446 Facial Serums; sold by numbuzin Official. No featured price was displayed.</x:v>
      </x:c>
      <x:c r="E587" s="56" t="str">
        <x:v>Amazon U.S.</x:v>
      </x:c>
      <x:c r="F587" s="56" t="str">
        <x:v>https://www.amazon.com/dp/B0915K6WD3</x:v>
      </x:c>
      <x:c r="G587" s="56" t="str">
        <x:v>Marketplace / Official Seller Display</x:v>
      </x:c>
      <x:c r="H587" s="56"/>
      <x:c r="I587" s="56" t="str">
        <x:v>2026-08-01</x:v>
      </x:c>
      <x:c r="J587" s="56" t="str">
        <x:v>Verified Platform Display</x:v>
      </x:c>
      <x:c r="K587" s="56" t="str">
        <x:v>High</x:v>
      </x:c>
      <x:c r="L587" s="56" t="str">
        <x:v>Yes</x:v>
      </x:c>
      <x:c r="M587" s="56"/>
      <x:c r="N587" s="56" t="str">
        <x:v>ASIN B0915K6WD3; revenue excluded from floor.</x:v>
      </x:c>
      <x:c r="O587" s="56" t="str">
        <x:v>Codex</x:v>
      </x:c>
    </x:row>
    <x:row r="588" ht="104" customHeight="1">
      <x:c r="A588" s="56" t="str">
        <x:v>SRC-NBZ-017</x:v>
      </x:c>
      <x:c r="B588" s="56" t="str">
        <x:v>KB012</x:v>
      </x:c>
      <x:c r="C588" s="56" t="str">
        <x:v>Amazon portfolio breadth — No. 5 Pads</x:v>
      </x:c>
      <x:c r="D588" s="56" t="str">
        <x:v>No. 5 toner pads showed 2K+ bought/month and #71 Toners from numbuzin Official.</x:v>
      </x:c>
      <x:c r="E588" s="56" t="str">
        <x:v>Amazon U.S.</x:v>
      </x:c>
      <x:c r="F588" s="56" t="str">
        <x:v>https://www.amazon.com/dp/B0C61CJ66L</x:v>
      </x:c>
      <x:c r="G588" s="56" t="str">
        <x:v>Marketplace / Official Seller Display</x:v>
      </x:c>
      <x:c r="H588" s="56"/>
      <x:c r="I588" s="56" t="str">
        <x:v>2026-08-01</x:v>
      </x:c>
      <x:c r="J588" s="56" t="str">
        <x:v>Verified Secondary Demand Signal</x:v>
      </x:c>
      <x:c r="K588" s="56" t="str">
        <x:v>High</x:v>
      </x:c>
      <x:c r="L588" s="56" t="str">
        <x:v>Yes</x:v>
      </x:c>
      <x:c r="M588" s="56"/>
      <x:c r="N588" s="56" t="str">
        <x:v>ASIN B0C61CJ66L; excluded from five-hero floor.</x:v>
      </x:c>
      <x:c r="O588" s="56" t="str">
        <x:v>Codex</x:v>
      </x:c>
    </x:row>
    <x:row r="589" ht="104" customHeight="1">
      <x:c r="A589" s="56" t="str">
        <x:v>SRC-NBZ-018</x:v>
      </x:c>
      <x:c r="B589" s="56" t="str">
        <x:v>KB012</x:v>
      </x:c>
      <x:c r="C589" s="56" t="str">
        <x:v>Amazon portfolio breadth — No. 5 Toner</x:v>
      </x:c>
      <x:c r="D589" s="56" t="str">
        <x:v>No. 5 Vitamin Boosting Essential Toner showed 600+ bought/month, 4.6/589 and #180 Toners.</x:v>
      </x:c>
      <x:c r="E589" s="56" t="str">
        <x:v>Amazon U.S.</x:v>
      </x:c>
      <x:c r="F589" s="56" t="str">
        <x:v>https://www.amazon.com/dp/B0CT54F1FP</x:v>
      </x:c>
      <x:c r="G589" s="56" t="str">
        <x:v>Marketplace Display</x:v>
      </x:c>
      <x:c r="H589" s="56"/>
      <x:c r="I589" s="56" t="str">
        <x:v>2026-08-01</x:v>
      </x:c>
      <x:c r="J589" s="56" t="str">
        <x:v>Verified Secondary Demand Signal</x:v>
      </x:c>
      <x:c r="K589" s="56" t="str">
        <x:v>Medium-High</x:v>
      </x:c>
      <x:c r="L589" s="56" t="str">
        <x:v>Yes</x:v>
      </x:c>
      <x:c r="M589" s="56"/>
      <x:c r="N589" s="56" t="str">
        <x:v>ASIN B0CT54F1FP; dynamic display.</x:v>
      </x:c>
      <x:c r="O589" s="56" t="str">
        <x:v>Codex</x:v>
      </x:c>
    </x:row>
    <x:row r="590" ht="104" customHeight="1">
      <x:c r="A590" s="56" t="str">
        <x:v>SRC-NBZ-019</x:v>
      </x:c>
      <x:c r="B590" s="56" t="str">
        <x:v>KB012</x:v>
      </x:c>
      <x:c r="C590" s="56" t="str">
        <x:v>Amazon lower-bound methodology</x:v>
      </x:c>
      <x:c r="D590" s="56" t="str">
        <x:v>Five sampled heroes total at least 42K monthly units. Four with observed prices imply $754,510: $466,000 + $114,660 + $88,900 + $84,950.</x:v>
      </x:c>
      <x:c r="E590" s="56" t="str">
        <x:v>Analyst Calculation</x:v>
      </x:c>
      <x:c r="F590" s="56" t="str">
        <x:v>https://www.amazon.com/stores/page/BDB9CC0A-DA48-41E3-ACD8-B0255744997D</x:v>
      </x:c>
      <x:c r="G590" s="56" t="str">
        <x:v>Derived from Marketplace Displays</x:v>
      </x:c>
      <x:c r="H590" s="56"/>
      <x:c r="I590" s="56" t="str">
        <x:v>2026-08-01</x:v>
      </x:c>
      <x:c r="J590" s="56" t="str">
        <x:v>Conservative Sales Proxy</x:v>
      </x:c>
      <x:c r="K590" s="56" t="str">
        <x:v>Medium-High</x:v>
      </x:c>
      <x:c r="L590" s="56" t="str">
        <x:v>Yes</x:v>
      </x:c>
      <x:c r="M590" s="56"/>
      <x:c r="N590" s="56" t="str">
        <x:v>Not audited revenue; excludes No. 3 serum revenue, all other ASINs, tax, coupons, returns and units above rounded minimums.</x:v>
      </x:c>
      <x:c r="O590" s="56" t="str">
        <x:v>Codex</x:v>
      </x:c>
    </x:row>
    <x:row r="591" ht="104" customHeight="1">
      <x:c r="A591" s="56" t="str">
        <x:v>SRC-NBZ-020</x:v>
      </x:c>
      <x:c r="B591" s="56" t="str">
        <x:v>KB012</x:v>
      </x:c>
      <x:c r="C591" s="56" t="str">
        <x:v>Hero — No. 3 toner</x:v>
      </x:c>
      <x:c r="D591" s="56" t="str">
        <x:v>Official page lists 200 mL, 50 fermented ingredients and a $22 list price with promotional pricing.</x:v>
      </x:c>
      <x:c r="E591" s="56" t="str">
        <x:v>Numbuzin U.S.</x:v>
      </x:c>
      <x:c r="F591" s="56" t="str">
        <x:v>https://us.numbuzin.com/products/no-3-super-glowing-essence-toner</x:v>
      </x:c>
      <x:c r="G591" s="56" t="str">
        <x:v>Official Product Page</x:v>
      </x:c>
      <x:c r="H591" s="56"/>
      <x:c r="I591" s="56" t="str">
        <x:v>2026-08-01</x:v>
      </x:c>
      <x:c r="J591" s="56" t="str">
        <x:v>Verified Product Fact</x:v>
      </x:c>
      <x:c r="K591" s="56" t="str">
        <x:v>High</x:v>
      </x:c>
      <x:c r="L591" s="56" t="str">
        <x:v>Yes</x:v>
      </x:c>
      <x:c r="M591" s="56"/>
      <x:c r="N591" s="56" t="str">
        <x:v>Original texture/glow awareness engine.</x:v>
      </x:c>
      <x:c r="O591" s="56" t="str">
        <x:v>Codex</x:v>
      </x:c>
    </x:row>
    <x:row r="592" ht="104" customHeight="1">
      <x:c r="A592" s="56" t="str">
        <x:v>SRC-NBZ-021</x:v>
      </x:c>
      <x:c r="B592" s="56" t="str">
        <x:v>KB012</x:v>
      </x:c>
      <x:c r="C592" s="56" t="str">
        <x:v>Hero — No. 3 serum</x:v>
      </x:c>
      <x:c r="D592" s="56" t="str">
        <x:v>Official page lists 50 mL and a $28 list price with promotional pricing; official display showed 644 reviews.</x:v>
      </x:c>
      <x:c r="E592" s="56" t="str">
        <x:v>Numbuzin U.S.</x:v>
      </x:c>
      <x:c r="F592" s="56" t="str">
        <x:v>https://us.numbuzin.com/products/no-3-skin-softening-serum-1</x:v>
      </x:c>
      <x:c r="G592" s="56" t="str">
        <x:v>Official Product Page</x:v>
      </x:c>
      <x:c r="H592" s="56"/>
      <x:c r="I592" s="56" t="str">
        <x:v>2026-08-01</x:v>
      </x:c>
      <x:c r="J592" s="56" t="str">
        <x:v>Verified Product Fact</x:v>
      </x:c>
      <x:c r="K592" s="56" t="str">
        <x:v>High</x:v>
      </x:c>
      <x:c r="L592" s="56" t="str">
        <x:v>Yes</x:v>
      </x:c>
      <x:c r="M592" s="56"/>
      <x:c r="N592" s="56" t="str">
        <x:v>Legacy fermented texture/glow hero.</x:v>
      </x:c>
      <x:c r="O592" s="56" t="str">
        <x:v>Codex</x:v>
      </x:c>
    </x:row>
    <x:row r="593" ht="104" customHeight="1">
      <x:c r="A593" s="56" t="str">
        <x:v>SRC-NBZ-022</x:v>
      </x:c>
      <x:c r="B593" s="56" t="str">
        <x:v>KB012</x:v>
      </x:c>
      <x:c r="C593" s="56" t="str">
        <x:v>Hero — No. 5 serum</x:v>
      </x:c>
      <x:c r="D593" s="56" t="str">
        <x:v>Official page lists 30 mL, $26 list price and a multi-active brightening formula; official display showed 2,770 reviews.</x:v>
      </x:c>
      <x:c r="E593" s="56" t="str">
        <x:v>Numbuzin U.S.</x:v>
      </x:c>
      <x:c r="F593" s="56" t="str">
        <x:v>https://us.numbuzin.com/products/no-5-vitamin-concentrated-serum</x:v>
      </x:c>
      <x:c r="G593" s="56" t="str">
        <x:v>Official Product Page</x:v>
      </x:c>
      <x:c r="H593" s="56"/>
      <x:c r="I593" s="56" t="str">
        <x:v>2026-08-01</x:v>
      </x:c>
      <x:c r="J593" s="56" t="str">
        <x:v>Verified Product Fact</x:v>
      </x:c>
      <x:c r="K593" s="56" t="str">
        <x:v>High</x:v>
      </x:c>
      <x:c r="L593" s="56" t="str">
        <x:v>Yes</x:v>
      </x:c>
      <x:c r="M593" s="56"/>
      <x:c r="N593" s="56" t="str">
        <x:v>Review cosmetic claims and exact U.S. INCI.</x:v>
      </x:c>
      <x:c r="O593" s="56" t="str">
        <x:v>Codex</x:v>
      </x:c>
    </x:row>
    <x:row r="594" ht="104" customHeight="1">
      <x:c r="A594" s="56" t="str">
        <x:v>SRC-NBZ-023</x:v>
      </x:c>
      <x:c r="B594" s="56" t="str">
        <x:v>KB012</x:v>
      </x:c>
      <x:c r="C594" s="56" t="str">
        <x:v>Hero — No. 5 toner</x:v>
      </x:c>
      <x:c r="D594" s="56" t="str">
        <x:v>Official page lists 200 mL and $22 list price with promotion.</x:v>
      </x:c>
      <x:c r="E594" s="56" t="str">
        <x:v>Numbuzin U.S.</x:v>
      </x:c>
      <x:c r="F594" s="56" t="str">
        <x:v>https://us.numbuzin.com/products/no-5-vitamin-boosting-essential-toner</x:v>
      </x:c>
      <x:c r="G594" s="56" t="str">
        <x:v>Official Product Page</x:v>
      </x:c>
      <x:c r="H594" s="56"/>
      <x:c r="I594" s="56" t="str">
        <x:v>2026-08-01</x:v>
      </x:c>
      <x:c r="J594" s="56" t="str">
        <x:v>Verified Product Fact</x:v>
      </x:c>
      <x:c r="K594" s="56" t="str">
        <x:v>High</x:v>
      </x:c>
      <x:c r="L594" s="56" t="str">
        <x:v>Yes</x:v>
      </x:c>
      <x:c r="M594" s="56"/>
      <x:c r="N594" s="56" t="str">
        <x:v>Secondary brightening-line demand.</x:v>
      </x:c>
      <x:c r="O594" s="56" t="str">
        <x:v>Codex</x:v>
      </x:c>
    </x:row>
    <x:row r="595" ht="104" customHeight="1">
      <x:c r="A595" s="56" t="str">
        <x:v>SRC-NBZ-024</x:v>
      </x:c>
      <x:c r="B595" s="56" t="str">
        <x:v>KB012</x:v>
      </x:c>
      <x:c r="C595" s="56" t="str">
        <x:v>Serum assortment</x:v>
      </x:c>
      <x:c r="D595" s="56" t="str">
        <x:v>Official serum collection confirms No. 3, No. 5 and No. 9 numbered serum/essence architecture.</x:v>
      </x:c>
      <x:c r="E595" s="56" t="str">
        <x:v>Numbuzin U.S.</x:v>
      </x:c>
      <x:c r="F595" s="56" t="str">
        <x:v>https://us.numbuzin.com/collections/serum</x:v>
      </x:c>
      <x:c r="G595" s="56" t="str">
        <x:v>Official Collection Page</x:v>
      </x:c>
      <x:c r="H595" s="56"/>
      <x:c r="I595" s="56" t="str">
        <x:v>2026-08-01</x:v>
      </x:c>
      <x:c r="J595" s="56" t="str">
        <x:v>Verified Product Architecture</x:v>
      </x:c>
      <x:c r="K595" s="56" t="str">
        <x:v>High</x:v>
      </x:c>
      <x:c r="L595" s="56" t="str">
        <x:v>Yes</x:v>
      </x:c>
      <x:c r="M595" s="56"/>
      <x:c r="N595" s="56" t="str">
        <x:v>Prices and availability are dynamic.</x:v>
      </x:c>
      <x:c r="O595" s="56" t="str">
        <x:v>Codex</x:v>
      </x:c>
    </x:row>
    <x:row r="596" ht="104" customHeight="1">
      <x:c r="A596" s="56" t="str">
        <x:v>SRC-NBZ-025</x:v>
      </x:c>
      <x:c r="B596" s="56" t="str">
        <x:v>KB012</x:v>
      </x:c>
      <x:c r="C596" s="56" t="str">
        <x:v>Toner assortment</x:v>
      </x:c>
      <x:c r="D596" s="56" t="str">
        <x:v>Official toner collection confirms No. 3, No. 5 and No. 9 toner architecture and current pricing.</x:v>
      </x:c>
      <x:c r="E596" s="56" t="str">
        <x:v>Numbuzin U.S.</x:v>
      </x:c>
      <x:c r="F596" s="56" t="str">
        <x:v>https://us.numbuzin.com/collections/toner</x:v>
      </x:c>
      <x:c r="G596" s="56" t="str">
        <x:v>Official Collection Page</x:v>
      </x:c>
      <x:c r="H596" s="56"/>
      <x:c r="I596" s="56" t="str">
        <x:v>2026-08-01</x:v>
      </x:c>
      <x:c r="J596" s="56" t="str">
        <x:v>Verified Product Architecture</x:v>
      </x:c>
      <x:c r="K596" s="56" t="str">
        <x:v>High</x:v>
      </x:c>
      <x:c r="L596" s="56" t="str">
        <x:v>Yes</x:v>
      </x:c>
      <x:c r="M596" s="56"/>
      <x:c r="N596" s="56" t="str">
        <x:v>Prices and review counts are dynamic.</x:v>
      </x:c>
      <x:c r="O596" s="56" t="str">
        <x:v>Codex</x:v>
      </x:c>
    </x:row>
    <x:row r="597" ht="104" customHeight="1">
      <x:c r="A597" s="56" t="str">
        <x:v>SRC-NBZ-026</x:v>
      </x:c>
      <x:c r="B597" s="56" t="str">
        <x:v>KB012</x:v>
      </x:c>
      <x:c r="C597" s="56" t="str">
        <x:v>Ulta national presence</x:v>
      </x:c>
      <x:c r="D597" s="56" t="str">
        <x:v>Ulta brand page displayed 13 products, including No. 9, No. 5, No. 3 and sunscreen items at approximately $17-$29.</x:v>
      </x:c>
      <x:c r="E597" s="56" t="str">
        <x:v>Ulta Beauty</x:v>
      </x:c>
      <x:c r="F597" s="56" t="str">
        <x:v>https://www.ulta.com/brand/numbuzin</x:v>
      </x:c>
      <x:c r="G597" s="56" t="str">
        <x:v>Authorized Retailer Brand Page</x:v>
      </x:c>
      <x:c r="H597" s="56"/>
      <x:c r="I597" s="56" t="str">
        <x:v>2026-08-01</x:v>
      </x:c>
      <x:c r="J597" s="56" t="str">
        <x:v>Verified Retail Presence</x:v>
      </x:c>
      <x:c r="K597" s="56" t="str">
        <x:v>High</x:v>
      </x:c>
      <x:c r="L597" s="56" t="str">
        <x:v>Yes</x:v>
      </x:c>
      <x:c r="M597" s="56"/>
      <x:c r="N597" s="56" t="str">
        <x:v>Assortment and online-only status change.</x:v>
      </x:c>
      <x:c r="O597" s="56" t="str">
        <x:v>Codex</x:v>
      </x:c>
    </x:row>
    <x:row r="598" ht="104" customHeight="1">
      <x:c r="A598" s="56" t="str">
        <x:v>SRC-NBZ-027</x:v>
      </x:c>
      <x:c r="B598" s="56" t="str">
        <x:v>KB012</x:v>
      </x:c>
      <x:c r="C598" s="56" t="str">
        <x:v>Target national presence</x:v>
      </x:c>
      <x:c r="D598" s="56" t="str">
        <x:v>Target brand page displayed 12 results across No. 3, No. 5, No. 9 and sunscreen; No. 3 mask showed 7K+ bought/month at Target.</x:v>
      </x:c>
      <x:c r="E598" s="56" t="str">
        <x:v>Target</x:v>
      </x:c>
      <x:c r="F598" s="56" t="str">
        <x:v>https://www.target.com/b/numbuzin/-/N-q643leiqo6e</x:v>
      </x:c>
      <x:c r="G598" s="56" t="str">
        <x:v>National Retailer Brand Page</x:v>
      </x:c>
      <x:c r="H598" s="56"/>
      <x:c r="I598" s="56" t="str">
        <x:v>2026-08-01</x:v>
      </x:c>
      <x:c r="J598" s="56" t="str">
        <x:v>Verified Retail Presence</x:v>
      </x:c>
      <x:c r="K598" s="56" t="str">
        <x:v>High</x:v>
      </x:c>
      <x:c r="L598" s="56" t="str">
        <x:v>Yes</x:v>
      </x:c>
      <x:c r="M598" s="56"/>
      <x:c r="N598" s="56" t="str">
        <x:v>Prices, sellers, badges and availability are dynamic.</x:v>
      </x:c>
      <x:c r="O598" s="56" t="str">
        <x:v>Codex</x:v>
      </x:c>
    </x:row>
    <x:row r="599" ht="104" customHeight="1">
      <x:c r="A599" s="56" t="str">
        <x:v>SRC-NBZ-028</x:v>
      </x:c>
      <x:c r="B599" s="56" t="str">
        <x:v>KB012</x:v>
      </x:c>
      <x:c r="C599" s="56" t="str">
        <x:v>Costco club presence</x:v>
      </x:c>
      <x:c r="D599" s="56" t="str">
        <x:v>Costco lists No. 9 NAD+ BIO Lifting Essence two-pack, item 1971339; category display showed 4.6/104.</x:v>
      </x:c>
      <x:c r="E599" s="56" t="str">
        <x:v>Costco</x:v>
      </x:c>
      <x:c r="F599" s="56" t="str">
        <x:v>https://www.costco.com/numbuzin-lifting-essence-no.9-nad%2B-bio%2C-1.69-fl-oz%2C-2-pack.product.1971339.html</x:v>
      </x:c>
      <x:c r="G599" s="56" t="str">
        <x:v>National Club Retailer</x:v>
      </x:c>
      <x:c r="H599" s="56"/>
      <x:c r="I599" s="56" t="str">
        <x:v>2026-08-01</x:v>
      </x:c>
      <x:c r="J599" s="56" t="str">
        <x:v>Verified Retail Presence</x:v>
      </x:c>
      <x:c r="K599" s="56" t="str">
        <x:v>High</x:v>
      </x:c>
      <x:c r="L599" s="56" t="str">
        <x:v>Yes</x:v>
      </x:c>
      <x:c r="M599" s="56"/>
      <x:c r="N599" s="56" t="str">
        <x:v>Member price and inventory vary.</x:v>
      </x:c>
      <x:c r="O599" s="56" t="str">
        <x:v>Codex</x:v>
      </x:c>
    </x:row>
    <x:row r="600" ht="104" customHeight="1">
      <x:c r="A600" s="56" t="str">
        <x:v>SRC-NBZ-029</x:v>
      </x:c>
      <x:c r="B600" s="56" t="str">
        <x:v>KB012</x:v>
      </x:c>
      <x:c r="C600" s="56" t="str">
        <x:v>Walmart marketplace risk</x:v>
      </x:c>
      <x:c r="D600" s="56" t="str">
        <x:v>Walmart filtered category displayed 17 Numbuzin products from mixed marketplace sellers; authorization was not verified.</x:v>
      </x:c>
      <x:c r="E600" s="56" t="str">
        <x:v>Walmart Marketplace</x:v>
      </x:c>
      <x:c r="F600" s="56" t="str">
        <x:v>https://www.walmart.com/browse/beauty/skincare/numbuzin/1085666_1007039/YnJhbmQ6bnVtYnV6aW4ie</x:v>
      </x:c>
      <x:c r="G600" s="56" t="str">
        <x:v>Third-Party Marketplace</x:v>
      </x:c>
      <x:c r="H600" s="56"/>
      <x:c r="I600" s="56" t="str">
        <x:v>2026-08-01</x:v>
      </x:c>
      <x:c r="J600" s="56" t="str">
        <x:v>Verified Risk Signal</x:v>
      </x:c>
      <x:c r="K600" s="56" t="str">
        <x:v>Medium</x:v>
      </x:c>
      <x:c r="L600" s="56" t="str">
        <x:v>Yes</x:v>
      </x:c>
      <x:c r="M600" s="56"/>
      <x:c r="N600" s="56" t="str">
        <x:v>Do not treat as official Walmart distribution without written confirmation.</x:v>
      </x:c>
      <x:c r="O600" s="56" t="str">
        <x:v>Codex</x:v>
      </x:c>
    </x:row>
    <x:row r="601" ht="104" customHeight="1">
      <x:c r="A601" s="56" t="str">
        <x:v>SRC-NBZ-030</x:v>
      </x:c>
      <x:c r="B601" s="56" t="str">
        <x:v>KB012</x:v>
      </x:c>
      <x:c r="C601" s="56" t="str">
        <x:v>TikTok Shop U.S.</x:v>
      </x:c>
      <x:c r="D601" s="56" t="str">
        <x:v>Official link hub advertises a U.S. TikTok Shop with 18 products; product/search displays show meaningful sold counts but mixed sellers.</x:v>
      </x:c>
      <x:c r="E601" s="56" t="str">
        <x:v>Numbuzin TikTok Shop Linktree</x:v>
      </x:c>
      <x:c r="F601" s="56" t="str">
        <x:v>https://linktr.ee/numbuzin_tiktokshop</x:v>
      </x:c>
      <x:c r="G601" s="56" t="str">
        <x:v>Official Social-Commerce Link Hub</x:v>
      </x:c>
      <x:c r="H601" s="56"/>
      <x:c r="I601" s="56" t="str">
        <x:v>2026-08-01</x:v>
      </x:c>
      <x:c r="J601" s="56" t="str">
        <x:v>Verified Channel Presence</x:v>
      </x:c>
      <x:c r="K601" s="56" t="str">
        <x:v>Medium-High</x:v>
      </x:c>
      <x:c r="L601" s="56" t="str">
        <x:v>Yes</x:v>
      </x:c>
      <x:c r="M601" s="56"/>
      <x:c r="N601" s="56" t="str">
        <x:v>Confirm exact official seller and cumulative/period metrics.</x:v>
      </x:c>
      <x:c r="O601" s="56" t="str">
        <x:v>Codex</x:v>
      </x:c>
    </x:row>
    <x:row r="602" ht="104" customHeight="1">
      <x:c r="A602" s="56" t="str">
        <x:v>SRC-NBZ-031</x:v>
      </x:c>
      <x:c r="B602" s="56" t="str">
        <x:v>KB012</x:v>
      </x:c>
      <x:c r="C602" s="56" t="str">
        <x:v>Olive Young Global presence</x:v>
      </x:c>
      <x:c r="D602" s="56" t="str">
        <x:v>Official channel map links Olive Young Global for Numbuzin shopping.</x:v>
      </x:c>
      <x:c r="E602" s="56" t="str">
        <x:v>Olive Young Global</x:v>
      </x:c>
      <x:c r="F602" s="56" t="str">
        <x:v>https://global.oliveyoung.com/display/page/brand-page?brandNo=B00421</x:v>
      </x:c>
      <x:c r="G602" s="56" t="str">
        <x:v>Cross-Border Retailer</x:v>
      </x:c>
      <x:c r="H602" s="56"/>
      <x:c r="I602" s="56" t="str">
        <x:v>2026-08-01</x:v>
      </x:c>
      <x:c r="J602" s="56" t="str">
        <x:v>Verified Cross-Border Presence</x:v>
      </x:c>
      <x:c r="K602" s="56" t="str">
        <x:v>Medium-High</x:v>
      </x:c>
      <x:c r="L602" s="56" t="str">
        <x:v>Yes</x:v>
      </x:c>
      <x:c r="M602" s="56"/>
      <x:c r="N602" s="56" t="str">
        <x:v>Not U.S. sell-through.</x:v>
      </x:c>
      <x:c r="O602" s="56" t="str">
        <x:v>Codex</x:v>
      </x:c>
    </x:row>
    <x:row r="603" ht="104" customHeight="1">
      <x:c r="A603" s="56" t="str">
        <x:v>SRC-NBZ-032</x:v>
      </x:c>
      <x:c r="B603" s="56" t="str">
        <x:v>KB012</x:v>
      </x:c>
      <x:c r="C603" s="56" t="str">
        <x:v>YesStyle presence</x:v>
      </x:c>
      <x:c r="D603" s="56" t="str">
        <x:v>YesStyle carries a broad Numbuzin assortment and promotions.</x:v>
      </x:c>
      <x:c r="E603" s="56" t="str">
        <x:v>YesStyle</x:v>
      </x:c>
      <x:c r="F603" s="56" t="str">
        <x:v>https://www.yesstyle.com/en/numbuzin/list.html/bpt.299_bid.323055</x:v>
      </x:c>
      <x:c r="G603" s="56" t="str">
        <x:v>Cross-Border Retailer</x:v>
      </x:c>
      <x:c r="H603" s="56"/>
      <x:c r="I603" s="56" t="str">
        <x:v>2026-08-01</x:v>
      </x:c>
      <x:c r="J603" s="56" t="str">
        <x:v>Verified Cross-Border Presence</x:v>
      </x:c>
      <x:c r="K603" s="56" t="str">
        <x:v>Medium</x:v>
      </x:c>
      <x:c r="L603" s="56" t="str">
        <x:v>Yes</x:v>
      </x:c>
      <x:c r="M603" s="56"/>
      <x:c r="N603" s="56" t="str">
        <x:v>Price/version and authorization require confirmation.</x:v>
      </x:c>
      <x:c r="O603" s="56" t="str">
        <x:v>Codex</x:v>
      </x:c>
    </x:row>
    <x:row r="604" ht="104" customHeight="1">
      <x:c r="A604" s="56" t="str">
        <x:v>SRC-NBZ-033</x:v>
      </x:c>
      <x:c r="B604" s="56" t="str">
        <x:v>KB012</x:v>
      </x:c>
      <x:c r="C604" s="56" t="str">
        <x:v>StyleKorean presence</x:v>
      </x:c>
      <x:c r="D604" s="56" t="str">
        <x:v>StyleKorean carries a broad Numbuzin assortment and promotions.</x:v>
      </x:c>
      <x:c r="E604" s="56" t="str">
        <x:v>StyleKorean</x:v>
      </x:c>
      <x:c r="F604" s="56" t="str">
        <x:v>https://www.stylekorean.com/brands/1066/numbuzin</x:v>
      </x:c>
      <x:c r="G604" s="56" t="str">
        <x:v>Cross-Border Retailer</x:v>
      </x:c>
      <x:c r="H604" s="56"/>
      <x:c r="I604" s="56" t="str">
        <x:v>2026-08-01</x:v>
      </x:c>
      <x:c r="J604" s="56" t="str">
        <x:v>Verified Cross-Border Presence</x:v>
      </x:c>
      <x:c r="K604" s="56" t="str">
        <x:v>Medium</x:v>
      </x:c>
      <x:c r="L604" s="56" t="str">
        <x:v>Yes</x:v>
      </x:c>
      <x:c r="M604" s="56"/>
      <x:c r="N604" s="56" t="str">
        <x:v>Price/version and authorization require confirmation.</x:v>
      </x:c>
      <x:c r="O604" s="56" t="str">
        <x:v>Codex</x:v>
      </x:c>
    </x:row>
    <x:row r="605" ht="104" customHeight="1">
      <x:c r="A605" s="56" t="str">
        <x:v>SRC-NBZ-034</x:v>
      </x:c>
      <x:c r="B605" s="56" t="str">
        <x:v>KB012</x:v>
      </x:c>
      <x:c r="C605" s="56" t="str">
        <x:v>Jolse presence</x:v>
      </x:c>
      <x:c r="D605" s="56" t="str">
        <x:v>Jolse carries a broad Numbuzin assortment and promotions.</x:v>
      </x:c>
      <x:c r="E605" s="56" t="str">
        <x:v>Jolse</x:v>
      </x:c>
      <x:c r="F605" s="56" t="str">
        <x:v>https://jolse.com/category/numbuzin/2295/</x:v>
      </x:c>
      <x:c r="G605" s="56" t="str">
        <x:v>Cross-Border Retailer</x:v>
      </x:c>
      <x:c r="H605" s="56"/>
      <x:c r="I605" s="56" t="str">
        <x:v>2026-08-01</x:v>
      </x:c>
      <x:c r="J605" s="56" t="str">
        <x:v>Verified Cross-Border Presence</x:v>
      </x:c>
      <x:c r="K605" s="56" t="str">
        <x:v>Medium</x:v>
      </x:c>
      <x:c r="L605" s="56" t="str">
        <x:v>Yes</x:v>
      </x:c>
      <x:c r="M605" s="56"/>
      <x:c r="N605" s="56" t="str">
        <x:v>Price/version and authorization require confirmation.</x:v>
      </x:c>
      <x:c r="O605" s="56" t="str">
        <x:v>Codex</x:v>
      </x:c>
    </x:row>
    <x:row r="606" ht="104" customHeight="1">
      <x:c r="A606" s="56" t="str">
        <x:v>SRC-NBZ-035</x:v>
      </x:c>
      <x:c r="B606" s="56" t="str">
        <x:v>KB012</x:v>
      </x:c>
      <x:c r="C606" s="56" t="str">
        <x:v>U.S. OTC sunscreen label</x:v>
      </x:c>
      <x:c r="D606" s="56" t="str">
        <x:v>DailyMed lists No. 9 NAD BIO Super Defense Glow Sunscreen Broad Spectrum SPF 50, NDC 85550-001-50, labeler BENOW BEAUTY INC., updated 2026-02-09.</x:v>
      </x:c>
      <x:c r="E606" s="56" t="str">
        <x:v>DailyMed / U.S. NLM</x:v>
      </x:c>
      <x:c r="F606" s="56" t="str">
        <x:v>https://dailymed.nlm.nih.gov/dailymed/drugInfo.cfm?setid=32bfb17c-5535-c016-e063-6394a90a1814</x:v>
      </x:c>
      <x:c r="G606" s="56" t="str">
        <x:v>Regulatory Drug Label Database</x:v>
      </x:c>
      <x:c r="H606" s="56" t="str">
        <x:v>2026-02-09</x:v>
      </x:c>
      <x:c r="I606" s="56" t="str">
        <x:v>2026-08-01</x:v>
      </x:c>
      <x:c r="J606" s="56" t="str">
        <x:v>Verified U.S. OTC Label</x:v>
      </x:c>
      <x:c r="K606" s="56" t="str">
        <x:v>High</x:v>
      </x:c>
      <x:c r="L606" s="56" t="str">
        <x:v>Yes</x:v>
      </x:c>
      <x:c r="M606" s="56"/>
      <x:c r="N606" s="56" t="str">
        <x:v>Actives: avobenzone 3%, homosalate 7%, octisalate 5%, octocrylene 5%; marketing start 2025-04-14.</x:v>
      </x:c>
      <x:c r="O606" s="56" t="str">
        <x:v>Codex</x:v>
      </x:c>
    </x:row>
    <x:row r="607" ht="104" customHeight="1">
      <x:c r="A607" s="56" t="str">
        <x:v>SRC-NBZ-036</x:v>
      </x:c>
      <x:c r="B607" s="56" t="str">
        <x:v>KB012</x:v>
      </x:c>
      <x:c r="C607" s="56" t="str">
        <x:v>FDA — MoCRA registration and listing</x:v>
      </x:c>
      <x:c r="D607" s="56" t="str">
        <x:v>FDA requires cosmetic facility registration and product listing subject to statutory exemptions and update schedules.</x:v>
      </x:c>
      <x:c r="E607" s="56" t="str">
        <x:v>U.S. FDA</x:v>
      </x:c>
      <x:c r="F607" s="56" t="str">
        <x:v>https://www.fda.gov/cosmetics/registration-listing-cosmetic-product-facilities-and-products</x:v>
      </x:c>
      <x:c r="G607" s="56" t="str">
        <x:v>Regulator</x:v>
      </x:c>
      <x:c r="H607" s="56"/>
      <x:c r="I607" s="56" t="str">
        <x:v>2026-08-01</x:v>
      </x:c>
      <x:c r="J607" s="56" t="str">
        <x:v>Verified Regulatory Requirement</x:v>
      </x:c>
      <x:c r="K607" s="56" t="str">
        <x:v>High</x:v>
      </x:c>
      <x:c r="L607" s="56" t="str">
        <x:v>Yes</x:v>
      </x:c>
      <x:c r="M607" s="56"/>
      <x:c r="N607" s="56" t="str">
        <x:v>Registration/listing is not FDA approval; verify exact facilities and responsible person.</x:v>
      </x:c>
      <x:c r="O607" s="56" t="str">
        <x:v>Codex</x:v>
      </x:c>
    </x:row>
    <x:row r="608" ht="104" customHeight="1">
      <x:c r="A608" s="56" t="str">
        <x:v>SRC-NBZ-037</x:v>
      </x:c>
      <x:c r="B608" s="56" t="str">
        <x:v>KB012</x:v>
      </x:c>
      <x:c r="C608" s="56" t="str">
        <x:v>FDA — cosmetic claims</x:v>
      </x:c>
      <x:c r="D608" s="56" t="str">
        <x:v>Cosmetic claims must be truthful and not misleading; disease or structure/function claims can make a product a drug.</x:v>
      </x:c>
      <x:c r="E608" s="56" t="str">
        <x:v>U.S. FDA</x:v>
      </x:c>
      <x:c r="F608" s="56" t="str">
        <x:v>https://www.fda.gov/cosmetics/cosmetics-labeling/cosmetics-labeling-claims</x:v>
      </x:c>
      <x:c r="G608" s="56" t="str">
        <x:v>Regulator</x:v>
      </x:c>
      <x:c r="H608" s="56"/>
      <x:c r="I608" s="56" t="str">
        <x:v>2026-08-01</x:v>
      </x:c>
      <x:c r="J608" s="56" t="str">
        <x:v>Verified Regulatory Requirement</x:v>
      </x:c>
      <x:c r="K608" s="56" t="str">
        <x:v>High</x:v>
      </x:c>
      <x:c r="L608" s="56" t="str">
        <x:v>Yes</x:v>
      </x:c>
      <x:c r="M608" s="56"/>
      <x:c r="N608" s="56" t="str">
        <x:v>Review penetration, lifting, wrinkle, pore and pigmentation language.</x:v>
      </x:c>
      <x:c r="O608" s="56" t="str">
        <x:v>Codex</x:v>
      </x:c>
    </x:row>
    <x:row r="609" ht="104" customHeight="1">
      <x:c r="A609" s="56" t="str">
        <x:v>SRC-NBZ-038</x:v>
      </x:c>
      <x:c r="B609" s="56" t="str">
        <x:v>KB012</x:v>
      </x:c>
      <x:c r="C609" s="56" t="str">
        <x:v>FDA — importing cosmetics</x:v>
      </x:c>
      <x:c r="D609" s="56" t="str">
        <x:v>FDA explains cosmetics import requirements and the importance of accurate entry and classification information.</x:v>
      </x:c>
      <x:c r="E609" s="56" t="str">
        <x:v>U.S. FDA</x:v>
      </x:c>
      <x:c r="F609" s="56" t="str">
        <x:v>https://www.fda.gov/industry/importing-fda-regulated-products/importing-cosmetics</x:v>
      </x:c>
      <x:c r="G609" s="56" t="str">
        <x:v>Regulator</x:v>
      </x:c>
      <x:c r="H609" s="56"/>
      <x:c r="I609" s="56" t="str">
        <x:v>2026-08-01</x:v>
      </x:c>
      <x:c r="J609" s="56" t="str">
        <x:v>Verified Import Requirement</x:v>
      </x:c>
      <x:c r="K609" s="56" t="str">
        <x:v>High</x:v>
      </x:c>
      <x:c r="L609" s="56" t="str">
        <x:v>Yes</x:v>
      </x:c>
      <x:c r="M609" s="56"/>
      <x:c r="N609" s="56" t="str">
        <x:v>Confirm importer, labels, product codes and exact formulas.</x:v>
      </x:c>
      <x:c r="O609" s="56" t="str">
        <x:v>Codex</x:v>
      </x:c>
    </x:row>
    <x:row r="610" ht="104" customHeight="1">
      <x:c r="A610" s="56" t="str">
        <x:v>SRC-NBZ-039</x:v>
      </x:c>
      <x:c r="B610" s="56" t="str">
        <x:v>KB012</x:v>
      </x:c>
      <x:c r="C610" s="56" t="str">
        <x:v>Reddit — No. 9 toner and essence</x:v>
      </x:c>
      <x:c r="D610" s="56" t="str">
        <x:v>Users reported hydration, plumping, glow and value, alongside breakouts, no effect and temporary-result skepticism.</x:v>
      </x:c>
      <x:c r="E610" s="56" t="str">
        <x:v>Reddit r/koreanskincare</x:v>
      </x:c>
      <x:c r="F610" s="56" t="str">
        <x:v>https://www.reddit.com/r/koreanskincare/comments/1rpb3p5/numbuzin_no_9_toner_and_essence/</x:v>
      </x:c>
      <x:c r="G610" s="56" t="str">
        <x:v>Consumer Forum</x:v>
      </x:c>
      <x:c r="H610" s="56"/>
      <x:c r="I610" s="56" t="str">
        <x:v>2026-08-01</x:v>
      </x:c>
      <x:c r="J610" s="56" t="str">
        <x:v>Anecdotal Consumer Evidence</x:v>
      </x:c>
      <x:c r="K610" s="56" t="str">
        <x:v>Low-Medium</x:v>
      </x:c>
      <x:c r="L610" s="56" t="str">
        <x:v>Mixed</x:v>
      </x:c>
      <x:c r="M610" s="56"/>
      <x:c r="N610" s="56" t="str">
        <x:v>Self-selected; no clinical causality.</x:v>
      </x:c>
      <x:c r="O610" s="56" t="str">
        <x:v>Codex</x:v>
      </x:c>
    </x:row>
    <x:row r="611" ht="104" customHeight="1">
      <x:c r="A611" s="56" t="str">
        <x:v>SRC-NBZ-040</x:v>
      </x:c>
      <x:c r="B611" s="56" t="str">
        <x:v>KB012</x:v>
      </x:c>
      <x:c r="C611" s="56" t="str">
        <x:v>Reddit — No. 9 range</x:v>
      </x:c>
      <x:c r="D611" s="56" t="str">
        <x:v>Discussion praised dry/dehydrated-skin plumping but included breakouts, stinging, thick/oily feel and no-repurchase reactions.</x:v>
      </x:c>
      <x:c r="E611" s="56" t="str">
        <x:v>Reddit r/koreanskincare</x:v>
      </x:c>
      <x:c r="F611" s="56" t="str">
        <x:v>https://www.reddit.com/r/koreanskincare/comments/1rlrypu/thoughts_on_numbuzin_9_products/</x:v>
      </x:c>
      <x:c r="G611" s="56" t="str">
        <x:v>Consumer Forum</x:v>
      </x:c>
      <x:c r="H611" s="56"/>
      <x:c r="I611" s="56" t="str">
        <x:v>2026-08-01</x:v>
      </x:c>
      <x:c r="J611" s="56" t="str">
        <x:v>Anecdotal Consumer Evidence</x:v>
      </x:c>
      <x:c r="K611" s="56" t="str">
        <x:v>Low-Medium</x:v>
      </x:c>
      <x:c r="L611" s="56" t="str">
        <x:v>Mixed</x:v>
      </x:c>
      <x:c r="M611" s="56"/>
      <x:c r="N611" s="56" t="str">
        <x:v>Eye-area sensitivity report was not clinically established.</x:v>
      </x:c>
      <x:c r="O611" s="56" t="str">
        <x:v>Codex</x:v>
      </x:c>
    </x:row>
    <x:row r="612" ht="104" customHeight="1">
      <x:c r="A612" s="56" t="str">
        <x:v>SRC-NBZ-041</x:v>
      </x:c>
      <x:c r="B612" s="56" t="str">
        <x:v>KB012</x:v>
      </x:c>
      <x:c r="C612" s="56" t="str">
        <x:v>Reddit — No. 5 range</x:v>
      </x:c>
      <x:c r="D612" s="56" t="str">
        <x:v>Users discussed brightness and tolerability, with sticky layering as a concern.</x:v>
      </x:c>
      <x:c r="E612" s="56" t="str">
        <x:v>Reddit r/AsianBeauty</x:v>
      </x:c>
      <x:c r="F612" s="56" t="str">
        <x:v>https://www.reddit.com/r/AsianBeauty/comments/1dlo9s4/is_the_numbuzin_no5_vitamin_concentrated_range/</x:v>
      </x:c>
      <x:c r="G612" s="56" t="str">
        <x:v>Consumer Forum</x:v>
      </x:c>
      <x:c r="H612" s="56"/>
      <x:c r="I612" s="56" t="str">
        <x:v>2026-08-01</x:v>
      </x:c>
      <x:c r="J612" s="56" t="str">
        <x:v>Anecdotal Consumer Evidence</x:v>
      </x:c>
      <x:c r="K612" s="56" t="str">
        <x:v>Low-Medium</x:v>
      </x:c>
      <x:c r="L612" s="56" t="str">
        <x:v>Mixed</x:v>
      </x:c>
      <x:c r="M612" s="56"/>
      <x:c r="N612" s="56" t="str">
        <x:v>Self-selected consumer discussion.</x:v>
      </x:c>
      <x:c r="O612" s="56" t="str">
        <x:v>Codex</x:v>
      </x:c>
    </x:row>
    <x:row r="613" ht="104" customHeight="1">
      <x:c r="A613" s="56" t="str">
        <x:v>SRC-NBZ-042</x:v>
      </x:c>
      <x:c r="B613" s="56" t="str">
        <x:v>KB012</x:v>
      </x:c>
      <x:c r="C613" s="56" t="str">
        <x:v>Reddit — No. 5 breakouts</x:v>
      </x:c>
      <x:c r="D613" s="56" t="str">
        <x:v>Users reported bumps/red pimples and sensitivity while some also noted brightening benefits.</x:v>
      </x:c>
      <x:c r="E613" s="56" t="str">
        <x:v>Reddit r/AsianBeauty</x:v>
      </x:c>
      <x:c r="F613" s="56" t="str">
        <x:v>https://www.reddit.com/r/AsianBeauty/comments/1ejxufm/numbuzin_no_5_serum_breakout_or_purging/</x:v>
      </x:c>
      <x:c r="G613" s="56" t="str">
        <x:v>Consumer Forum</x:v>
      </x:c>
      <x:c r="H613" s="56"/>
      <x:c r="I613" s="56" t="str">
        <x:v>2026-08-01</x:v>
      </x:c>
      <x:c r="J613" s="56" t="str">
        <x:v>Anecdotal Sensitivity Signal</x:v>
      </x:c>
      <x:c r="K613" s="56" t="str">
        <x:v>Low-Medium</x:v>
      </x:c>
      <x:c r="L613" s="56" t="str">
        <x:v>Mixed</x:v>
      </x:c>
      <x:c r="M613" s="56"/>
      <x:c r="N613" s="56" t="str">
        <x:v>Do not assume purging; no diagnosis or defect finding.</x:v>
      </x:c>
      <x:c r="O613" s="56" t="str">
        <x:v>Codex</x:v>
      </x:c>
    </x:row>
    <x:row r="614" ht="104" customHeight="1">
      <x:c r="A614" s="56" t="str">
        <x:v>SRC-NBZ-043</x:v>
      </x:c>
      <x:c r="B614" s="56" t="str">
        <x:v>KB012</x:v>
      </x:c>
      <x:c r="C614" s="56" t="str">
        <x:v>Reddit — No. 5 review</x:v>
      </x:c>
      <x:c r="D614" s="56" t="str">
        <x:v>A user reported smoother, more even tone and lighter dark spots/melasma after influenced purchase.</x:v>
      </x:c>
      <x:c r="E614" s="56" t="str">
        <x:v>Reddit r/AsianBeauty</x:v>
      </x:c>
      <x:c r="F614" s="56" t="str">
        <x:v>https://www.reddit.com/r/AsianBeauty/comments/1embb6j/numbuzin_no_5_vit_c_review_i_got_influenced/</x:v>
      </x:c>
      <x:c r="G614" s="56" t="str">
        <x:v>Consumer Forum</x:v>
      </x:c>
      <x:c r="H614" s="56"/>
      <x:c r="I614" s="56" t="str">
        <x:v>2026-08-01</x:v>
      </x:c>
      <x:c r="J614" s="56" t="str">
        <x:v>Anecdotal Positive Evidence</x:v>
      </x:c>
      <x:c r="K614" s="56" t="str">
        <x:v>Low</x:v>
      </x:c>
      <x:c r="L614" s="56" t="str">
        <x:v>Mixed</x:v>
      </x:c>
      <x:c r="M614" s="56"/>
      <x:c r="N614" s="56" t="str">
        <x:v>Not clinical evidence; influencer-discovery bias possible.</x:v>
      </x:c>
      <x:c r="O614" s="56" t="str">
        <x:v>Codex</x:v>
      </x:c>
    </x:row>
    <x:row r="615" ht="104" customHeight="1">
      <x:c r="A615" s="56" t="str">
        <x:v>SRC-NBZ-044</x:v>
      </x:c>
      <x:c r="B615" s="56" t="str">
        <x:v>KB012</x:v>
      </x:c>
      <x:c r="C615" s="56" t="str">
        <x:v>Reddit — No. 3 serum</x:v>
      </x:c>
      <x:c r="D615" s="56" t="str">
        <x:v>Users discussed hydration and softness benefits from No. 3 Skin Softening Serum.</x:v>
      </x:c>
      <x:c r="E615" s="56" t="str">
        <x:v>Reddit r/AsianBeauty</x:v>
      </x:c>
      <x:c r="F615" s="56" t="str">
        <x:v>https://www.reddit.com/r/AsianBeauty/comments/1e1lojm/numbuzin_no3_skin_softening_serum/</x:v>
      </x:c>
      <x:c r="G615" s="56" t="str">
        <x:v>Consumer Forum</x:v>
      </x:c>
      <x:c r="H615" s="56"/>
      <x:c r="I615" s="56" t="str">
        <x:v>2026-08-01</x:v>
      </x:c>
      <x:c r="J615" s="56" t="str">
        <x:v>Anecdotal Positive Evidence</x:v>
      </x:c>
      <x:c r="K615" s="56" t="str">
        <x:v>Low-Medium</x:v>
      </x:c>
      <x:c r="L615" s="56" t="str">
        <x:v>Mixed</x:v>
      </x:c>
      <x:c r="M615" s="56"/>
      <x:c r="N615" s="56" t="str">
        <x:v>Product routines and versions vary.</x:v>
      </x:c>
      <x:c r="O615" s="56" t="str">
        <x:v>Codex</x:v>
      </x:c>
    </x:row>
    <x:row r="616" ht="104" customHeight="1">
      <x:c r="A616" s="56" t="str">
        <x:v>SRC-NBZ-045</x:v>
      </x:c>
      <x:c r="B616" s="56" t="str">
        <x:v>KB012</x:v>
      </x:c>
      <x:c r="C616" s="56" t="str">
        <x:v>Reddit — No. 3 ferment sensitivity</x:v>
      </x:c>
      <x:c r="D616" s="56" t="str">
        <x:v>Consumers highlighted the long fermented ingredient list as a troubleshooting concern for reactive skin.</x:v>
      </x:c>
      <x:c r="E616" s="56" t="str">
        <x:v>Reddit r/KoreanBeauty</x:v>
      </x:c>
      <x:c r="F616" s="56" t="str">
        <x:v>https://www.reddit.com/r/KoreanBeauty/comments/180sn0r</x:v>
      </x:c>
      <x:c r="G616" s="56" t="str">
        <x:v>Consumer Forum</x:v>
      </x:c>
      <x:c r="H616" s="56"/>
      <x:c r="I616" s="56" t="str">
        <x:v>2026-08-01</x:v>
      </x:c>
      <x:c r="J616" s="56" t="str">
        <x:v>Anecdotal Sensitivity Signal</x:v>
      </x:c>
      <x:c r="K616" s="56" t="str">
        <x:v>Low</x:v>
      </x:c>
      <x:c r="L616" s="56" t="str">
        <x:v>Mixed</x:v>
      </x:c>
      <x:c r="M616" s="56"/>
      <x:c r="N616" s="56" t="str">
        <x:v>Patch testing is prudent; no defect finding.</x:v>
      </x:c>
      <x:c r="O616" s="56" t="str">
        <x:v>Codex</x:v>
      </x:c>
    </x:row>
    <x:row r="617" ht="104" customHeight="1">
      <x:c r="A617" s="56" t="str">
        <x:v>SRC-NBZ-046</x:v>
      </x:c>
      <x:c r="B617" s="56" t="str">
        <x:v>KB012</x:v>
      </x:c>
      <x:c r="C617" s="56" t="str">
        <x:v>Reddit — No. 3 availability confusion</x:v>
      </x:c>
      <x:c r="D617" s="56" t="str">
        <x:v>Users discussed possible discontinuation, packaging or formula changes while trying to find No. 3 Toner.</x:v>
      </x:c>
      <x:c r="E617" s="56" t="str">
        <x:v>Reddit r/AsianBeauty</x:v>
      </x:c>
      <x:c r="F617" s="56" t="str">
        <x:v>https://www.reddit.com/r/AsianBeauty/comments/1ua6i6j/cant_find_numbuzin_no3_super_glowing_essence/</x:v>
      </x:c>
      <x:c r="G617" s="56" t="str">
        <x:v>Consumer Forum</x:v>
      </x:c>
      <x:c r="H617" s="56"/>
      <x:c r="I617" s="56" t="str">
        <x:v>2026-08-01</x:v>
      </x:c>
      <x:c r="J617" s="56" t="str">
        <x:v>Anecdotal Channel Risk</x:v>
      </x:c>
      <x:c r="K617" s="56" t="str">
        <x:v>Low-Medium</x:v>
      </x:c>
      <x:c r="L617" s="56" t="str">
        <x:v>Mixed</x:v>
      </x:c>
      <x:c r="M617" s="56"/>
      <x:c r="N617" s="56" t="str">
        <x:v>Official U.S. site still listed the product.</x:v>
      </x:c>
      <x:c r="O617" s="56" t="str">
        <x:v>Codex</x:v>
      </x:c>
    </x:row>
    <x:row r="618" ht="104" customHeight="1">
      <x:c r="A618" s="56" t="str">
        <x:v>SRC-NBZ-047</x:v>
      </x:c>
      <x:c r="B618" s="56" t="str">
        <x:v>KB012</x:v>
      </x:c>
      <x:c r="C618" s="56" t="str">
        <x:v>Reddit — authenticity and numbered range</x:v>
      </x:c>
      <x:c r="D618" s="56" t="str">
        <x:v>Threads show official-Amazon-seller checking, authenticity concern and strong community understanding of No. 3/5/9 roles.</x:v>
      </x:c>
      <x:c r="E618" s="56" t="str">
        <x:v>Reddit</x:v>
      </x:c>
      <x:c r="F618" s="56" t="str">
        <x:v>https://www.reddit.com/r/AsianBeauty/comments/1bji0pw</x:v>
      </x:c>
      <x:c r="G618" s="56" t="str">
        <x:v>Consumer Forum</x:v>
      </x:c>
      <x:c r="H618" s="56"/>
      <x:c r="I618" s="56" t="str">
        <x:v>2026-08-01</x:v>
      </x:c>
      <x:c r="J618" s="56" t="str">
        <x:v>Anecdotal Awareness / Risk Evidence</x:v>
      </x:c>
      <x:c r="K618" s="56" t="str">
        <x:v>Low-Medium</x:v>
      </x:c>
      <x:c r="L618" s="56" t="str">
        <x:v>Mixed</x:v>
      </x:c>
      <x:c r="M618" s="56"/>
      <x:c r="N618" s="56" t="str">
        <x:v>Comments are not proof of counterfeit; community cheat sheets are not U.S.-specific.</x:v>
      </x:c>
      <x:c r="O618" s="56" t="str">
        <x:v>Codex</x:v>
      </x:c>
    </x:row>
    <x:row r="619" ht="104" customHeight="1">
      <x:c r="A619" s="56" t="str">
        <x:v>SRC-NBZ-048</x:v>
      </x:c>
      <x:c r="B619" s="56" t="str">
        <x:v>KB012</x:v>
      </x:c>
      <x:c r="C619" s="56" t="str">
        <x:v>Competitor — ANUA brightening serum</x:v>
      </x:c>
      <x:c r="D619" s="56" t="str">
        <x:v>Official page lists Niacinamide 10% + TXA 4% Serum at about $24 for 30 mL.</x:v>
      </x:c>
      <x:c r="E619" s="56" t="str">
        <x:v>ANUA</x:v>
      </x:c>
      <x:c r="F619" s="56" t="str">
        <x:v>https://anua.com/products/niacinamide-10-txa-4-serum-2</x:v>
      </x:c>
      <x:c r="G619" s="56" t="str">
        <x:v>Official Competitor Product Page</x:v>
      </x:c>
      <x:c r="H619" s="56"/>
      <x:c r="I619" s="56" t="str">
        <x:v>2026-08-01</x:v>
      </x:c>
      <x:c r="J619" s="56" t="str">
        <x:v>Verified Competitor Fact</x:v>
      </x:c>
      <x:c r="K619" s="56" t="str">
        <x:v>High</x:v>
      </x:c>
      <x:c r="L619" s="56" t="str">
        <x:v>Yes</x:v>
      </x:c>
      <x:c r="M619" s="56"/>
      <x:c r="N619" s="56" t="str">
        <x:v>Price and promotions change.</x:v>
      </x:c>
      <x:c r="O619" s="56" t="str">
        <x:v>Codex</x:v>
      </x:c>
    </x:row>
    <x:row r="620" ht="104" customHeight="1">
      <x:c r="A620" s="56" t="str">
        <x:v>SRC-NBZ-049</x:v>
      </x:c>
      <x:c r="B620" s="56" t="str">
        <x:v>KB012</x:v>
      </x:c>
      <x:c r="C620" s="56" t="str">
        <x:v>Competitor — Beauty of Joseon serum</x:v>
      </x:c>
      <x:c r="D620" s="56" t="str">
        <x:v>Official page lists Glow Deep Serum: Rice + Alpha-Arbutin near $17 for 30 mL.</x:v>
      </x:c>
      <x:c r="E620" s="56" t="str">
        <x:v>Beauty of Joseon</x:v>
      </x:c>
      <x:c r="F620" s="56" t="str">
        <x:v>https://beautyofjoseon.com/collections/serum/products/glow-deep-serum-rice-alpha-arbutin</x:v>
      </x:c>
      <x:c r="G620" s="56" t="str">
        <x:v>Official Competitor Product Page</x:v>
      </x:c>
      <x:c r="H620" s="56"/>
      <x:c r="I620" s="56" t="str">
        <x:v>2026-08-01</x:v>
      </x:c>
      <x:c r="J620" s="56" t="str">
        <x:v>Verified Competitor Fact</x:v>
      </x:c>
      <x:c r="K620" s="56" t="str">
        <x:v>High</x:v>
      </x:c>
      <x:c r="L620" s="56" t="str">
        <x:v>Yes</x:v>
      </x:c>
      <x:c r="M620" s="56"/>
      <x:c r="N620" s="56" t="str">
        <x:v>Price and promotions change.</x:v>
      </x:c>
      <x:c r="O620" s="56" t="str">
        <x:v>Codex</x:v>
      </x:c>
    </x:row>
    <x:row r="621" ht="104" customHeight="1">
      <x:c r="A621" s="56" t="str">
        <x:v>SRC-NBZ-050</x:v>
      </x:c>
      <x:c r="B621" s="56" t="str">
        <x:v>KB012</x:v>
      </x:c>
      <x:c r="C621" s="56" t="str">
        <x:v>Competitor — ma:nyo ampoule</x:v>
      </x:c>
      <x:c r="D621" s="56" t="str">
        <x:v>Ulta lists Bifida Biome Complex Ampoule 30 mL at $23 with 4.7/477.</x:v>
      </x:c>
      <x:c r="E621" s="56" t="str">
        <x:v>Ulta / ma:nyo</x:v>
      </x:c>
      <x:c r="F621" s="56" t="str">
        <x:v>https://www.ulta.com/p/bifida-biome-complex-ampoule-pimprod2045871</x:v>
      </x:c>
      <x:c r="G621" s="56" t="str">
        <x:v>Authorized Competitor Retailer</x:v>
      </x:c>
      <x:c r="H621" s="56"/>
      <x:c r="I621" s="56" t="str">
        <x:v>2026-08-01</x:v>
      </x:c>
      <x:c r="J621" s="56" t="str">
        <x:v>Verified Competitor Fact</x:v>
      </x:c>
      <x:c r="K621" s="56" t="str">
        <x:v>High</x:v>
      </x:c>
      <x:c r="L621" s="56" t="str">
        <x:v>Yes</x:v>
      </x:c>
      <x:c r="M621" s="56"/>
      <x:c r="N621" s="56" t="str">
        <x:v>Review counts are dynamic.</x:v>
      </x:c>
      <x:c r="O621" s="56" t="str">
        <x:v>Codex</x:v>
      </x:c>
    </x:row>
    <x:row r="622" ht="104" customHeight="1">
      <x:c r="A622" s="56" t="str">
        <x:v>SRC-NBZ-051</x:v>
      </x:c>
      <x:c r="B622" s="56" t="str">
        <x:v>KB012</x:v>
      </x:c>
      <x:c r="C622" s="56" t="str">
        <x:v>Competitor — ANUA toner</x:v>
      </x:c>
      <x:c r="D622" s="56" t="str">
        <x:v>Ulta lists Rice 70 Glow Milky Toner 250 mL at $21 with 4.4/213.</x:v>
      </x:c>
      <x:c r="E622" s="56" t="str">
        <x:v>Ulta / ANUA</x:v>
      </x:c>
      <x:c r="F622" s="56" t="str">
        <x:v>https://www.ulta.com/p/rice-70-glow-milky-toner-pimprod2048932?sku=2634193</x:v>
      </x:c>
      <x:c r="G622" s="56" t="str">
        <x:v>Authorized Competitor Retailer</x:v>
      </x:c>
      <x:c r="H622" s="56"/>
      <x:c r="I622" s="56" t="str">
        <x:v>2026-08-01</x:v>
      </x:c>
      <x:c r="J622" s="56" t="str">
        <x:v>Verified Competitor Fact</x:v>
      </x:c>
      <x:c r="K622" s="56" t="str">
        <x:v>High</x:v>
      </x:c>
      <x:c r="L622" s="56" t="str">
        <x:v>Yes</x:v>
      </x:c>
      <x:c r="M622" s="56"/>
      <x:c r="N622" s="56" t="str">
        <x:v>Review counts and exclusivity change.</x:v>
      </x:c>
      <x:c r="O622" s="56" t="str">
        <x:v>Codex</x:v>
      </x:c>
    </x:row>
    <x:row r="623" ht="104" customHeight="1">
      <x:c r="A623" s="56" t="str">
        <x:v>SRC-NBZ-052</x:v>
      </x:c>
      <x:c r="B623" s="56" t="str">
        <x:v>KB012</x:v>
      </x:c>
      <x:c r="C623" s="56" t="str">
        <x:v>Competitor — LANEIGE firming serum</x:v>
      </x:c>
      <x:c r="D623" s="56" t="str">
        <x:v>Sephora lists LANEIGE Bouncy &amp; Firm Serum as a prestige plumping/firming comparable near $45.</x:v>
      </x:c>
      <x:c r="E623" s="56" t="str">
        <x:v>Sephora / LANEIGE</x:v>
      </x:c>
      <x:c r="F623" s="56" t="str">
        <x:v>https://www.sephora.com/product/bouncy-firm-serum-P511129</x:v>
      </x:c>
      <x:c r="G623" s="56" t="str">
        <x:v>Authorized Competitor Retailer</x:v>
      </x:c>
      <x:c r="H623" s="56"/>
      <x:c r="I623" s="56" t="str">
        <x:v>2026-08-01</x:v>
      </x:c>
      <x:c r="J623" s="56" t="str">
        <x:v>Verified Competitor Fact</x:v>
      </x:c>
      <x:c r="K623" s="56" t="str">
        <x:v>High</x:v>
      </x:c>
      <x:c r="L623" s="56" t="str">
        <x:v>Yes</x:v>
      </x:c>
      <x:c r="M623" s="56"/>
      <x:c r="N623" s="56" t="str">
        <x:v>Price and engagement displays change.</x:v>
      </x:c>
      <x:c r="O623" s="56" t="str">
        <x:v>Codex</x:v>
      </x:c>
    </x:row>
    <x:row r="624" ht="106" customHeight="1">
      <x:c r="A624" s="56" t="str">
        <x:v>SRC-MIX-001</x:v>
      </x:c>
      <x:c r="B624" s="56" t="str">
        <x:v>KB013</x:v>
      </x:c>
      <x:c r="C624" s="56" t="str">
        <x:v>Controlling Source fields</x:v>
      </x:c>
      <x:c r="D624" s="56" t="str">
        <x:v>Source workbook records mixsoon.com, Skincare, Bean Essence texture/pore-sebum awareness and rising Amazon best-seller visibility.</x:v>
      </x:c>
      <x:c r="E624" s="56" t="str">
        <x:v>Top40 K-Beauty Global Rankings</x:v>
      </x:c>
      <x:c r="F624" s="56" t="str">
        <x:v>https://mixsoon.com</x:v>
      </x:c>
      <x:c r="G624" s="56" t="str">
        <x:v>User-provided controlling source</x:v>
      </x:c>
      <x:c r="H624" s="56"/>
      <x:c r="I624" s="56" t="str">
        <x:v>2026-08-01</x:v>
      </x:c>
      <x:c r="J624" s="56" t="str">
        <x:v>Preserved Source Information</x:v>
      </x:c>
      <x:c r="K624" s="56" t="str">
        <x:v>High</x:v>
      </x:c>
      <x:c r="L624" s="56" t="str">
        <x:v>Yes</x:v>
      </x:c>
      <x:c r="M624" s="56"/>
      <x:c r="N624" s="56" t="str">
        <x:v>Source columns E:H were preserved without change; independently verified findings are stored separately.</x:v>
      </x:c>
      <x:c r="O624" s="56" t="str">
        <x:v>Codex</x:v>
      </x:c>
    </x:row>
    <x:row r="625" ht="106" customHeight="1">
      <x:c r="A625" s="56" t="str">
        <x:v>SRC-MIX-002</x:v>
      </x:c>
      <x:c r="B625" s="56" t="str">
        <x:v>KB013</x:v>
      </x:c>
      <x:c r="C625" s="56" t="str">
        <x:v>Core verification — Official U.S. Website</x:v>
      </x:c>
      <x:c r="D625" s="56" t="str">
        <x:v>mixsoon.us is the current official U.S. consumer storefront and identifies PARKET INC. in its privacy policy.</x:v>
      </x:c>
      <x:c r="E625" s="56" t="str">
        <x:v>Mixsoon U.S.</x:v>
      </x:c>
      <x:c r="F625" s="56" t="str">
        <x:v>https://mixsoon.us</x:v>
      </x:c>
      <x:c r="G625" s="56" t="str">
        <x:v>Official Brand Site</x:v>
      </x:c>
      <x:c r="H625" s="56"/>
      <x:c r="I625" s="56" t="str">
        <x:v>2026-08-01</x:v>
      </x:c>
      <x:c r="J625" s="56" t="str">
        <x:v>Verified Fact</x:v>
      </x:c>
      <x:c r="K625" s="56" t="str">
        <x:v>High</x:v>
      </x:c>
      <x:c r="L625" s="56" t="str">
        <x:v>Yes</x:v>
      </x:c>
      <x:c r="M625" s="56"/>
      <x:c r="N625" s="56" t="str">
        <x:v>Verified official website field uses the U.S. storefront; source URL remains unchanged.</x:v>
      </x:c>
      <x:c r="O625" s="56" t="str">
        <x:v>Codex</x:v>
      </x:c>
    </x:row>
    <x:row r="626" ht="106" customHeight="1">
      <x:c r="A626" s="56" t="str">
        <x:v>SRC-MIX-003</x:v>
      </x:c>
      <x:c r="B626" s="56" t="str">
        <x:v>KB013</x:v>
      </x:c>
      <x:c r="C626" s="56" t="str">
        <x:v>Company identity</x:v>
      </x:c>
      <x:c r="D626" s="56" t="str">
        <x:v>Official Korean page identifies PARKET INC., CEO Hwang Joo-eop, business registration 260-87-00321 and Seoul address.</x:v>
      </x:c>
      <x:c r="E626" s="56" t="str">
        <x:v>Mixsoon Korea</x:v>
      </x:c>
      <x:c r="F626" s="56" t="str">
        <x:v>https://mixsoon.co.kr/shopinfo/company.html</x:v>
      </x:c>
      <x:c r="G626" s="56" t="str">
        <x:v>Official Corporate Page</x:v>
      </x:c>
      <x:c r="H626" s="56"/>
      <x:c r="I626" s="56" t="str">
        <x:v>2026-08-01</x:v>
      </x:c>
      <x:c r="J626" s="56" t="str">
        <x:v>Verified Company Fact</x:v>
      </x:c>
      <x:c r="K626" s="56" t="str">
        <x:v>High</x:v>
      </x:c>
      <x:c r="L626" s="56" t="str">
        <x:v>Yes</x:v>
      </x:c>
      <x:c r="M626" s="56"/>
      <x:c r="N626" s="56" t="str">
        <x:v>Does not by itself identify the U.S. importer or responsible person.</x:v>
      </x:c>
      <x:c r="O626" s="56" t="str">
        <x:v>Codex</x:v>
      </x:c>
    </x:row>
    <x:row r="627" ht="106" customHeight="1">
      <x:c r="A627" s="56" t="str">
        <x:v>SRC-MIX-004</x:v>
      </x:c>
      <x:c r="B627" s="56" t="str">
        <x:v>KB013</x:v>
      </x:c>
      <x:c r="C627" s="56" t="str">
        <x:v>Privacy / site ownership</x:v>
      </x:c>
      <x:c r="D627" s="56" t="str">
        <x:v>Official privacy policy states PARKET INC. owns the website and describes international consumer operations.</x:v>
      </x:c>
      <x:c r="E627" s="56" t="str">
        <x:v>Mixsoon U.S.</x:v>
      </x:c>
      <x:c r="F627" s="56" t="str">
        <x:v>https://mixsoon.us/policies/privacy-policy</x:v>
      </x:c>
      <x:c r="G627" s="56" t="str">
        <x:v>Official Policy</x:v>
      </x:c>
      <x:c r="H627" s="56"/>
      <x:c r="I627" s="56" t="str">
        <x:v>2026-08-01</x:v>
      </x:c>
      <x:c r="J627" s="56" t="str">
        <x:v>Verified Company Fact</x:v>
      </x:c>
      <x:c r="K627" s="56" t="str">
        <x:v>High</x:v>
      </x:c>
      <x:c r="L627" s="56" t="str">
        <x:v>Yes</x:v>
      </x:c>
      <x:c r="M627" s="56"/>
      <x:c r="N627" s="56" t="str">
        <x:v>Confirm merchant of record and U.S. contracting entity separately.</x:v>
      </x:c>
      <x:c r="O627" s="56" t="str">
        <x:v>Codex</x:v>
      </x:c>
    </x:row>
    <x:row r="628" ht="106" customHeight="1">
      <x:c r="A628" s="56" t="str">
        <x:v>SRC-MIX-005</x:v>
      </x:c>
      <x:c r="B628" s="56" t="str">
        <x:v>KB013</x:v>
      </x:c>
      <x:c r="C628" s="56" t="str">
        <x:v>Terms / U.S. notice address</x:v>
      </x:c>
      <x:c r="D628" s="56" t="str">
        <x:v>Terms list global_cs@mixsoon.us and a notice address at La Fulfill, 19060 S Dominguez Hills Dr, Rancho Dominguez, California.</x:v>
      </x:c>
      <x:c r="E628" s="56" t="str">
        <x:v>Mixsoon U.S.</x:v>
      </x:c>
      <x:c r="F628" s="56" t="str">
        <x:v>https://mixsoon.us/policies/terms-of-service</x:v>
      </x:c>
      <x:c r="G628" s="56" t="str">
        <x:v>Official Policy</x:v>
      </x:c>
      <x:c r="H628" s="56"/>
      <x:c r="I628" s="56" t="str">
        <x:v>2026-08-01</x:v>
      </x:c>
      <x:c r="J628" s="56" t="str">
        <x:v>Verified Operating Fact</x:v>
      </x:c>
      <x:c r="K628" s="56" t="str">
        <x:v>High</x:v>
      </x:c>
      <x:c r="L628" s="56" t="str">
        <x:v>Yes</x:v>
      </x:c>
      <x:c r="M628" s="56"/>
      <x:c r="N628" s="56" t="str">
        <x:v>A fulfillment/notice address is not proof of importer or responsible-person status.</x:v>
      </x:c>
      <x:c r="O628" s="56" t="str">
        <x:v>Codex</x:v>
      </x:c>
    </x:row>
    <x:row r="629" ht="106" customHeight="1">
      <x:c r="A629" s="56" t="str">
        <x:v>SRC-MIX-006</x:v>
      </x:c>
      <x:c r="B629" s="56" t="str">
        <x:v>KB013</x:v>
      </x:c>
      <x:c r="C629" s="56" t="str">
        <x:v>Brand story and B2B</x:v>
      </x:c>
      <x:c r="D629" s="56" t="str">
        <x:v>Official About page describes 72-hour fermentation, ingredient testing claims and b2binquiry@pkcosm.com.</x:v>
      </x:c>
      <x:c r="E629" s="56" t="str">
        <x:v>Mixsoon U.S.</x:v>
      </x:c>
      <x:c r="F629" s="56" t="str">
        <x:v>https://mixsoon.us/pages/about-mixsoon</x:v>
      </x:c>
      <x:c r="G629" s="56" t="str">
        <x:v>Official Brand Page</x:v>
      </x:c>
      <x:c r="H629" s="56"/>
      <x:c r="I629" s="56" t="str">
        <x:v>2026-08-01</x:v>
      </x:c>
      <x:c r="J629" s="56" t="str">
        <x:v>Verified Brand Claim</x:v>
      </x:c>
      <x:c r="K629" s="56" t="str">
        <x:v>High</x:v>
      </x:c>
      <x:c r="L629" s="56" t="str">
        <x:v>Yes</x:v>
      </x:c>
      <x:c r="M629" s="56"/>
      <x:c r="N629" s="56" t="str">
        <x:v>Testing and absorption claims require underlying documentation.</x:v>
      </x:c>
      <x:c r="O629" s="56" t="str">
        <x:v>Codex</x:v>
      </x:c>
    </x:row>
    <x:row r="630" ht="106" customHeight="1">
      <x:c r="A630" s="56" t="str">
        <x:v>SRC-MIX-007</x:v>
      </x:c>
      <x:c r="B630" s="56" t="str">
        <x:v>KB013</x:v>
      </x:c>
      <x:c r="C630" s="56" t="str">
        <x:v>FAQ and official purchase routes</x:v>
      </x:c>
      <x:c r="D630" s="56" t="str">
        <x:v>FAQ identifies mixsoon.us and the Mixsoon Amazon shop as official buying routes and provides product-use information.</x:v>
      </x:c>
      <x:c r="E630" s="56" t="str">
        <x:v>Mixsoon U.S.</x:v>
      </x:c>
      <x:c r="F630" s="56" t="str">
        <x:v>https://mixsoon.us/pages/faq</x:v>
      </x:c>
      <x:c r="G630" s="56" t="str">
        <x:v>Official FAQ</x:v>
      </x:c>
      <x:c r="H630" s="56"/>
      <x:c r="I630" s="56" t="str">
        <x:v>2026-08-01</x:v>
      </x:c>
      <x:c r="J630" s="56" t="str">
        <x:v>Verified Channel Fact</x:v>
      </x:c>
      <x:c r="K630" s="56" t="str">
        <x:v>High</x:v>
      </x:c>
      <x:c r="L630" s="56" t="str">
        <x:v>Yes</x:v>
      </x:c>
      <x:c r="M630" s="56"/>
      <x:c r="N630" s="56" t="str">
        <x:v>Seller identity must still be rechecked at checkout.</x:v>
      </x:c>
      <x:c r="O630" s="56" t="str">
        <x:v>Codex</x:v>
      </x:c>
    </x:row>
    <x:row r="631" ht="106" customHeight="1">
      <x:c r="A631" s="56" t="str">
        <x:v>SRC-MIX-008</x:v>
      </x:c>
      <x:c r="B631" s="56" t="str">
        <x:v>KB013</x:v>
      </x:c>
      <x:c r="C631" s="56" t="str">
        <x:v>Official retailer map</x:v>
      </x:c>
      <x:c r="D631" s="56" t="str">
        <x:v>Official page lists Ulta, Walmart, TJX and Costco in the USA plus YesStyle, Stylevana, StyleKorean, Jolse and Coreelle worldwide.</x:v>
      </x:c>
      <x:c r="E631" s="56" t="str">
        <x:v>Mixsoon U.S.</x:v>
      </x:c>
      <x:c r="F631" s="56" t="str">
        <x:v>https://mixsoon.us/pages/official-retailers</x:v>
      </x:c>
      <x:c r="G631" s="56" t="str">
        <x:v>Official Retailer List</x:v>
      </x:c>
      <x:c r="H631" s="56"/>
      <x:c r="I631" s="56" t="str">
        <x:v>2026-08-01</x:v>
      </x:c>
      <x:c r="J631" s="56" t="str">
        <x:v>Verified Channel Fact</x:v>
      </x:c>
      <x:c r="K631" s="56" t="str">
        <x:v>High</x:v>
      </x:c>
      <x:c r="L631" s="56" t="str">
        <x:v>Yes</x:v>
      </x:c>
      <x:c r="M631" s="56"/>
      <x:c r="N631" s="56" t="str">
        <x:v>Authorization is channel-level; seller/SKU/version still require diligence.</x:v>
      </x:c>
      <x:c r="O631" s="56" t="str">
        <x:v>Codex</x:v>
      </x:c>
    </x:row>
    <x:row r="632" ht="106" customHeight="1">
      <x:c r="A632" s="56" t="str">
        <x:v>SRC-MIX-009</x:v>
      </x:c>
      <x:c r="B632" s="56" t="str">
        <x:v>KB013</x:v>
      </x:c>
      <x:c r="C632" s="56" t="str">
        <x:v>Official channel map</x:v>
      </x:c>
      <x:c r="D632" s="56" t="str">
        <x:v>Official U.S. Linktree routes to the U.S. site, Instagram, TikTok, Amazon, TikTok Shop, Ulta and B2B.</x:v>
      </x:c>
      <x:c r="E632" s="56" t="str">
        <x:v>Mixsoon U.S. Linktree</x:v>
      </x:c>
      <x:c r="F632" s="56" t="str">
        <x:v>https://linktr.ee/mixsoon_us</x:v>
      </x:c>
      <x:c r="G632" s="56" t="str">
        <x:v>Official Social Link Hub</x:v>
      </x:c>
      <x:c r="H632" s="56"/>
      <x:c r="I632" s="56" t="str">
        <x:v>2026-08-01</x:v>
      </x:c>
      <x:c r="J632" s="56" t="str">
        <x:v>Verified Channel Map</x:v>
      </x:c>
      <x:c r="K632" s="56" t="str">
        <x:v>High</x:v>
      </x:c>
      <x:c r="L632" s="56" t="str">
        <x:v>Yes</x:v>
      </x:c>
      <x:c r="M632" s="56"/>
      <x:c r="N632" s="56" t="str">
        <x:v>Supports account/channel authenticity.</x:v>
      </x:c>
      <x:c r="O632" s="56" t="str">
        <x:v>Codex</x:v>
      </x:c>
    </x:row>
    <x:row r="633" ht="106" customHeight="1">
      <x:c r="A633" s="56" t="str">
        <x:v>SRC-MIX-010</x:v>
      </x:c>
      <x:c r="B633" s="56" t="str">
        <x:v>KB013</x:v>
      </x:c>
      <x:c r="C633" s="56" t="str">
        <x:v>Core verification — Primary Category</x:v>
      </x:c>
      <x:c r="D633" s="56" t="str">
        <x:v>Official catalog is predominantly skincare across cleansers, toners, essences/serums, moisturizers, masks and related care.</x:v>
      </x:c>
      <x:c r="E633" s="56" t="str">
        <x:v>Mixsoon U.S.</x:v>
      </x:c>
      <x:c r="F633" s="56" t="str">
        <x:v>https://mixsoon.us/collections/by-category</x:v>
      </x:c>
      <x:c r="G633" s="56" t="str">
        <x:v>Official Catalog</x:v>
      </x:c>
      <x:c r="H633" s="56"/>
      <x:c r="I633" s="56" t="str">
        <x:v>2026-08-01</x:v>
      </x:c>
      <x:c r="J633" s="56" t="str">
        <x:v>Verified Category Fact</x:v>
      </x:c>
      <x:c r="K633" s="56" t="str">
        <x:v>High</x:v>
      </x:c>
      <x:c r="L633" s="56" t="str">
        <x:v>Yes</x:v>
      </x:c>
      <x:c r="M633" s="56"/>
      <x:c r="N633" s="56" t="str">
        <x:v>Primary category remains Skincare.</x:v>
      </x:c>
      <x:c r="O633" s="56" t="str">
        <x:v>Codex</x:v>
      </x:c>
    </x:row>
    <x:row r="634" ht="106" customHeight="1">
      <x:c r="A634" s="56" t="str">
        <x:v>SRC-MIX-011</x:v>
      </x:c>
      <x:c r="B634" s="56" t="str">
        <x:v>KB013</x:v>
      </x:c>
      <x:c r="C634" s="56" t="str">
        <x:v>Hero — Bean Essence</x:v>
      </x:c>
      <x:c r="D634" s="56" t="str">
        <x:v>Official page lists 50 mL, $35 list/$28 current, seven ingredients and 267 reviews; positions hydration and gentle texture refinement.</x:v>
      </x:c>
      <x:c r="E634" s="56" t="str">
        <x:v>Mixsoon U.S.</x:v>
      </x:c>
      <x:c r="F634" s="56" t="str">
        <x:v>https://mixsoon.us/products/mixsoon-bean-essence-50ml</x:v>
      </x:c>
      <x:c r="G634" s="56" t="str">
        <x:v>Official Product Page</x:v>
      </x:c>
      <x:c r="H634" s="56"/>
      <x:c r="I634" s="56" t="str">
        <x:v>2026-08-01</x:v>
      </x:c>
      <x:c r="J634" s="56" t="str">
        <x:v>Verified Product Fact</x:v>
      </x:c>
      <x:c r="K634" s="56" t="str">
        <x:v>High</x:v>
      </x:c>
      <x:c r="L634" s="56" t="str">
        <x:v>Yes</x:v>
      </x:c>
      <x:c r="M634" s="56"/>
      <x:c r="N634" s="56" t="str">
        <x:v>Review pore, repair, regeneration, elasticity and wrinkle language.</x:v>
      </x:c>
      <x:c r="O634" s="56" t="str">
        <x:v>Codex</x:v>
      </x:c>
    </x:row>
    <x:row r="635" ht="106" customHeight="1">
      <x:c r="A635" s="56" t="str">
        <x:v>SRC-MIX-012</x:v>
      </x:c>
      <x:c r="B635" s="56" t="str">
        <x:v>KB013</x:v>
      </x:c>
      <x:c r="C635" s="56" t="str">
        <x:v>Hero — Bean Cream</x:v>
      </x:c>
      <x:c r="D635" s="56" t="str">
        <x:v>Official page lists 50 mL at $35 list/$28 current and 179 reviews; ingredient list includes bergamot oil.</x:v>
      </x:c>
      <x:c r="E635" s="56" t="str">
        <x:v>Mixsoon U.S.</x:v>
      </x:c>
      <x:c r="F635" s="56" t="str">
        <x:v>https://mixsoon.us/products/mixsoon-bean-cream-50ml</x:v>
      </x:c>
      <x:c r="G635" s="56" t="str">
        <x:v>Official Product Page</x:v>
      </x:c>
      <x:c r="H635" s="56"/>
      <x:c r="I635" s="56" t="str">
        <x:v>2026-08-01</x:v>
      </x:c>
      <x:c r="J635" s="56" t="str">
        <x:v>Verified Product Fact</x:v>
      </x:c>
      <x:c r="K635" s="56" t="str">
        <x:v>High</x:v>
      </x:c>
      <x:c r="L635" s="56" t="str">
        <x:v>Yes</x:v>
      </x:c>
      <x:c r="M635" s="56"/>
      <x:c r="N635" s="56" t="str">
        <x:v>Review essential-oil disclosure, sensitivity and barrier claims.</x:v>
      </x:c>
      <x:c r="O635" s="56" t="str">
        <x:v>Codex</x:v>
      </x:c>
    </x:row>
    <x:row r="636" ht="106" customHeight="1">
      <x:c r="A636" s="56" t="str">
        <x:v>SRC-MIX-013</x:v>
      </x:c>
      <x:c r="B636" s="56" t="str">
        <x:v>KB013</x:v>
      </x:c>
      <x:c r="C636" s="56" t="str">
        <x:v>Hero — Glacier Serum</x:v>
      </x:c>
      <x:c r="D636" s="56" t="str">
        <x:v>Official page lists 300 mL at $29 list/$23.20 current and three hyaluronic-acid types.</x:v>
      </x:c>
      <x:c r="E636" s="56" t="str">
        <x:v>Mixsoon U.S.</x:v>
      </x:c>
      <x:c r="F636" s="56" t="str">
        <x:v>https://mixsoon.us/products/mixsoon-glacier-water-hyaluronic-acid-serum-300ml</x:v>
      </x:c>
      <x:c r="G636" s="56" t="str">
        <x:v>Official Product Page</x:v>
      </x:c>
      <x:c r="H636" s="56"/>
      <x:c r="I636" s="56" t="str">
        <x:v>2026-08-01</x:v>
      </x:c>
      <x:c r="J636" s="56" t="str">
        <x:v>Verified Product Fact</x:v>
      </x:c>
      <x:c r="K636" s="56" t="str">
        <x:v>High</x:v>
      </x:c>
      <x:c r="L636" s="56" t="str">
        <x:v>Yes</x:v>
      </x:c>
      <x:c r="M636" s="56"/>
      <x:c r="N636" s="56" t="str">
        <x:v>Review deep-penetration and elasticity wording.</x:v>
      </x:c>
      <x:c r="O636" s="56" t="str">
        <x:v>Codex</x:v>
      </x:c>
    </x:row>
    <x:row r="637" ht="106" customHeight="1">
      <x:c r="A637" s="56" t="str">
        <x:v>SRC-MIX-014</x:v>
      </x:c>
      <x:c r="B637" s="56" t="str">
        <x:v>KB013</x:v>
      </x:c>
      <x:c r="C637" s="56" t="str">
        <x:v>Hero — Bean Cleansing Oil</x:v>
      </x:c>
      <x:c r="D637" s="56" t="str">
        <x:v>Official page lists 195 mL at $25 list/$20 current and calls the product fragrance-free while INCI includes Fragrance (Parfum).</x:v>
      </x:c>
      <x:c r="E637" s="56" t="str">
        <x:v>Mixsoon U.S.</x:v>
      </x:c>
      <x:c r="F637" s="56" t="str">
        <x:v>https://mixsoon.us/products/mixsoon-bean-cleansing-oil-195ml</x:v>
      </x:c>
      <x:c r="G637" s="56" t="str">
        <x:v>Official Product Page</x:v>
      </x:c>
      <x:c r="H637" s="56"/>
      <x:c r="I637" s="56" t="str">
        <x:v>2026-08-01</x:v>
      </x:c>
      <x:c r="J637" s="56" t="str">
        <x:v>Verified Label/Claim Risk</x:v>
      </x:c>
      <x:c r="K637" s="56" t="str">
        <x:v>High</x:v>
      </x:c>
      <x:c r="L637" s="56" t="str">
        <x:v>Yes</x:v>
      </x:c>
      <x:c r="M637" s="56"/>
      <x:c r="N637" s="56" t="str">
        <x:v>Require corrected U.S. page/label and exact INCI artwork before sourcing.</x:v>
      </x:c>
      <x:c r="O637" s="56" t="str">
        <x:v>Codex</x:v>
      </x:c>
    </x:row>
    <x:row r="638" ht="106" customHeight="1">
      <x:c r="A638" s="56" t="str">
        <x:v>SRC-MIX-015</x:v>
      </x:c>
      <x:c r="B638" s="56" t="str">
        <x:v>KB013</x:v>
      </x:c>
      <x:c r="C638" s="56" t="str">
        <x:v>Hero — PDRN Collagen Tinted Moisturizer</x:v>
      </x:c>
      <x:c r="D638" s="56" t="str">
        <x:v>Official launch page displays ten shades, about $22 individual price and 387 reviews.</x:v>
      </x:c>
      <x:c r="E638" s="56" t="str">
        <x:v>Mixsoon U.S.</x:v>
      </x:c>
      <x:c r="F638" s="56" t="str">
        <x:v>https://mixsoon.us/pages/pdrn-collagen-tinted-moisturizer</x:v>
      </x:c>
      <x:c r="G638" s="56" t="str">
        <x:v>Official Product Page</x:v>
      </x:c>
      <x:c r="H638" s="56"/>
      <x:c r="I638" s="56" t="str">
        <x:v>2026-08-01</x:v>
      </x:c>
      <x:c r="J638" s="56" t="str">
        <x:v>Verified Product Fact</x:v>
      </x:c>
      <x:c r="K638" s="56" t="str">
        <x:v>High</x:v>
      </x:c>
      <x:c r="L638" s="56" t="str">
        <x:v>Yes</x:v>
      </x:c>
      <x:c r="M638" s="56"/>
      <x:c r="N638" s="56" t="str">
        <x:v>Confirm shade-specific INCI, claims and return economics.</x:v>
      </x:c>
      <x:c r="O638" s="56" t="str">
        <x:v>Codex</x:v>
      </x:c>
    </x:row>
    <x:row r="639" ht="106" customHeight="1">
      <x:c r="A639" s="56" t="str">
        <x:v>SRC-MIX-016</x:v>
      </x:c>
      <x:c r="B639" s="56" t="str">
        <x:v>KB013</x:v>
      </x:c>
      <x:c r="C639" s="56" t="str">
        <x:v>Core verification — Amazon storefront</x:v>
      </x:c>
      <x:c r="D639" s="56" t="str">
        <x:v>FAQ and official link hub point to Mixsoon's Amazon presence; sampled listings showed mixsoon as seller.</x:v>
      </x:c>
      <x:c r="E639" s="56" t="str">
        <x:v>Amazon U.S.</x:v>
      </x:c>
      <x:c r="F639" s="56" t="str">
        <x:v>https://www.amazon.com/stores/mixsoon/page/</x:v>
      </x:c>
      <x:c r="G639" s="56" t="str">
        <x:v>Official Marketplace Storefront</x:v>
      </x:c>
      <x:c r="H639" s="56"/>
      <x:c r="I639" s="56" t="str">
        <x:v>2026-08-01</x:v>
      </x:c>
      <x:c r="J639" s="56" t="str">
        <x:v>Verified Official-Seller Context</x:v>
      </x:c>
      <x:c r="K639" s="56" t="str">
        <x:v>High</x:v>
      </x:c>
      <x:c r="L639" s="56" t="str">
        <x:v>Yes</x:v>
      </x:c>
      <x:c r="M639" s="56"/>
      <x:c r="N639" s="56" t="str">
        <x:v>Seller and fulfillment identity remain dynamic.</x:v>
      </x:c>
      <x:c r="O639" s="56" t="str">
        <x:v>Codex</x:v>
      </x:c>
    </x:row>
    <x:row r="640" ht="106" customHeight="1">
      <x:c r="A640" s="56" t="str">
        <x:v>SRC-MIX-017</x:v>
      </x:c>
      <x:c r="B640" s="56" t="str">
        <x:v>KB013</x:v>
      </x:c>
      <x:c r="C640" s="56" t="str">
        <x:v>Amazon — Bean Essence 50 mL</x:v>
      </x:c>
      <x:c r="D640" s="56" t="str">
        <x:v>Page showed 6K+ bought/month, $22 observed one-time price, #4,047 Beauty and #115 Facial Serums; sold by mixsoon and shipped by Amazon.</x:v>
      </x:c>
      <x:c r="E640" s="56" t="str">
        <x:v>Amazon U.S.</x:v>
      </x:c>
      <x:c r="F640" s="56" t="str">
        <x:v>https://www.amazon.com/dp/B08ZXVVY8M</x:v>
      </x:c>
      <x:c r="G640" s="56" t="str">
        <x:v>Marketplace / Official Seller Display</x:v>
      </x:c>
      <x:c r="H640" s="56"/>
      <x:c r="I640" s="56" t="str">
        <x:v>2026-08-01</x:v>
      </x:c>
      <x:c r="J640" s="56" t="str">
        <x:v>Verified Platform Display</x:v>
      </x:c>
      <x:c r="K640" s="56" t="str">
        <x:v>High</x:v>
      </x:c>
      <x:c r="L640" s="56" t="str">
        <x:v>Yes</x:v>
      </x:c>
      <x:c r="M640" s="56"/>
      <x:c r="N640" s="56" t="str">
        <x:v>ASIN B08ZXVVY8M; dynamic public proxy.</x:v>
      </x:c>
      <x:c r="O640" s="56" t="str">
        <x:v>Codex</x:v>
      </x:c>
    </x:row>
    <x:row r="641" ht="106" customHeight="1">
      <x:c r="A641" s="56" t="str">
        <x:v>SRC-MIX-018</x:v>
      </x:c>
      <x:c r="B641" s="56" t="str">
        <x:v>KB013</x:v>
      </x:c>
      <x:c r="C641" s="56" t="str">
        <x:v>Amazon — Bean Essence 30 mL</x:v>
      </x:c>
      <x:c r="D641" s="56" t="str">
        <x:v>Page showed 1K+ bought/month, 4.6/9,975, $14.79 displayed subscription/current price and #104 Facial Serums.</x:v>
      </x:c>
      <x:c r="E641" s="56" t="str">
        <x:v>Amazon U.S.</x:v>
      </x:c>
      <x:c r="F641" s="56" t="str">
        <x:v>https://www.amazon.com/dp/B0BXKV9V2D</x:v>
      </x:c>
      <x:c r="G641" s="56" t="str">
        <x:v>Marketplace / Official Seller Display</x:v>
      </x:c>
      <x:c r="H641" s="56"/>
      <x:c r="I641" s="56" t="str">
        <x:v>2026-08-01</x:v>
      </x:c>
      <x:c r="J641" s="56" t="str">
        <x:v>Verified Platform Display</x:v>
      </x:c>
      <x:c r="K641" s="56" t="str">
        <x:v>High</x:v>
      </x:c>
      <x:c r="L641" s="56" t="str">
        <x:v>Yes</x:v>
      </x:c>
      <x:c r="M641" s="56"/>
      <x:c r="N641" s="56" t="str">
        <x:v>ASIN B0BXKV9V2D; review family and price type are dynamic.</x:v>
      </x:c>
      <x:c r="O641" s="56" t="str">
        <x:v>Codex</x:v>
      </x:c>
    </x:row>
    <x:row r="642" ht="106" customHeight="1">
      <x:c r="A642" s="56" t="str">
        <x:v>SRC-MIX-019</x:v>
      </x:c>
      <x:c r="B642" s="56" t="str">
        <x:v>KB013</x:v>
      </x:c>
      <x:c r="C642" s="56" t="str">
        <x:v>Amazon — Bean Cream</x:v>
      </x:c>
      <x:c r="D642" s="56" t="str">
        <x:v>Page showed 5K+ bought/month, 4.7/3,378, $23.60 observed, #127 Face Moisturizers and mixsoon/Amazon fulfillment.</x:v>
      </x:c>
      <x:c r="E642" s="56" t="str">
        <x:v>Amazon U.S.</x:v>
      </x:c>
      <x:c r="F642" s="56" t="str">
        <x:v>https://www.amazon.com/dp/B09GP95FQP</x:v>
      </x:c>
      <x:c r="G642" s="56" t="str">
        <x:v>Marketplace / Official Seller Display</x:v>
      </x:c>
      <x:c r="H642" s="56"/>
      <x:c r="I642" s="56" t="str">
        <x:v>2026-08-01</x:v>
      </x:c>
      <x:c r="J642" s="56" t="str">
        <x:v>Verified Platform Display</x:v>
      </x:c>
      <x:c r="K642" s="56" t="str">
        <x:v>High</x:v>
      </x:c>
      <x:c r="L642" s="56" t="str">
        <x:v>Yes</x:v>
      </x:c>
      <x:c r="M642" s="56"/>
      <x:c r="N642" s="56" t="str">
        <x:v>ASIN B09GP95FQP; dynamic public proxy.</x:v>
      </x:c>
      <x:c r="O642" s="56" t="str">
        <x:v>Codex</x:v>
      </x:c>
    </x:row>
    <x:row r="643" ht="106" customHeight="1">
      <x:c r="A643" s="56" t="str">
        <x:v>SRC-MIX-020</x:v>
      </x:c>
      <x:c r="B643" s="56" t="str">
        <x:v>KB013</x:v>
      </x:c>
      <x:c r="C643" s="56" t="str">
        <x:v>Amazon — Glacier Serum</x:v>
      </x:c>
      <x:c r="D643" s="56" t="str">
        <x:v>Page showed 1K+ bought/month, $19.50 one-time, #222 Facial Serums and an Amazon's Choice display.</x:v>
      </x:c>
      <x:c r="E643" s="56" t="str">
        <x:v>Amazon U.S.</x:v>
      </x:c>
      <x:c r="F643" s="56" t="str">
        <x:v>https://www.amazon.com/dp/B09GP7K353</x:v>
      </x:c>
      <x:c r="G643" s="56" t="str">
        <x:v>Marketplace / Official Seller Display</x:v>
      </x:c>
      <x:c r="H643" s="56"/>
      <x:c r="I643" s="56" t="str">
        <x:v>2026-08-01</x:v>
      </x:c>
      <x:c r="J643" s="56" t="str">
        <x:v>Verified Platform Display</x:v>
      </x:c>
      <x:c r="K643" s="56" t="str">
        <x:v>High</x:v>
      </x:c>
      <x:c r="L643" s="56" t="str">
        <x:v>Yes</x:v>
      </x:c>
      <x:c r="M643" s="56"/>
      <x:c r="N643" s="56" t="str">
        <x:v>ASIN B09GP7K353; dynamic public proxy.</x:v>
      </x:c>
      <x:c r="O643" s="56" t="str">
        <x:v>Codex</x:v>
      </x:c>
    </x:row>
    <x:row r="644" ht="106" customHeight="1">
      <x:c r="A644" s="56" t="str">
        <x:v>SRC-MIX-021</x:v>
      </x:c>
      <x:c r="B644" s="56" t="str">
        <x:v>KB013</x:v>
      </x:c>
      <x:c r="C644" s="56" t="str">
        <x:v>Amazon lower-bound methodology</x:v>
      </x:c>
      <x:c r="D644" s="56" t="str">
        <x:v>Four sampled ASINs total at least 13K monthly units and imply $284,290 at observed prices.</x:v>
      </x:c>
      <x:c r="E644" s="56" t="str">
        <x:v>Analyst Calculation</x:v>
      </x:c>
      <x:c r="F644" s="56" t="str">
        <x:v>https://www.amazon.com/stores/mixsoon/page/</x:v>
      </x:c>
      <x:c r="G644" s="56" t="str">
        <x:v>Derived from Marketplace Displays</x:v>
      </x:c>
      <x:c r="H644" s="56"/>
      <x:c r="I644" s="56" t="str">
        <x:v>2026-08-01</x:v>
      </x:c>
      <x:c r="J644" s="56" t="str">
        <x:v>Conservative Sales Proxy</x:v>
      </x:c>
      <x:c r="K644" s="56" t="str">
        <x:v>Medium-High</x:v>
      </x:c>
      <x:c r="L644" s="56" t="str">
        <x:v>Yes</x:v>
      </x:c>
      <x:c r="M644" s="56"/>
      <x:c r="N644" s="56" t="str">
        <x:v>Not audited revenue; excludes all other ASINs, tax, coupons, returns and units above rounded minimums.</x:v>
      </x:c>
      <x:c r="O644" s="56" t="str">
        <x:v>Codex</x:v>
      </x:c>
    </x:row>
    <x:row r="645" ht="106" customHeight="1">
      <x:c r="A645" s="56" t="str">
        <x:v>SRC-MIX-022</x:v>
      </x:c>
      <x:c r="B645" s="56" t="str">
        <x:v>KB013</x:v>
      </x:c>
      <x:c r="C645" s="56" t="str">
        <x:v>TikTok Shop U.S. scale</x:v>
      </x:c>
      <x:c r="D645" s="56" t="str">
        <x:v>Official shop displayed about 358.3K followers, 586.3K sold and 1,067 videos; multiple products/sets displayed 9K–72.9K sold.</x:v>
      </x:c>
      <x:c r="E645" s="56" t="str">
        <x:v>TikTok Shop U.S.</x:v>
      </x:c>
      <x:c r="F645" s="56" t="str">
        <x:v>https://shop.tiktok.com/us/store/mixsoon/7496053969826122536</x:v>
      </x:c>
      <x:c r="G645" s="56" t="str">
        <x:v>Official Social-Commerce Store</x:v>
      </x:c>
      <x:c r="H645" s="56"/>
      <x:c r="I645" s="56" t="str">
        <x:v>2026-08-01</x:v>
      </x:c>
      <x:c r="J645" s="56" t="str">
        <x:v>Dynamic Platform Signal</x:v>
      </x:c>
      <x:c r="K645" s="56" t="str">
        <x:v>Medium-High</x:v>
      </x:c>
      <x:c r="L645" s="56" t="str">
        <x:v>Yes</x:v>
      </x:c>
      <x:c r="M645" s="56"/>
      <x:c r="N645" s="56" t="str">
        <x:v>Cumulative platform display, not period revenue or audited U.S. sell-through.</x:v>
      </x:c>
      <x:c r="O645" s="56" t="str">
        <x:v>Codex</x:v>
      </x:c>
    </x:row>
    <x:row r="646" ht="106" customHeight="1">
      <x:c r="A646" s="56" t="str">
        <x:v>SRC-MIX-023</x:v>
      </x:c>
      <x:c r="B646" s="56" t="str">
        <x:v>KB013</x:v>
      </x:c>
      <x:c r="C646" s="56" t="str">
        <x:v>Social awareness snapshot</x:v>
      </x:c>
      <x:c r="D646" s="56" t="str">
        <x:v>Third-party monitor displayed about 357.5K TikTok followers, 2.1M likes, 126.4M views and 136.6K Instagram followers.</x:v>
      </x:c>
      <x:c r="E646" s="56" t="str">
        <x:v>BrandSearch</x:v>
      </x:c>
      <x:c r="F646" s="56" t="str">
        <x:v>https://brandsearch.co/brands/mixsoon.us</x:v>
      </x:c>
      <x:c r="G646" s="56" t="str">
        <x:v>Third-Party Social Analytics</x:v>
      </x:c>
      <x:c r="H646" s="56"/>
      <x:c r="I646" s="56" t="str">
        <x:v>2026-08-01</x:v>
      </x:c>
      <x:c r="J646" s="56" t="str">
        <x:v>Dynamic Awareness Signal</x:v>
      </x:c>
      <x:c r="K646" s="56" t="str">
        <x:v>Medium</x:v>
      </x:c>
      <x:c r="L646" s="56" t="str">
        <x:v>Yes</x:v>
      </x:c>
      <x:c r="M646" s="56"/>
      <x:c r="N646" s="56" t="str">
        <x:v>Methodology and U.S.-only share are not audited.</x:v>
      </x:c>
      <x:c r="O646" s="56" t="str">
        <x:v>Codex</x:v>
      </x:c>
    </x:row>
    <x:row r="647" ht="106" customHeight="1">
      <x:c r="A647" s="56" t="str">
        <x:v>SRC-MIX-024</x:v>
      </x:c>
      <x:c r="B647" s="56" t="str">
        <x:v>KB013</x:v>
      </x:c>
      <x:c r="C647" s="56" t="str">
        <x:v>Instagram account</x:v>
      </x:c>
      <x:c r="D647" s="56" t="str">
        <x:v>Official Linktree points to @mixsoon_us for U.S. brand content.</x:v>
      </x:c>
      <x:c r="E647" s="56" t="str">
        <x:v>Instagram</x:v>
      </x:c>
      <x:c r="F647" s="56" t="str">
        <x:v>https://www.instagram.com/mixsoon_us/</x:v>
      </x:c>
      <x:c r="G647" s="56" t="str">
        <x:v>Official Social Account</x:v>
      </x:c>
      <x:c r="H647" s="56"/>
      <x:c r="I647" s="56" t="str">
        <x:v>2026-08-01</x:v>
      </x:c>
      <x:c r="J647" s="56" t="str">
        <x:v>Verified Account Fact</x:v>
      </x:c>
      <x:c r="K647" s="56" t="str">
        <x:v>High</x:v>
      </x:c>
      <x:c r="L647" s="56" t="str">
        <x:v>Yes</x:v>
      </x:c>
      <x:c r="M647" s="56"/>
      <x:c r="N647" s="56" t="str">
        <x:v>Platform follower/engagement counts change.</x:v>
      </x:c>
      <x:c r="O647" s="56" t="str">
        <x:v>Codex</x:v>
      </x:c>
    </x:row>
    <x:row r="648" ht="106" customHeight="1">
      <x:c r="A648" s="56" t="str">
        <x:v>SRC-MIX-025</x:v>
      </x:c>
      <x:c r="B648" s="56" t="str">
        <x:v>KB013</x:v>
      </x:c>
      <x:c r="C648" s="56" t="str">
        <x:v>Ulta national presence</x:v>
      </x:c>
      <x:c r="D648" s="56" t="str">
        <x:v>Ulta displayed 33 Mixsoon results; Bean Cream $24 4.6/80, Bean Essence $21–$24 4.4/189 and Bean Cleansing Oil $18 4.6/46.</x:v>
      </x:c>
      <x:c r="E648" s="56" t="str">
        <x:v>Ulta Beauty</x:v>
      </x:c>
      <x:c r="F648" s="56" t="str">
        <x:v>https://www.ulta.com/brand/mixsoon?category=skin-care%2Ck-beauty</x:v>
      </x:c>
      <x:c r="G648" s="56" t="str">
        <x:v>Authorized Retailer Brand Page</x:v>
      </x:c>
      <x:c r="H648" s="56"/>
      <x:c r="I648" s="56" t="str">
        <x:v>2026-08-01</x:v>
      </x:c>
      <x:c r="J648" s="56" t="str">
        <x:v>Verified Retail Presence</x:v>
      </x:c>
      <x:c r="K648" s="56" t="str">
        <x:v>High</x:v>
      </x:c>
      <x:c r="L648" s="56" t="str">
        <x:v>Yes</x:v>
      </x:c>
      <x:c r="M648" s="56"/>
      <x:c r="N648" s="56" t="str">
        <x:v>Assortment, price and reviews are dynamic.</x:v>
      </x:c>
      <x:c r="O648" s="56" t="str">
        <x:v>Codex</x:v>
      </x:c>
    </x:row>
    <x:row r="649" ht="106" customHeight="1">
      <x:c r="A649" s="56" t="str">
        <x:v>SRC-MIX-026</x:v>
      </x:c>
      <x:c r="B649" s="56" t="str">
        <x:v>KB013</x:v>
      </x:c>
      <x:c r="C649" s="56" t="str">
        <x:v>Walmart presence</x:v>
      </x:c>
      <x:c r="D649" s="56" t="str">
        <x:v>Official retailer list includes Walmart; a Bean Essence offer sold/shipped by Walmart displayed $37 and 4.3/32, alongside mixed-seller brand listings.</x:v>
      </x:c>
      <x:c r="E649" s="56" t="str">
        <x:v>Walmart</x:v>
      </x:c>
      <x:c r="F649" s="56" t="str">
        <x:v>https://www.walmart.com/search?q=mixsoon</x:v>
      </x:c>
      <x:c r="G649" s="56" t="str">
        <x:v>National Retailer / Marketplace</x:v>
      </x:c>
      <x:c r="H649" s="56"/>
      <x:c r="I649" s="56" t="str">
        <x:v>2026-08-01</x:v>
      </x:c>
      <x:c r="J649" s="56" t="str">
        <x:v>Verified Retail / Seller Risk</x:v>
      </x:c>
      <x:c r="K649" s="56" t="str">
        <x:v>Medium-High</x:v>
      </x:c>
      <x:c r="L649" s="56" t="str">
        <x:v>Yes</x:v>
      </x:c>
      <x:c r="M649" s="56"/>
      <x:c r="N649" s="56" t="str">
        <x:v>Check seller and fulfillment on every SKU.</x:v>
      </x:c>
      <x:c r="O649" s="56" t="str">
        <x:v>Codex</x:v>
      </x:c>
    </x:row>
    <x:row r="650" ht="106" customHeight="1">
      <x:c r="A650" s="56" t="str">
        <x:v>SRC-MIX-027</x:v>
      </x:c>
      <x:c r="B650" s="56" t="str">
        <x:v>KB013</x:v>
      </x:c>
      <x:c r="C650" s="56" t="str">
        <x:v>Costco club presence</x:v>
      </x:c>
      <x:c r="D650" s="56" t="str">
        <x:v>Costco lists a Bean Essence 2 × 2.02 fl oz pack; current item/same-day pages showed unavailable inventory and a $16.99 same-day display.</x:v>
      </x:c>
      <x:c r="E650" s="56" t="str">
        <x:v>Costco</x:v>
      </x:c>
      <x:c r="F650" s="56" t="str">
        <x:v>https://www.costco.com/p/-/mixsoon-bean-essence-202-fl-oz-2-pack/4000430422</x:v>
      </x:c>
      <x:c r="G650" s="56" t="str">
        <x:v>National Club Retailer</x:v>
      </x:c>
      <x:c r="H650" s="56"/>
      <x:c r="I650" s="56" t="str">
        <x:v>2026-08-01</x:v>
      </x:c>
      <x:c r="J650" s="56" t="str">
        <x:v>Verified Retail Presence</x:v>
      </x:c>
      <x:c r="K650" s="56" t="str">
        <x:v>High</x:v>
      </x:c>
      <x:c r="L650" s="56" t="str">
        <x:v>Yes</x:v>
      </x:c>
      <x:c r="M650" s="56"/>
      <x:c r="N650" s="56" t="str">
        <x:v>Price and inventory vary by member/location.</x:v>
      </x:c>
      <x:c r="O650" s="56" t="str">
        <x:v>Codex</x:v>
      </x:c>
    </x:row>
    <x:row r="651" ht="106" customHeight="1">
      <x:c r="A651" s="56" t="str">
        <x:v>SRC-MIX-028</x:v>
      </x:c>
      <x:c r="B651" s="56" t="str">
        <x:v>KB013</x:v>
      </x:c>
      <x:c r="C651" s="56" t="str">
        <x:v>TJX off-price presence</x:v>
      </x:c>
      <x:c r="D651" s="56" t="str">
        <x:v>Mixsoon's official retailer page lists TJX in the USA.</x:v>
      </x:c>
      <x:c r="E651" s="56" t="str">
        <x:v>Mixsoon U.S. / TJX</x:v>
      </x:c>
      <x:c r="F651" s="56" t="str">
        <x:v>https://mixsoon.us/pages/official-retailers</x:v>
      </x:c>
      <x:c r="G651" s="56" t="str">
        <x:v>Official Retailer List</x:v>
      </x:c>
      <x:c r="H651" s="56"/>
      <x:c r="I651" s="56" t="str">
        <x:v>2026-08-01</x:v>
      </x:c>
      <x:c r="J651" s="56" t="str">
        <x:v>Verified Off-Price Presence</x:v>
      </x:c>
      <x:c r="K651" s="56" t="str">
        <x:v>High</x:v>
      </x:c>
      <x:c r="L651" s="56" t="str">
        <x:v>Yes</x:v>
      </x:c>
      <x:c r="M651" s="56"/>
      <x:c r="N651" s="56" t="str">
        <x:v>Current SKU/store inventory not publicly verified.</x:v>
      </x:c>
      <x:c r="O651" s="56" t="str">
        <x:v>Codex</x:v>
      </x:c>
    </x:row>
    <x:row r="652" ht="106" customHeight="1">
      <x:c r="A652" s="56" t="str">
        <x:v>SRC-MIX-029</x:v>
      </x:c>
      <x:c r="B652" s="56" t="str">
        <x:v>KB013</x:v>
      </x:c>
      <x:c r="C652" s="56" t="str">
        <x:v>YesStyle presence</x:v>
      </x:c>
      <x:c r="D652" s="56" t="str">
        <x:v>Official retailer map lists YesStyle worldwide and the retailer carries Mixsoon.</x:v>
      </x:c>
      <x:c r="E652" s="56" t="str">
        <x:v>YesStyle</x:v>
      </x:c>
      <x:c r="F652" s="56" t="str">
        <x:v>https://www.yesstyle.com/en/mixsoon/list.html/bpt.299_bid.324470</x:v>
      </x:c>
      <x:c r="G652" s="56" t="str">
        <x:v>Authorized Cross-Border Retailer</x:v>
      </x:c>
      <x:c r="H652" s="56"/>
      <x:c r="I652" s="56" t="str">
        <x:v>2026-08-01</x:v>
      </x:c>
      <x:c r="J652" s="56" t="str">
        <x:v>Verified Cross-Border Presence</x:v>
      </x:c>
      <x:c r="K652" s="56" t="str">
        <x:v>Medium-High</x:v>
      </x:c>
      <x:c r="L652" s="56" t="str">
        <x:v>Yes</x:v>
      </x:c>
      <x:c r="M652" s="56"/>
      <x:c r="N652" s="56" t="str">
        <x:v>Price/version and U.S. leakage require controls.</x:v>
      </x:c>
      <x:c r="O652" s="56" t="str">
        <x:v>Codex</x:v>
      </x:c>
    </x:row>
    <x:row r="653" ht="106" customHeight="1">
      <x:c r="A653" s="56" t="str">
        <x:v>SRC-MIX-030</x:v>
      </x:c>
      <x:c r="B653" s="56" t="str">
        <x:v>KB013</x:v>
      </x:c>
      <x:c r="C653" s="56" t="str">
        <x:v>Stylevana presence</x:v>
      </x:c>
      <x:c r="D653" s="56" t="str">
        <x:v>Official retailer map lists Stylevana worldwide and the retailer carries Mixsoon.</x:v>
      </x:c>
      <x:c r="E653" s="56" t="str">
        <x:v>Stylevana</x:v>
      </x:c>
      <x:c r="F653" s="56" t="str">
        <x:v>https://www.stylevana.com/en_US/brands/mixsoon.html</x:v>
      </x:c>
      <x:c r="G653" s="56" t="str">
        <x:v>Authorized Cross-Border Retailer</x:v>
      </x:c>
      <x:c r="H653" s="56"/>
      <x:c r="I653" s="56" t="str">
        <x:v>2026-08-01</x:v>
      </x:c>
      <x:c r="J653" s="56" t="str">
        <x:v>Verified Cross-Border Presence</x:v>
      </x:c>
      <x:c r="K653" s="56" t="str">
        <x:v>Medium-High</x:v>
      </x:c>
      <x:c r="L653" s="56" t="str">
        <x:v>Yes</x:v>
      </x:c>
      <x:c r="M653" s="56"/>
      <x:c r="N653" s="56" t="str">
        <x:v>Price/version and U.S. leakage require controls.</x:v>
      </x:c>
      <x:c r="O653" s="56" t="str">
        <x:v>Codex</x:v>
      </x:c>
    </x:row>
    <x:row r="654" ht="106" customHeight="1">
      <x:c r="A654" s="56" t="str">
        <x:v>SRC-MIX-031</x:v>
      </x:c>
      <x:c r="B654" s="56" t="str">
        <x:v>KB013</x:v>
      </x:c>
      <x:c r="C654" s="56" t="str">
        <x:v>StyleKorean presence</x:v>
      </x:c>
      <x:c r="D654" s="56" t="str">
        <x:v>Official retailer map lists StyleKorean worldwide and the retailer carries Mixsoon.</x:v>
      </x:c>
      <x:c r="E654" s="56" t="str">
        <x:v>StyleKorean</x:v>
      </x:c>
      <x:c r="F654" s="56" t="str">
        <x:v>https://www.stylekorean.com/brands/1107/mixsoon</x:v>
      </x:c>
      <x:c r="G654" s="56" t="str">
        <x:v>Authorized Cross-Border Retailer</x:v>
      </x:c>
      <x:c r="H654" s="56"/>
      <x:c r="I654" s="56" t="str">
        <x:v>2026-08-01</x:v>
      </x:c>
      <x:c r="J654" s="56" t="str">
        <x:v>Verified Cross-Border Presence</x:v>
      </x:c>
      <x:c r="K654" s="56" t="str">
        <x:v>Medium-High</x:v>
      </x:c>
      <x:c r="L654" s="56" t="str">
        <x:v>Yes</x:v>
      </x:c>
      <x:c r="M654" s="56"/>
      <x:c r="N654" s="56" t="str">
        <x:v>Price/version and U.S. leakage require controls.</x:v>
      </x:c>
      <x:c r="O654" s="56" t="str">
        <x:v>Codex</x:v>
      </x:c>
    </x:row>
    <x:row r="655" ht="106" customHeight="1">
      <x:c r="A655" s="56" t="str">
        <x:v>SRC-MIX-032</x:v>
      </x:c>
      <x:c r="B655" s="56" t="str">
        <x:v>KB013</x:v>
      </x:c>
      <x:c r="C655" s="56" t="str">
        <x:v>Jolse presence</x:v>
      </x:c>
      <x:c r="D655" s="56" t="str">
        <x:v>Official retailer map lists Jolse worldwide and the retailer carries Mixsoon.</x:v>
      </x:c>
      <x:c r="E655" s="56" t="str">
        <x:v>Jolse</x:v>
      </x:c>
      <x:c r="F655" s="56" t="str">
        <x:v>https://jolse.com/category/mixsoon/1830/</x:v>
      </x:c>
      <x:c r="G655" s="56" t="str">
        <x:v>Authorized Cross-Border Retailer</x:v>
      </x:c>
      <x:c r="H655" s="56"/>
      <x:c r="I655" s="56" t="str">
        <x:v>2026-08-01</x:v>
      </x:c>
      <x:c r="J655" s="56" t="str">
        <x:v>Verified Cross-Border Presence</x:v>
      </x:c>
      <x:c r="K655" s="56" t="str">
        <x:v>Medium</x:v>
      </x:c>
      <x:c r="L655" s="56" t="str">
        <x:v>Yes</x:v>
      </x:c>
      <x:c r="M655" s="56"/>
      <x:c r="N655" s="56" t="str">
        <x:v>Price/version and U.S. leakage require controls.</x:v>
      </x:c>
      <x:c r="O655" s="56" t="str">
        <x:v>Codex</x:v>
      </x:c>
    </x:row>
    <x:row r="656" ht="106" customHeight="1">
      <x:c r="A656" s="56" t="str">
        <x:v>SRC-MIX-033</x:v>
      </x:c>
      <x:c r="B656" s="56" t="str">
        <x:v>KB013</x:v>
      </x:c>
      <x:c r="C656" s="56" t="str">
        <x:v>Coreelle presence</x:v>
      </x:c>
      <x:c r="D656" s="56" t="str">
        <x:v>Official retailer map lists Coreelle worldwide and the retailer carries Mixsoon.</x:v>
      </x:c>
      <x:c r="E656" s="56" t="str">
        <x:v>Coreelle</x:v>
      </x:c>
      <x:c r="F656" s="56" t="str">
        <x:v>https://coreelle.com/collections/mixsoon</x:v>
      </x:c>
      <x:c r="G656" s="56" t="str">
        <x:v>Authorized Cross-Border Retailer</x:v>
      </x:c>
      <x:c r="H656" s="56"/>
      <x:c r="I656" s="56" t="str">
        <x:v>2026-08-01</x:v>
      </x:c>
      <x:c r="J656" s="56" t="str">
        <x:v>Verified Cross-Border Presence</x:v>
      </x:c>
      <x:c r="K656" s="56" t="str">
        <x:v>Medium</x:v>
      </x:c>
      <x:c r="L656" s="56" t="str">
        <x:v>Yes</x:v>
      </x:c>
      <x:c r="M656" s="56"/>
      <x:c r="N656" s="56" t="str">
        <x:v>Price/version and U.S. leakage require controls.</x:v>
      </x:c>
      <x:c r="O656" s="56" t="str">
        <x:v>Codex</x:v>
      </x:c>
    </x:row>
    <x:row r="657" ht="106" customHeight="1">
      <x:c r="A657" s="56" t="str">
        <x:v>SRC-MIX-034</x:v>
      </x:c>
      <x:c r="B657" s="56" t="str">
        <x:v>KB013</x:v>
      </x:c>
      <x:c r="C657" s="56" t="str">
        <x:v>Editorial awareness</x:v>
      </x:c>
      <x:c r="D657" s="56" t="str">
        <x:v>Daily Beast published a 2025 review describing Bean Essence as a viral/cult hero.</x:v>
      </x:c>
      <x:c r="E657" s="56" t="str">
        <x:v>Daily Beast</x:v>
      </x:c>
      <x:c r="F657" s="56" t="str">
        <x:v>https://www.thedailybeast.com/mixsoon-bean-essence-review/</x:v>
      </x:c>
      <x:c r="G657" s="56" t="str">
        <x:v>Affiliate Editorial</x:v>
      </x:c>
      <x:c r="H657" s="56" t="str">
        <x:v>2025-07-10</x:v>
      </x:c>
      <x:c r="I657" s="56" t="str">
        <x:v>2026-08-01</x:v>
      </x:c>
      <x:c r="J657" s="56" t="str">
        <x:v>Editorial Awareness Signal</x:v>
      </x:c>
      <x:c r="K657" s="56" t="str">
        <x:v>Medium</x:v>
      </x:c>
      <x:c r="L657" s="56" t="str">
        <x:v>Yes</x:v>
      </x:c>
      <x:c r="M657" s="56"/>
      <x:c r="N657" s="56" t="str">
        <x:v>Affiliate context; not audited sales evidence.</x:v>
      </x:c>
      <x:c r="O657" s="56" t="str">
        <x:v>Codex</x:v>
      </x:c>
    </x:row>
    <x:row r="658" ht="106" customHeight="1">
      <x:c r="A658" s="56" t="str">
        <x:v>SRC-MIX-035</x:v>
      </x:c>
      <x:c r="B658" s="56" t="str">
        <x:v>KB013</x:v>
      </x:c>
      <x:c r="C658" s="56" t="str">
        <x:v>Reddit — Mixsoon essences</x:v>
      </x:c>
      <x:c r="D658" s="56" t="str">
        <x:v>Community discussion includes hydration/glow positives and no-effect/value skepticism.</x:v>
      </x:c>
      <x:c r="E658" s="56" t="str">
        <x:v>Reddit r/AsianBeauty</x:v>
      </x:c>
      <x:c r="F658" s="56" t="str">
        <x:v>https://www.reddit.com/r/AsianBeauty/comments/151vvoq/thoughts_on_mixsoon_essences/</x:v>
      </x:c>
      <x:c r="G658" s="56" t="str">
        <x:v>Consumer Forum</x:v>
      </x:c>
      <x:c r="H658" s="56"/>
      <x:c r="I658" s="56" t="str">
        <x:v>2026-08-01</x:v>
      </x:c>
      <x:c r="J658" s="56" t="str">
        <x:v>Anecdotal Consumer Evidence</x:v>
      </x:c>
      <x:c r="K658" s="56" t="str">
        <x:v>Low-Medium</x:v>
      </x:c>
      <x:c r="L658" s="56" t="str">
        <x:v>Mixed</x:v>
      </x:c>
      <x:c r="M658" s="56"/>
      <x:c r="N658" s="56" t="str">
        <x:v>Self-selected; not U.S.-specific or clinical.</x:v>
      </x:c>
      <x:c r="O658" s="56" t="str">
        <x:v>Codex</x:v>
      </x:c>
    </x:row>
    <x:row r="659" ht="106" customHeight="1">
      <x:c r="A659" s="56" t="str">
        <x:v>SRC-MIX-036</x:v>
      </x:c>
      <x:c r="B659" s="56" t="str">
        <x:v>KB013</x:v>
      </x:c>
      <x:c r="C659" s="56" t="str">
        <x:v>Reddit — Bean Essence irritation</x:v>
      </x:c>
      <x:c r="D659" s="56" t="str">
        <x:v>Thread reports burning/sensitization for one user with mixed community experiences.</x:v>
      </x:c>
      <x:c r="E659" s="56" t="str">
        <x:v>Reddit r/AsianBeauty</x:v>
      </x:c>
      <x:c r="F659" s="56" t="str">
        <x:v>https://www.reddit.com/r/AsianBeauty/comments/1dbamni/mixsoon_bean_essence_my_experience/</x:v>
      </x:c>
      <x:c r="G659" s="56" t="str">
        <x:v>Consumer Forum</x:v>
      </x:c>
      <x:c r="H659" s="56"/>
      <x:c r="I659" s="56" t="str">
        <x:v>2026-08-01</x:v>
      </x:c>
      <x:c r="J659" s="56" t="str">
        <x:v>Anecdotal Sensitivity Signal</x:v>
      </x:c>
      <x:c r="K659" s="56" t="str">
        <x:v>Low-Medium</x:v>
      </x:c>
      <x:c r="L659" s="56" t="str">
        <x:v>Mixed</x:v>
      </x:c>
      <x:c r="M659" s="56"/>
      <x:c r="N659" s="56" t="str">
        <x:v>No defect or causality finding.</x:v>
      </x:c>
      <x:c r="O659" s="56" t="str">
        <x:v>Codex</x:v>
      </x:c>
    </x:row>
    <x:row r="660" ht="106" customHeight="1">
      <x:c r="A660" s="56" t="str">
        <x:v>SRC-MIX-037</x:v>
      </x:c>
      <x:c r="B660" s="56" t="str">
        <x:v>KB013</x:v>
      </x:c>
      <x:c r="C660" s="56" t="str">
        <x:v>Reddit — Bean Essence sensory</x:v>
      </x:c>
      <x:c r="D660" s="56" t="str">
        <x:v>Users describe dewy slip positively or heavy/slippery/oily feel negatively.</x:v>
      </x:c>
      <x:c r="E660" s="56" t="str">
        <x:v>Reddit r/AsianBeauty</x:v>
      </x:c>
      <x:c r="F660" s="56" t="str">
        <x:v>https://www.reddit.com/r/AsianBeauty/comments/1eivf7o/</x:v>
      </x:c>
      <x:c r="G660" s="56" t="str">
        <x:v>Consumer Forum</x:v>
      </x:c>
      <x:c r="H660" s="56"/>
      <x:c r="I660" s="56" t="str">
        <x:v>2026-08-01</x:v>
      </x:c>
      <x:c r="J660" s="56" t="str">
        <x:v>Anecdotal Consumer Evidence</x:v>
      </x:c>
      <x:c r="K660" s="56" t="str">
        <x:v>Low</x:v>
      </x:c>
      <x:c r="L660" s="56" t="str">
        <x:v>Mixed</x:v>
      </x:c>
      <x:c r="M660" s="56"/>
      <x:c r="N660" s="56" t="str">
        <x:v>Self-selected sensory reports.</x:v>
      </x:c>
      <x:c r="O660" s="56" t="str">
        <x:v>Codex</x:v>
      </x:c>
    </x:row>
    <x:row r="661" ht="106" customHeight="1">
      <x:c r="A661" s="56" t="str">
        <x:v>SRC-MIX-038</x:v>
      </x:c>
      <x:c r="B661" s="56" t="str">
        <x:v>KB013</x:v>
      </x:c>
      <x:c r="C661" s="56" t="str">
        <x:v>Reddit — marketing authenticity</x:v>
      </x:c>
      <x:c r="D661" s="56" t="str">
        <x:v>Users alleged bot-like or overly coordinated promotion patterns.</x:v>
      </x:c>
      <x:c r="E661" s="56" t="str">
        <x:v>Reddit r/AsianBeauty</x:v>
      </x:c>
      <x:c r="F661" s="56" t="str">
        <x:v>https://www.reddit.com/r/AsianBeauty/comments/1hmsne3/</x:v>
      </x:c>
      <x:c r="G661" s="56" t="str">
        <x:v>Consumer Forum</x:v>
      </x:c>
      <x:c r="H661" s="56"/>
      <x:c r="I661" s="56" t="str">
        <x:v>2026-08-01</x:v>
      </x:c>
      <x:c r="J661" s="56" t="str">
        <x:v>Anecdotal Reputation Signal</x:v>
      </x:c>
      <x:c r="K661" s="56" t="str">
        <x:v>Low</x:v>
      </x:c>
      <x:c r="L661" s="56" t="str">
        <x:v>Mixed</x:v>
      </x:c>
      <x:c r="M661" s="56"/>
      <x:c r="N661" s="56" t="str">
        <x:v>Allegation is not proven.</x:v>
      </x:c>
      <x:c r="O661" s="56" t="str">
        <x:v>Codex</x:v>
      </x:c>
    </x:row>
    <x:row r="662" ht="106" customHeight="1">
      <x:c r="A662" s="56" t="str">
        <x:v>SRC-MIX-039</x:v>
      </x:c>
      <x:c r="B662" s="56" t="str">
        <x:v>KB013</x:v>
      </x:c>
      <x:c r="C662" s="56" t="str">
        <x:v>Reddit — Glacier Serum tolerance</x:v>
      </x:c>
      <x:c r="D662" s="56" t="str">
        <x:v>Users report plumping/value alongside itching or breakouts.</x:v>
      </x:c>
      <x:c r="E662" s="56" t="str">
        <x:v>Reddit r/SkincareAddiction</x:v>
      </x:c>
      <x:c r="F662" s="56" t="str">
        <x:v>https://www.reddit.com/r/SkincareAddiction/comments/1dj35z3/product_question_mixsoon_glacier_water/</x:v>
      </x:c>
      <x:c r="G662" s="56" t="str">
        <x:v>Consumer Forum</x:v>
      </x:c>
      <x:c r="H662" s="56"/>
      <x:c r="I662" s="56" t="str">
        <x:v>2026-08-01</x:v>
      </x:c>
      <x:c r="J662" s="56" t="str">
        <x:v>Anecdotal Sensitivity Signal</x:v>
      </x:c>
      <x:c r="K662" s="56" t="str">
        <x:v>Low-Medium</x:v>
      </x:c>
      <x:c r="L662" s="56" t="str">
        <x:v>Mixed</x:v>
      </x:c>
      <x:c r="M662" s="56"/>
      <x:c r="N662" s="56" t="str">
        <x:v>No clinical causality.</x:v>
      </x:c>
      <x:c r="O662" s="56" t="str">
        <x:v>Codex</x:v>
      </x:c>
    </x:row>
    <x:row r="663" ht="106" customHeight="1">
      <x:c r="A663" s="56" t="str">
        <x:v>SRC-MIX-040</x:v>
      </x:c>
      <x:c r="B663" s="56" t="str">
        <x:v>KB013</x:v>
      </x:c>
      <x:c r="C663" s="56" t="str">
        <x:v>Reddit — Glacier Serum value</x:v>
      </x:c>
      <x:c r="D663" s="56" t="str">
        <x:v>Users discuss 300 mL value and hydration, while some report little effect.</x:v>
      </x:c>
      <x:c r="E663" s="56" t="str">
        <x:v>Reddit r/koreanskincare</x:v>
      </x:c>
      <x:c r="F663" s="56" t="str">
        <x:v>https://www.reddit.com/r/koreanskincare/comments/1kwqbwa/</x:v>
      </x:c>
      <x:c r="G663" s="56" t="str">
        <x:v>Consumer Forum</x:v>
      </x:c>
      <x:c r="H663" s="56"/>
      <x:c r="I663" s="56" t="str">
        <x:v>2026-08-01</x:v>
      </x:c>
      <x:c r="J663" s="56" t="str">
        <x:v>Anecdotal Consumer Evidence</x:v>
      </x:c>
      <x:c r="K663" s="56" t="str">
        <x:v>Low-Medium</x:v>
      </x:c>
      <x:c r="L663" s="56" t="str">
        <x:v>Mixed</x:v>
      </x:c>
      <x:c r="M663" s="56"/>
      <x:c r="N663" s="56" t="str">
        <x:v>Self-selected discussion.</x:v>
      </x:c>
      <x:c r="O663" s="56" t="str">
        <x:v>Codex</x:v>
      </x:c>
    </x:row>
    <x:row r="664" ht="106" customHeight="1">
      <x:c r="A664" s="56" t="str">
        <x:v>SRC-MIX-041</x:v>
      </x:c>
      <x:c r="B664" s="56" t="str">
        <x:v>KB013</x:v>
      </x:c>
      <x:c r="C664" s="56" t="str">
        <x:v>Reddit — particulate concern</x:v>
      </x:c>
      <x:c r="D664" s="56" t="str">
        <x:v>An isolated thread shows black material in Bean Essence and speculative mold comments.</x:v>
      </x:c>
      <x:c r="E664" s="56" t="str">
        <x:v>Reddit r/AsianBeauty</x:v>
      </x:c>
      <x:c r="F664" s="56" t="str">
        <x:v>https://www.reddit.com/r/AsianBeauty/comments/1r94pzy/what_is_in_my_mixsoon_bean_essence/</x:v>
      </x:c>
      <x:c r="G664" s="56" t="str">
        <x:v>Consumer Forum</x:v>
      </x:c>
      <x:c r="H664" s="56"/>
      <x:c r="I664" s="56" t="str">
        <x:v>2026-08-01</x:v>
      </x:c>
      <x:c r="J664" s="56" t="str">
        <x:v>Anecdotal Quality Signal</x:v>
      </x:c>
      <x:c r="K664" s="56" t="str">
        <x:v>Low</x:v>
      </x:c>
      <x:c r="L664" s="56" t="str">
        <x:v>Mixed</x:v>
      </x:c>
      <x:c r="M664" s="56"/>
      <x:c r="N664" s="56" t="str">
        <x:v>Not confirmed; prompts microbial, preservative and complaint-process diligence.</x:v>
      </x:c>
      <x:c r="O664" s="56" t="str">
        <x:v>Codex</x:v>
      </x:c>
    </x:row>
    <x:row r="665" ht="106" customHeight="1">
      <x:c r="A665" s="56" t="str">
        <x:v>SRC-MIX-042</x:v>
      </x:c>
      <x:c r="B665" s="56" t="str">
        <x:v>KB013</x:v>
      </x:c>
      <x:c r="C665" s="56" t="str">
        <x:v>Reddit — Costco/version difference</x:v>
      </x:c>
      <x:c r="D665" s="56" t="str">
        <x:v>Consumer reported texture/package differences between Costco and another bottle with breakout concern.</x:v>
      </x:c>
      <x:c r="E665" s="56" t="str">
        <x:v>Reddit r/SkincareAddiction</x:v>
      </x:c>
      <x:c r="F665" s="56" t="str">
        <x:v>https://www.reddit.com/r/SkincareAddiction/comments/1rjzutq/</x:v>
      </x:c>
      <x:c r="G665" s="56" t="str">
        <x:v>Consumer Forum</x:v>
      </x:c>
      <x:c r="H665" s="56"/>
      <x:c r="I665" s="56" t="str">
        <x:v>2026-08-01</x:v>
      </x:c>
      <x:c r="J665" s="56" t="str">
        <x:v>Anecdotal Version Risk</x:v>
      </x:c>
      <x:c r="K665" s="56" t="str">
        <x:v>Low</x:v>
      </x:c>
      <x:c r="L665" s="56" t="str">
        <x:v>Mixed</x:v>
      </x:c>
      <x:c r="M665" s="56"/>
      <x:c r="N665" s="56" t="str">
        <x:v>Not proof of counterfeit; map formula, UPC and lot.</x:v>
      </x:c>
      <x:c r="O665" s="56" t="str">
        <x:v>Codex</x:v>
      </x:c>
    </x:row>
    <x:row r="666" ht="106" customHeight="1">
      <x:c r="A666" s="56" t="str">
        <x:v>SRC-MIX-043</x:v>
      </x:c>
      <x:c r="B666" s="56" t="str">
        <x:v>KB013</x:v>
      </x:c>
      <x:c r="C666" s="56" t="str">
        <x:v>Reddit — Costco clearance</x:v>
      </x:c>
      <x:c r="D666" s="56" t="str">
        <x:v>User reported a localized Bay Area $4.97 two-pack clearance in July 2026.</x:v>
      </x:c>
      <x:c r="E666" s="56" t="str">
        <x:v>Reddit r/koreanskincare</x:v>
      </x:c>
      <x:c r="F666" s="56" t="str">
        <x:v>https://www.reddit.com/r/koreanskincare/comments/1v7q99l/</x:v>
      </x:c>
      <x:c r="G666" s="56" t="str">
        <x:v>Consumer Forum</x:v>
      </x:c>
      <x:c r="H666" s="56"/>
      <x:c r="I666" s="56" t="str">
        <x:v>2026-08-01</x:v>
      </x:c>
      <x:c r="J666" s="56" t="str">
        <x:v>Anecdotal Price Conflict Signal</x:v>
      </x:c>
      <x:c r="K666" s="56" t="str">
        <x:v>Low-Medium</x:v>
      </x:c>
      <x:c r="L666" s="56" t="str">
        <x:v>Mixed</x:v>
      </x:c>
      <x:c r="M666" s="56"/>
      <x:c r="N666" s="56" t="str">
        <x:v>Localized, not a national advertised price.</x:v>
      </x:c>
      <x:c r="O666" s="56" t="str">
        <x:v>Codex</x:v>
      </x:c>
    </x:row>
    <x:row r="667" ht="106" customHeight="1">
      <x:c r="A667" s="56" t="str">
        <x:v>SRC-MIX-044</x:v>
      </x:c>
      <x:c r="B667" s="56" t="str">
        <x:v>KB013</x:v>
      </x:c>
      <x:c r="C667" s="56" t="str">
        <x:v>Reddit — authenticity/package</x:v>
      </x:c>
      <x:c r="D667" s="56" t="str">
        <x:v>Consumers compare packaging and seller information to assess authenticity.</x:v>
      </x:c>
      <x:c r="E667" s="56" t="str">
        <x:v>Reddit r/SkincareAddiction</x:v>
      </x:c>
      <x:c r="F667" s="56" t="str">
        <x:v>https://www.reddit.com/r/SkincareAddiction/comments/1fxqyik/</x:v>
      </x:c>
      <x:c r="G667" s="56" t="str">
        <x:v>Consumer Forum</x:v>
      </x:c>
      <x:c r="H667" s="56"/>
      <x:c r="I667" s="56" t="str">
        <x:v>2026-08-01</x:v>
      </x:c>
      <x:c r="J667" s="56" t="str">
        <x:v>Anecdotal Gray-Market Signal</x:v>
      </x:c>
      <x:c r="K667" s="56" t="str">
        <x:v>Low-Medium</x:v>
      </x:c>
      <x:c r="L667" s="56" t="str">
        <x:v>Mixed</x:v>
      </x:c>
      <x:c r="M667" s="56"/>
      <x:c r="N667" s="56" t="str">
        <x:v>Packaging difference alone does not prove counterfeit.</x:v>
      </x:c>
      <x:c r="O667" s="56" t="str">
        <x:v>Codex</x:v>
      </x:c>
    </x:row>
    <x:row r="668" ht="106" customHeight="1">
      <x:c r="A668" s="56" t="str">
        <x:v>SRC-MIX-045</x:v>
      </x:c>
      <x:c r="B668" s="56" t="str">
        <x:v>KB013</x:v>
      </x:c>
      <x:c r="C668" s="56" t="str">
        <x:v>FDA — MoCRA registration and listing</x:v>
      </x:c>
      <x:c r="D668" s="56" t="str">
        <x:v>FDA requires cosmetic facility registration and product listing subject to exemptions and update schedules.</x:v>
      </x:c>
      <x:c r="E668" s="56" t="str">
        <x:v>U.S. FDA</x:v>
      </x:c>
      <x:c r="F668" s="56" t="str">
        <x:v>https://www.fda.gov/cosmetics/registration-listing-cosmetic-product-facilities-and-products</x:v>
      </x:c>
      <x:c r="G668" s="56" t="str">
        <x:v>Regulator</x:v>
      </x:c>
      <x:c r="H668" s="56"/>
      <x:c r="I668" s="56" t="str">
        <x:v>2026-08-01</x:v>
      </x:c>
      <x:c r="J668" s="56" t="str">
        <x:v>Verified Regulatory Requirement</x:v>
      </x:c>
      <x:c r="K668" s="56" t="str">
        <x:v>High</x:v>
      </x:c>
      <x:c r="L668" s="56" t="str">
        <x:v>Yes</x:v>
      </x:c>
      <x:c r="M668" s="56"/>
      <x:c r="N668" s="56" t="str">
        <x:v>Registration/listing is not FDA approval; verify exact facilities and responsible person.</x:v>
      </x:c>
      <x:c r="O668" s="56" t="str">
        <x:v>Codex</x:v>
      </x:c>
    </x:row>
    <x:row r="669" ht="106" customHeight="1">
      <x:c r="A669" s="56" t="str">
        <x:v>SRC-MIX-046</x:v>
      </x:c>
      <x:c r="B669" s="56" t="str">
        <x:v>KB013</x:v>
      </x:c>
      <x:c r="C669" s="56" t="str">
        <x:v>FDA — cosmetic claims</x:v>
      </x:c>
      <x:c r="D669" s="56" t="str">
        <x:v>Cosmetic claims must be truthful and not misleading; disease or structure/function claims can make a product a drug.</x:v>
      </x:c>
      <x:c r="E669" s="56" t="str">
        <x:v>U.S. FDA</x:v>
      </x:c>
      <x:c r="F669" s="56" t="str">
        <x:v>https://www.fda.gov/cosmetics/cosmetics-labeling/cosmetics-labeling-claims</x:v>
      </x:c>
      <x:c r="G669" s="56" t="str">
        <x:v>Regulator</x:v>
      </x:c>
      <x:c r="H669" s="56"/>
      <x:c r="I669" s="56" t="str">
        <x:v>2026-08-01</x:v>
      </x:c>
      <x:c r="J669" s="56" t="str">
        <x:v>Verified Regulatory Requirement</x:v>
      </x:c>
      <x:c r="K669" s="56" t="str">
        <x:v>High</x:v>
      </x:c>
      <x:c r="L669" s="56" t="str">
        <x:v>Yes</x:v>
      </x:c>
      <x:c r="M669" s="56"/>
      <x:c r="N669" s="56" t="str">
        <x:v>Review penetration, repair, regeneration, elasticity, wrinkle, acne, pore and PDRN claims.</x:v>
      </x:c>
      <x:c r="O669" s="56" t="str">
        <x:v>Codex</x:v>
      </x:c>
    </x:row>
    <x:row r="670" ht="106" customHeight="1">
      <x:c r="A670" s="56" t="str">
        <x:v>SRC-MIX-047</x:v>
      </x:c>
      <x:c r="B670" s="56" t="str">
        <x:v>KB013</x:v>
      </x:c>
      <x:c r="C670" s="56" t="str">
        <x:v>FDA — importing cosmetics</x:v>
      </x:c>
      <x:c r="D670" s="56" t="str">
        <x:v>Imported cosmetics must comply with the same U.S. requirements, with accurate entry/classification and labeling.</x:v>
      </x:c>
      <x:c r="E670" s="56" t="str">
        <x:v>U.S. FDA</x:v>
      </x:c>
      <x:c r="F670" s="56" t="str">
        <x:v>https://www.fda.gov/industry/importing-fda-regulated-products/importing-cosmetics</x:v>
      </x:c>
      <x:c r="G670" s="56" t="str">
        <x:v>Regulator</x:v>
      </x:c>
      <x:c r="H670" s="56"/>
      <x:c r="I670" s="56" t="str">
        <x:v>2026-08-01</x:v>
      </x:c>
      <x:c r="J670" s="56" t="str">
        <x:v>Verified Import Requirement</x:v>
      </x:c>
      <x:c r="K670" s="56" t="str">
        <x:v>High</x:v>
      </x:c>
      <x:c r="L670" s="56" t="str">
        <x:v>Yes</x:v>
      </x:c>
      <x:c r="M670" s="56"/>
      <x:c r="N670" s="56" t="str">
        <x:v>Confirm importer, labels, formulas, claims and product codes.</x:v>
      </x:c>
      <x:c r="O670" s="56" t="str">
        <x:v>Codex</x:v>
      </x:c>
    </x:row>
    <x:row r="671" ht="106" customHeight="1">
      <x:c r="A671" s="56" t="str">
        <x:v>SRC-MIX-048</x:v>
      </x:c>
      <x:c r="B671" s="56" t="str">
        <x:v>KB013</x:v>
      </x:c>
      <x:c r="C671" s="56" t="str">
        <x:v>Competitor — COSRX essence</x:v>
      </x:c>
      <x:c r="D671" s="56" t="str">
        <x:v>Ulta lists Advanced Snail 96 Mucin Power Essence 100 mL at $20.90 with 4.7/4,064.</x:v>
      </x:c>
      <x:c r="E671" s="56" t="str">
        <x:v>Ulta / COSRX</x:v>
      </x:c>
      <x:c r="F671" s="56" t="str">
        <x:v>https://www.ulta.com/p/advanced-snail-96-mucin-power-essence-xlsImpprod15641052?sku=2504912</x:v>
      </x:c>
      <x:c r="G671" s="56" t="str">
        <x:v>Authorized Competitor Retailer</x:v>
      </x:c>
      <x:c r="H671" s="56"/>
      <x:c r="I671" s="56" t="str">
        <x:v>2026-08-01</x:v>
      </x:c>
      <x:c r="J671" s="56" t="str">
        <x:v>Verified Competitor Fact</x:v>
      </x:c>
      <x:c r="K671" s="56" t="str">
        <x:v>High</x:v>
      </x:c>
      <x:c r="L671" s="56" t="str">
        <x:v>Yes</x:v>
      </x:c>
      <x:c r="M671" s="56"/>
      <x:c r="N671" s="56" t="str">
        <x:v>Price/reviews change.</x:v>
      </x:c>
      <x:c r="O671" s="56" t="str">
        <x:v>Codex</x:v>
      </x:c>
    </x:row>
    <x:row r="672" ht="106" customHeight="1">
      <x:c r="A672" s="56" t="str">
        <x:v>SRC-MIX-049</x:v>
      </x:c>
      <x:c r="B672" s="56" t="str">
        <x:v>KB013</x:v>
      </x:c>
      <x:c r="C672" s="56" t="str">
        <x:v>Competitor — Beauty of Joseon cream</x:v>
      </x:c>
      <x:c r="D672" s="56" t="str">
        <x:v>Sephora lists Dynasty Cream 50 mL at about $24.</x:v>
      </x:c>
      <x:c r="E672" s="56" t="str">
        <x:v>Sephora / Beauty of Joseon</x:v>
      </x:c>
      <x:c r="F672" s="56" t="str">
        <x:v>https://www.sephora.com/product/dynasty-cream-50ml-P517638</x:v>
      </x:c>
      <x:c r="G672" s="56" t="str">
        <x:v>Authorized Competitor Retailer</x:v>
      </x:c>
      <x:c r="H672" s="56"/>
      <x:c r="I672" s="56" t="str">
        <x:v>2026-08-01</x:v>
      </x:c>
      <x:c r="J672" s="56" t="str">
        <x:v>Verified Competitor Fact</x:v>
      </x:c>
      <x:c r="K672" s="56" t="str">
        <x:v>High</x:v>
      </x:c>
      <x:c r="L672" s="56" t="str">
        <x:v>Yes</x:v>
      </x:c>
      <x:c r="M672" s="56"/>
      <x:c r="N672" s="56" t="str">
        <x:v>Price and availability change.</x:v>
      </x:c>
      <x:c r="O672" s="56" t="str">
        <x:v>Codex</x:v>
      </x:c>
    </x:row>
    <x:row r="673" ht="106" customHeight="1">
      <x:c r="A673" s="56" t="str">
        <x:v>SRC-MIX-050</x:v>
      </x:c>
      <x:c r="B673" s="56" t="str">
        <x:v>KB013</x:v>
      </x:c>
      <x:c r="C673" s="56" t="str">
        <x:v>Competitor — Torriden serum</x:v>
      </x:c>
      <x:c r="D673" s="56" t="str">
        <x:v>Official U.S. page lists DIVE-IN Serum 50 mL at about $24 and displayed 208 reviews.</x:v>
      </x:c>
      <x:c r="E673" s="56" t="str">
        <x:v>Torriden U.S.</x:v>
      </x:c>
      <x:c r="F673" s="56" t="str">
        <x:v>https://torriden.us/products/dive-in-serum</x:v>
      </x:c>
      <x:c r="G673" s="56" t="str">
        <x:v>Official Competitor Product Page</x:v>
      </x:c>
      <x:c r="H673" s="56"/>
      <x:c r="I673" s="56" t="str">
        <x:v>2026-08-01</x:v>
      </x:c>
      <x:c r="J673" s="56" t="str">
        <x:v>Verified Competitor Fact</x:v>
      </x:c>
      <x:c r="K673" s="56" t="str">
        <x:v>High</x:v>
      </x:c>
      <x:c r="L673" s="56" t="str">
        <x:v>Yes</x:v>
      </x:c>
      <x:c r="M673" s="56"/>
      <x:c r="N673" s="56" t="str">
        <x:v>Price and reviews change.</x:v>
      </x:c>
      <x:c r="O673" s="56" t="str">
        <x:v>Codex</x:v>
      </x:c>
    </x:row>
    <x:row r="674" ht="106" customHeight="1">
      <x:c r="A674" s="56" t="str">
        <x:v>SRC-MIX-051</x:v>
      </x:c>
      <x:c r="B674" s="56" t="str">
        <x:v>KB013</x:v>
      </x:c>
      <x:c r="C674" s="56" t="str">
        <x:v>Competitor — ANUA cleansing oil</x:v>
      </x:c>
      <x:c r="D674" s="56" t="str">
        <x:v>Ulta lists Heartleaf Pore Control Cleansing Oil 200 mL at $20 with 3.7/341.</x:v>
      </x:c>
      <x:c r="E674" s="56" t="str">
        <x:v>Ulta / ANUA</x:v>
      </x:c>
      <x:c r="F674" s="56" t="str">
        <x:v>https://www.ulta.com/p/heartleaf-pore-control-cleansing-oil-pimprod2048919</x:v>
      </x:c>
      <x:c r="G674" s="56" t="str">
        <x:v>Authorized Competitor Retailer</x:v>
      </x:c>
      <x:c r="H674" s="56"/>
      <x:c r="I674" s="56" t="str">
        <x:v>2026-08-01</x:v>
      </x:c>
      <x:c r="J674" s="56" t="str">
        <x:v>Verified Competitor Fact</x:v>
      </x:c>
      <x:c r="K674" s="56" t="str">
        <x:v>High</x:v>
      </x:c>
      <x:c r="L674" s="56" t="str">
        <x:v>Yes</x:v>
      </x:c>
      <x:c r="M674" s="56"/>
      <x:c r="N674" s="56" t="str">
        <x:v>Price/reviews change.</x:v>
      </x:c>
      <x:c r="O674" s="56" t="str">
        <x:v>Codex</x:v>
      </x:c>
    </x:row>
    <x:row r="675" ht="106" customHeight="1">
      <x:c r="A675" s="56" t="str">
        <x:v>SRC-MIX-052</x:v>
      </x:c>
      <x:c r="B675" s="56" t="str">
        <x:v>KB013</x:v>
      </x:c>
      <x:c r="C675" s="56" t="str">
        <x:v>Competitor — TIRTIR cushion</x:v>
      </x:c>
      <x:c r="D675" s="56" t="str">
        <x:v>Ulta lists Mask Fit Red Cushion near $25 with 4.3/304 and a broad shade range.</x:v>
      </x:c>
      <x:c r="E675" s="56" t="str">
        <x:v>Ulta / TIRTIR</x:v>
      </x:c>
      <x:c r="F675" s="56" t="str">
        <x:v>https://www.ulta.com/p/mask-fit-red-cushion-pimprod2053403</x:v>
      </x:c>
      <x:c r="G675" s="56" t="str">
        <x:v>Authorized Competitor Retailer</x:v>
      </x:c>
      <x:c r="H675" s="56"/>
      <x:c r="I675" s="56" t="str">
        <x:v>2026-08-01</x:v>
      </x:c>
      <x:c r="J675" s="56" t="str">
        <x:v>Verified Competitor Fact</x:v>
      </x:c>
      <x:c r="K675" s="56" t="str">
        <x:v>High</x:v>
      </x:c>
      <x:c r="L675" s="56" t="str">
        <x:v>Yes</x:v>
      </x:c>
      <x:c r="M675" s="56"/>
      <x:c r="N675" s="56" t="str">
        <x:v>Shade count, price and reviews change.</x:v>
      </x:c>
      <x:c r="O675" s="56" t="str">
        <x:v>Codex</x:v>
      </x:c>
    </x:row>
    <x:row r="676" ht="108" customHeight="1">
      <x:c r="A676" s="56" t="str">
        <x:v>SRC-DAL-001</x:v>
      </x:c>
      <x:c r="B676" s="56" t="str">
        <x:v>KB014</x:v>
      </x:c>
      <x:c r="C676" s="56" t="str">
        <x:v>Controlling Source fields</x:v>
      </x:c>
      <x:c r="D676" s="56" t="str">
        <x:v>Source workbook records dalba.co.kr, Skincare, the 'flight attendant mist' awareness story and strong premium mist/serum Amazon demand requiring verification.</x:v>
      </x:c>
      <x:c r="E676" s="56" t="str">
        <x:v>Top40 K-Beauty Global Rankings</x:v>
      </x:c>
      <x:c r="F676" s="56" t="str">
        <x:v>https://dalba.co.kr</x:v>
      </x:c>
      <x:c r="G676" s="56" t="str">
        <x:v>User-provided controlling source</x:v>
      </x:c>
      <x:c r="H676" s="56"/>
      <x:c r="I676" s="56" t="str">
        <x:v>2026-08-01</x:v>
      </x:c>
      <x:c r="J676" s="56" t="str">
        <x:v>Preserved Source Information</x:v>
      </x:c>
      <x:c r="K676" s="56" t="str">
        <x:v>High</x:v>
      </x:c>
      <x:c r="L676" s="56" t="str">
        <x:v>Yes</x:v>
      </x:c>
      <x:c r="M676" s="56"/>
      <x:c r="N676" s="56" t="str">
        <x:v>Source columns E:H were preserved without change; verified findings are separate.</x:v>
      </x:c>
      <x:c r="O676" s="56" t="str">
        <x:v>Codex</x:v>
      </x:c>
    </x:row>
    <x:row r="677" ht="108" customHeight="1">
      <x:c r="A677" s="56" t="str">
        <x:v>SRC-DAL-002</x:v>
      </x:c>
      <x:c r="B677" s="56" t="str">
        <x:v>KB014</x:v>
      </x:c>
      <x:c r="C677" s="56" t="str">
        <x:v>Core verification — Official Website</x:v>
      </x:c>
      <x:c r="D677" s="56" t="str">
        <x:v>dalba.com is the current official consumer storefront and links brand-owned product, policy, social and contact content.</x:v>
      </x:c>
      <x:c r="E677" s="56" t="str">
        <x:v>d'Alba Official Store</x:v>
      </x:c>
      <x:c r="F677" s="56" t="str">
        <x:v>https://dalba.com</x:v>
      </x:c>
      <x:c r="G677" s="56" t="str">
        <x:v>Official Brand Site</x:v>
      </x:c>
      <x:c r="H677" s="56"/>
      <x:c r="I677" s="56" t="str">
        <x:v>2026-08-01</x:v>
      </x:c>
      <x:c r="J677" s="56" t="str">
        <x:v>Verified Fact</x:v>
      </x:c>
      <x:c r="K677" s="56" t="str">
        <x:v>High</x:v>
      </x:c>
      <x:c r="L677" s="56" t="str">
        <x:v>Yes</x:v>
      </x:c>
      <x:c r="M677" s="56"/>
      <x:c r="N677" s="56" t="str">
        <x:v>Verified website field uses the current consumer site; controlling source URL remains unchanged.</x:v>
      </x:c>
      <x:c r="O677" s="56" t="str">
        <x:v>Codex</x:v>
      </x:c>
    </x:row>
    <x:row r="678" ht="108" customHeight="1">
      <x:c r="A678" s="56" t="str">
        <x:v>SRC-DAL-003</x:v>
      </x:c>
      <x:c r="B678" s="56" t="str">
        <x:v>KB014</x:v>
      </x:c>
      <x:c r="C678" s="56" t="str">
        <x:v>Privacy / site operator</x:v>
      </x:c>
      <x:c r="D678" s="56" t="str">
        <x:v>Privacy policy identifies d'Alba Global Co., Ltd. as the site operator.</x:v>
      </x:c>
      <x:c r="E678" s="56" t="str">
        <x:v>d'Alba Official Store</x:v>
      </x:c>
      <x:c r="F678" s="56" t="str">
        <x:v>https://dalba.com/policies/privacy-policy</x:v>
      </x:c>
      <x:c r="G678" s="56" t="str">
        <x:v>Official Policy</x:v>
      </x:c>
      <x:c r="H678" s="56"/>
      <x:c r="I678" s="56" t="str">
        <x:v>2026-08-01</x:v>
      </x:c>
      <x:c r="J678" s="56" t="str">
        <x:v>Verified Company Fact</x:v>
      </x:c>
      <x:c r="K678" s="56" t="str">
        <x:v>High</x:v>
      </x:c>
      <x:c r="L678" s="56" t="str">
        <x:v>Yes</x:v>
      </x:c>
      <x:c r="M678" s="56"/>
      <x:c r="N678" s="56" t="str">
        <x:v>Confirm exact U.S. merchant/importer/responsible-person roles separately.</x:v>
      </x:c>
      <x:c r="O678" s="56" t="str">
        <x:v>Codex</x:v>
      </x:c>
    </x:row>
    <x:row r="679" ht="108" customHeight="1">
      <x:c r="A679" s="56" t="str">
        <x:v>SRC-DAL-004</x:v>
      </x:c>
      <x:c r="B679" s="56" t="str">
        <x:v>KB014</x:v>
      </x:c>
      <x:c r="C679" s="56" t="str">
        <x:v>Company history and U.S. expansion</x:v>
      </x:c>
      <x:c r="D679" s="56" t="str">
        <x:v>Official history records 2016 founding/brand launch, 2024 U.S. subsidiary, 2025 KOSPI listing and December 2025 U.S. Costco/Ulta sales start.</x:v>
      </x:c>
      <x:c r="E679" s="56" t="str">
        <x:v>d'Alba Global</x:v>
      </x:c>
      <x:c r="F679" s="56" t="str">
        <x:v>https://dalbaglobal.com/main/history.html</x:v>
      </x:c>
      <x:c r="G679" s="56" t="str">
        <x:v>Official Corporate Page</x:v>
      </x:c>
      <x:c r="H679" s="56"/>
      <x:c r="I679" s="56" t="str">
        <x:v>2026-08-01</x:v>
      </x:c>
      <x:c r="J679" s="56" t="str">
        <x:v>Verified Company Fact</x:v>
      </x:c>
      <x:c r="K679" s="56" t="str">
        <x:v>High</x:v>
      </x:c>
      <x:c r="L679" s="56" t="str">
        <x:v>Yes</x:v>
      </x:c>
      <x:c r="M679" s="56"/>
      <x:c r="N679" s="56" t="str">
        <x:v>Current active doors and assortment require account-level confirmation.</x:v>
      </x:c>
      <x:c r="O679" s="56" t="str">
        <x:v>Codex</x:v>
      </x:c>
    </x:row>
    <x:row r="680" ht="108" customHeight="1">
      <x:c r="A680" s="56" t="str">
        <x:v>SRC-DAL-005</x:v>
      </x:c>
      <x:c r="B680" s="56" t="str">
        <x:v>KB014</x:v>
      </x:c>
      <x:c r="C680" s="56" t="str">
        <x:v>Core verification — Primary Category</x:v>
      </x:c>
      <x:c r="D680" s="56" t="str">
        <x:v>Official store catalog is predominantly skincare across spray serum, SPF, serum, creams, toners, cleansers and masks.</x:v>
      </x:c>
      <x:c r="E680" s="56" t="str">
        <x:v>d'Alba Official Store</x:v>
      </x:c>
      <x:c r="F680" s="56" t="str">
        <x:v>https://dalba.com/collections/all-products</x:v>
      </x:c>
      <x:c r="G680" s="56" t="str">
        <x:v>Official Catalog</x:v>
      </x:c>
      <x:c r="H680" s="56"/>
      <x:c r="I680" s="56" t="str">
        <x:v>2026-08-01</x:v>
      </x:c>
      <x:c r="J680" s="56" t="str">
        <x:v>Verified Category Fact</x:v>
      </x:c>
      <x:c r="K680" s="56" t="str">
        <x:v>High</x:v>
      </x:c>
      <x:c r="L680" s="56" t="str">
        <x:v>Yes</x:v>
      </x:c>
      <x:c r="M680" s="56"/>
      <x:c r="N680" s="56" t="str">
        <x:v>Primary category remains Skincare.</x:v>
      </x:c>
      <x:c r="O680" s="56" t="str">
        <x:v>Codex</x:v>
      </x:c>
    </x:row>
    <x:row r="681" ht="108" customHeight="1">
      <x:c r="A681" s="56" t="str">
        <x:v>SRC-DAL-006</x:v>
      </x:c>
      <x:c r="B681" s="56" t="str">
        <x:v>KB014</x:v>
      </x:c>
      <x:c r="C681" s="56" t="str">
        <x:v>Americas business contact</x:v>
      </x:c>
      <x:c r="D681" s="56" t="str">
        <x:v>Official corporate brand page lists biz_america@dalba.com for Americas inquiries.</x:v>
      </x:c>
      <x:c r="E681" s="56" t="str">
        <x:v>d'Alba Global</x:v>
      </x:c>
      <x:c r="F681" s="56" t="str">
        <x:v>https://dalbaglobal.com/whoweare/brands.php</x:v>
      </x:c>
      <x:c r="G681" s="56" t="str">
        <x:v>Official Corporate Page</x:v>
      </x:c>
      <x:c r="H681" s="56"/>
      <x:c r="I681" s="56" t="str">
        <x:v>2026-08-01</x:v>
      </x:c>
      <x:c r="J681" s="56" t="str">
        <x:v>Verified Contact Fact</x:v>
      </x:c>
      <x:c r="K681" s="56" t="str">
        <x:v>High</x:v>
      </x:c>
      <x:c r="L681" s="56" t="str">
        <x:v>Yes</x:v>
      </x:c>
      <x:c r="M681" s="56"/>
      <x:c r="N681" s="56" t="str">
        <x:v>No public wholesale terms or open distribution rights.</x:v>
      </x:c>
      <x:c r="O681" s="56" t="str">
        <x:v>Codex</x:v>
      </x:c>
    </x:row>
    <x:row r="682" ht="108" customHeight="1">
      <x:c r="A682" s="56" t="str">
        <x:v>SRC-DAL-007</x:v>
      </x:c>
      <x:c r="B682" s="56" t="str">
        <x:v>KB014</x:v>
      </x:c>
      <x:c r="C682" s="56" t="str">
        <x:v>Brand identity</x:v>
      </x:c>
      <x:c r="D682" s="56" t="str">
        <x:v>Official corporate page defines d'Alba as a premium vegan skincare brand with white truffle as the core ingredient.</x:v>
      </x:c>
      <x:c r="E682" s="56" t="str">
        <x:v>d'Alba Global</x:v>
      </x:c>
      <x:c r="F682" s="56" t="str">
        <x:v>https://dalbaglobal.com/whoweare/brands.php</x:v>
      </x:c>
      <x:c r="G682" s="56" t="str">
        <x:v>Official Brand Page</x:v>
      </x:c>
      <x:c r="H682" s="56"/>
      <x:c r="I682" s="56" t="str">
        <x:v>2026-08-01</x:v>
      </x:c>
      <x:c r="J682" s="56" t="str">
        <x:v>Verified Brand Positioning</x:v>
      </x:c>
      <x:c r="K682" s="56" t="str">
        <x:v>High</x:v>
      </x:c>
      <x:c r="L682" s="56" t="str">
        <x:v>Yes</x:v>
      </x:c>
      <x:c r="M682" s="56"/>
      <x:c r="N682" s="56" t="str">
        <x:v>Vegan certification and claims remain SKU-specific.</x:v>
      </x:c>
      <x:c r="O682" s="56" t="str">
        <x:v>Codex</x:v>
      </x:c>
    </x:row>
    <x:row r="683" ht="108" customHeight="1">
      <x:c r="A683" s="56" t="str">
        <x:v>SRC-DAL-008</x:v>
      </x:c>
      <x:c r="B683" s="56" t="str">
        <x:v>KB014</x:v>
      </x:c>
      <x:c r="C683" s="56" t="str">
        <x:v>Core verification — Flight Attendant Mist</x:v>
      </x:c>
      <x:c r="D683" s="56" t="str">
        <x:v>Official IR material states First Spray Serum, known as the 'Flight Attendant Mist,' pioneered a new skincare category.</x:v>
      </x:c>
      <x:c r="E683" s="56" t="str">
        <x:v>d'Alba Global IR</x:v>
      </x:c>
      <x:c r="F683" s="56" t="str">
        <x:v>https://www.dalbaglobal.com/_upload_files/20251030144526_ql.pdf</x:v>
      </x:c>
      <x:c r="G683" s="56" t="str">
        <x:v>Official Investor Material</x:v>
      </x:c>
      <x:c r="H683" s="56"/>
      <x:c r="I683" s="56" t="str">
        <x:v>2026-08-01</x:v>
      </x:c>
      <x:c r="J683" s="56" t="str">
        <x:v>Verified Awareness Factor</x:v>
      </x:c>
      <x:c r="K683" s="56" t="str">
        <x:v>High</x:v>
      </x:c>
      <x:c r="L683" s="56" t="str">
        <x:v>Yes</x:v>
      </x:c>
      <x:c r="M683" s="56"/>
      <x:c r="N683" s="56" t="str">
        <x:v>Independent current awareness is supported by U.S. channels and marketplace signals, not the nickname alone.</x:v>
      </x:c>
      <x:c r="O683" s="56" t="str">
        <x:v>Codex</x:v>
      </x:c>
    </x:row>
    <x:row r="684" ht="108" customHeight="1">
      <x:c r="A684" s="56" t="str">
        <x:v>SRC-DAL-009</x:v>
      </x:c>
      <x:c r="B684" s="56" t="str">
        <x:v>KB014</x:v>
      </x:c>
      <x:c r="C684" s="56" t="str">
        <x:v>North America growth and Amazon</x:v>
      </x:c>
      <x:c r="D684" s="56" t="str">
        <x:v>FY2025 IR reported North America sales +155% YoY, Amazon U.S. +116% YoY, Costco 150 stores, Ulta 1,500 stores and a 2026 plan for about 3,000 North American offline stores.</x:v>
      </x:c>
      <x:c r="E684" s="56" t="str">
        <x:v>d'Alba Global IR</x:v>
      </x:c>
      <x:c r="F684" s="56" t="str">
        <x:v>https://www.dalbaglobal.com/_upload_files/20260220122030_Ez.pdf</x:v>
      </x:c>
      <x:c r="G684" s="56" t="str">
        <x:v>Official Investor Material</x:v>
      </x:c>
      <x:c r="H684" s="56"/>
      <x:c r="I684" s="56" t="str">
        <x:v>2026-08-01</x:v>
      </x:c>
      <x:c r="J684" s="56" t="str">
        <x:v>Verified Corporate Disclosure</x:v>
      </x:c>
      <x:c r="K684" s="56" t="str">
        <x:v>High</x:v>
      </x:c>
      <x:c r="L684" s="56" t="str">
        <x:v>Yes</x:v>
      </x:c>
      <x:c r="M684" s="56"/>
      <x:c r="N684" s="56" t="str">
        <x:v>Corporate disclosure; not independently audited U.S. retail sell-through in this research.</x:v>
      </x:c>
      <x:c r="O684" s="56" t="str">
        <x:v>Codex</x:v>
      </x:c>
    </x:row>
    <x:row r="685" ht="108" customHeight="1">
      <x:c r="A685" s="56" t="str">
        <x:v>SRC-DAL-010</x:v>
      </x:c>
      <x:c r="B685" s="56" t="str">
        <x:v>KB014</x:v>
      </x:c>
      <x:c r="C685" s="56" t="str">
        <x:v>Global hero claim</x:v>
      </x:c>
      <x:c r="D685" s="56" t="str">
        <x:v>Official site claims 50 million First Spray Serum bottles sold globally and positions it as a professional makeup-artist glow mist.</x:v>
      </x:c>
      <x:c r="E685" s="56" t="str">
        <x:v>d'Alba Official Store</x:v>
      </x:c>
      <x:c r="F685" s="56" t="str">
        <x:v>https://dalba.com</x:v>
      </x:c>
      <x:c r="G685" s="56" t="str">
        <x:v>Official Brand Claim</x:v>
      </x:c>
      <x:c r="H685" s="56"/>
      <x:c r="I685" s="56" t="str">
        <x:v>2026-08-01</x:v>
      </x:c>
      <x:c r="J685" s="56" t="str">
        <x:v>Brand Claim / Awareness Signal</x:v>
      </x:c>
      <x:c r="K685" s="56" t="str">
        <x:v>Medium-High</x:v>
      </x:c>
      <x:c r="L685" s="56" t="str">
        <x:v>Yes</x:v>
      </x:c>
      <x:c r="M685" s="56"/>
      <x:c r="N685" s="56" t="str">
        <x:v>Treat as a company claim, not independently audited U.S. sales.</x:v>
      </x:c>
      <x:c r="O685" s="56" t="str">
        <x:v>Codex</x:v>
      </x:c>
    </x:row>
    <x:row r="686" ht="108" customHeight="1">
      <x:c r="A686" s="56" t="str">
        <x:v>SRC-DAL-011</x:v>
      </x:c>
      <x:c r="B686" s="56" t="str">
        <x:v>KB014</x:v>
      </x:c>
      <x:c r="C686" s="56" t="str">
        <x:v>Hero — First Spray Serum</x:v>
      </x:c>
      <x:c r="D686" s="56" t="str">
        <x:v>Official page lists 50/100 mL, $24 list/$21 current, 4.9/750 and fragrance allergens; describes glow, hydration and makeup use.</x:v>
      </x:c>
      <x:c r="E686" s="56" t="str">
        <x:v>d'Alba Official Store</x:v>
      </x:c>
      <x:c r="F686" s="56" t="str">
        <x:v>https://dalba.com/products/dalba-white-truffle-first-spray-serum</x:v>
      </x:c>
      <x:c r="G686" s="56" t="str">
        <x:v>Official Product Page</x:v>
      </x:c>
      <x:c r="H686" s="56"/>
      <x:c r="I686" s="56" t="str">
        <x:v>2026-08-01</x:v>
      </x:c>
      <x:c r="J686" s="56" t="str">
        <x:v>Verified Product Fact</x:v>
      </x:c>
      <x:c r="K686" s="56" t="str">
        <x:v>High</x:v>
      </x:c>
      <x:c r="L686" s="56" t="str">
        <x:v>Yes</x:v>
      </x:c>
      <x:c r="M686" s="56"/>
      <x:c r="N686" s="56" t="str">
        <x:v>Review penetration, lifting, wrinkle and sensitive-skin claims.</x:v>
      </x:c>
      <x:c r="O686" s="56" t="str">
        <x:v>Codex</x:v>
      </x:c>
    </x:row>
    <x:row r="687" ht="108" customHeight="1">
      <x:c r="A687" s="56" t="str">
        <x:v>SRC-DAL-012</x:v>
      </x:c>
      <x:c r="B687" s="56" t="str">
        <x:v>KB014</x:v>
      </x:c>
      <x:c r="C687" s="56" t="str">
        <x:v>Hero — Multi Balm</x:v>
      </x:c>
      <x:c r="D687" s="56" t="str">
        <x:v>Official product page covers the Double Serum All In One Multi Balm format; current U.S. retail pages show about $22-$24.</x:v>
      </x:c>
      <x:c r="E687" s="56" t="str">
        <x:v>d'Alba Official Store</x:v>
      </x:c>
      <x:c r="F687" s="56" t="str">
        <x:v>https://dalba.com/products/dalbamultibalm</x:v>
      </x:c>
      <x:c r="G687" s="56" t="str">
        <x:v>Official Product Page</x:v>
      </x:c>
      <x:c r="H687" s="56"/>
      <x:c r="I687" s="56" t="str">
        <x:v>2026-08-01</x:v>
      </x:c>
      <x:c r="J687" s="56" t="str">
        <x:v>Verified Product Fact</x:v>
      </x:c>
      <x:c r="K687" s="56" t="str">
        <x:v>High</x:v>
      </x:c>
      <x:c r="L687" s="56" t="str">
        <x:v>Yes</x:v>
      </x:c>
      <x:c r="M687" s="56"/>
      <x:c r="N687" s="56" t="str">
        <x:v>Confirm exact U.S. INCI, label and claims.</x:v>
      </x:c>
      <x:c r="O687" s="56" t="str">
        <x:v>Codex</x:v>
      </x:c>
    </x:row>
    <x:row r="688" ht="108" customHeight="1">
      <x:c r="A688" s="56" t="str">
        <x:v>SRC-DAL-013</x:v>
      </x:c>
      <x:c r="B688" s="56" t="str">
        <x:v>KB014</x:v>
      </x:c>
      <x:c r="C688" s="56" t="str">
        <x:v>Hero — Volufiline Grinding Cream</x:v>
      </x:c>
      <x:c r="D688" s="56" t="str">
        <x:v>Ulta lists the Intensive Volufiline Elasticity Boost Grinding Cream at $45 with about 4.9/86.</x:v>
      </x:c>
      <x:c r="E688" s="56" t="str">
        <x:v>Ulta Beauty</x:v>
      </x:c>
      <x:c r="F688" s="56" t="str">
        <x:v>https://www.ulta.com/p/intensive-volufiline-elasticity-boost-grinding-cream-pimprod2056393?sku=2650473</x:v>
      </x:c>
      <x:c r="G688" s="56" t="str">
        <x:v>Authorized Retailer Product Page</x:v>
      </x:c>
      <x:c r="H688" s="56"/>
      <x:c r="I688" s="56" t="str">
        <x:v>2026-08-01</x:v>
      </x:c>
      <x:c r="J688" s="56" t="str">
        <x:v>Verified Product Fact</x:v>
      </x:c>
      <x:c r="K688" s="56" t="str">
        <x:v>High</x:v>
      </x:c>
      <x:c r="L688" s="56" t="str">
        <x:v>Yes</x:v>
      </x:c>
      <x:c r="M688" s="56"/>
      <x:c r="N688" s="56" t="str">
        <x:v>Review lifting/plumping/wrinkle claims and evidence.</x:v>
      </x:c>
      <x:c r="O688" s="56" t="str">
        <x:v>Codex</x:v>
      </x:c>
    </x:row>
    <x:row r="689" ht="108" customHeight="1">
      <x:c r="A689" s="56" t="str">
        <x:v>SRC-DAL-014</x:v>
      </x:c>
      <x:c r="B689" s="56" t="str">
        <x:v>KB014</x:v>
      </x:c>
      <x:c r="C689" s="56" t="str">
        <x:v>Hero — Vital Spray Serum</x:v>
      </x:c>
      <x:c r="D689" s="56" t="str">
        <x:v>Official page lists $24 list/$21 current, 4.9/141, fragrance and multiple essential oils.</x:v>
      </x:c>
      <x:c r="E689" s="56" t="str">
        <x:v>d'Alba Official Store</x:v>
      </x:c>
      <x:c r="F689" s="56" t="str">
        <x:v>https://dalba.com/products/dalba-white-truffle-vital-spray-serum</x:v>
      </x:c>
      <x:c r="G689" s="56" t="str">
        <x:v>Official Product Page</x:v>
      </x:c>
      <x:c r="H689" s="56"/>
      <x:c r="I689" s="56" t="str">
        <x:v>2026-08-01</x:v>
      </x:c>
      <x:c r="J689" s="56" t="str">
        <x:v>Verified Product / Sensitivity Fact</x:v>
      </x:c>
      <x:c r="K689" s="56" t="str">
        <x:v>High</x:v>
      </x:c>
      <x:c r="L689" s="56" t="str">
        <x:v>Yes</x:v>
      </x:c>
      <x:c r="M689" s="56"/>
      <x:c r="N689" s="56" t="str">
        <x:v>Sensitive-skin and redness/irritation language requires careful substantiation.</x:v>
      </x:c>
      <x:c r="O689" s="56" t="str">
        <x:v>Codex</x:v>
      </x:c>
    </x:row>
    <x:row r="690" ht="108" customHeight="1">
      <x:c r="A690" s="56" t="str">
        <x:v>SRC-DAL-015</x:v>
      </x:c>
      <x:c r="B690" s="56" t="str">
        <x:v>KB014</x:v>
      </x:c>
      <x:c r="C690" s="56" t="str">
        <x:v>Hero — Tone-Up Sunscreen</x:v>
      </x:c>
      <x:c r="D690" s="56" t="str">
        <x:v>Official/Ulta pages identify a U.S. Broad Spectrum SPF 50+ tone-up product; official current price $18 and Ulta $28.</x:v>
      </x:c>
      <x:c r="E690" s="56" t="str">
        <x:v>d'Alba / Ulta</x:v>
      </x:c>
      <x:c r="F690" s="56" t="str">
        <x:v>https://dalba.com/products/dalba-waterfull-tone-up-sunscreen-spf50</x:v>
      </x:c>
      <x:c r="G690" s="56" t="str">
        <x:v>Official / Authorized Product Page</x:v>
      </x:c>
      <x:c r="H690" s="56"/>
      <x:c r="I690" s="56" t="str">
        <x:v>2026-08-01</x:v>
      </x:c>
      <x:c r="J690" s="56" t="str">
        <x:v>Verified Product Fact</x:v>
      </x:c>
      <x:c r="K690" s="56" t="str">
        <x:v>High</x:v>
      </x:c>
      <x:c r="L690" s="56" t="str">
        <x:v>Yes</x:v>
      </x:c>
      <x:c r="M690" s="56"/>
      <x:c r="N690" s="56" t="str">
        <x:v>Exact NDC, Drug Facts, formula and artwork must be matched.</x:v>
      </x:c>
      <x:c r="O690" s="56" t="str">
        <x:v>Codex</x:v>
      </x:c>
    </x:row>
    <x:row r="691" ht="108" customHeight="1">
      <x:c r="A691" s="56" t="str">
        <x:v>SRC-DAL-016</x:v>
      </x:c>
      <x:c r="B691" s="56" t="str">
        <x:v>KB014</x:v>
      </x:c>
      <x:c r="C691" s="56" t="str">
        <x:v>Core verification — Amazon seller/store</x:v>
      </x:c>
      <x:c r="D691" s="56" t="str">
        <x:v>Direct sampled pages displayed d'Alba official as seller where shown and a broad d'Alba Amazon assortment.</x:v>
      </x:c>
      <x:c r="E691" s="56" t="str">
        <x:v>Amazon U.S.</x:v>
      </x:c>
      <x:c r="F691" s="56" t="str">
        <x:v>https://www.amazon.com/stores/dalbapiedmont/page/</x:v>
      </x:c>
      <x:c r="G691" s="56" t="str">
        <x:v>Marketplace / Official Seller Context</x:v>
      </x:c>
      <x:c r="H691" s="56"/>
      <x:c r="I691" s="56" t="str">
        <x:v>2026-08-01</x:v>
      </x:c>
      <x:c r="J691" s="56" t="str">
        <x:v>Verified Official-Seller Context</x:v>
      </x:c>
      <x:c r="K691" s="56" t="str">
        <x:v>High</x:v>
      </x:c>
      <x:c r="L691" s="56" t="str">
        <x:v>Yes</x:v>
      </x:c>
      <x:c r="M691" s="56"/>
      <x:c r="N691" s="56" t="str">
        <x:v>Seller and fulfillment identity remain dynamic.</x:v>
      </x:c>
      <x:c r="O691" s="56" t="str">
        <x:v>Codex</x:v>
      </x:c>
    </x:row>
    <x:row r="692" ht="108" customHeight="1">
      <x:c r="A692" s="56" t="str">
        <x:v>SRC-DAL-017</x:v>
      </x:c>
      <x:c r="B692" s="56" t="str">
        <x:v>KB014</x:v>
      </x:c>
      <x:c r="C692" s="56" t="str">
        <x:v>Amazon — First Spray Serum</x:v>
      </x:c>
      <x:c r="D692" s="56" t="str">
        <x:v>ASIN B0BFQ9RD5B showed 40K+ bought/month, $20.99, 4.5/33,414 and d'Alba official seller.</x:v>
      </x:c>
      <x:c r="E692" s="56" t="str">
        <x:v>Amazon U.S.</x:v>
      </x:c>
      <x:c r="F692" s="56" t="str">
        <x:v>https://www.amazon.com/dp/B0BFQ9RD5B</x:v>
      </x:c>
      <x:c r="G692" s="56" t="str">
        <x:v>Marketplace Display</x:v>
      </x:c>
      <x:c r="H692" s="56"/>
      <x:c r="I692" s="56" t="str">
        <x:v>2026-08-01</x:v>
      </x:c>
      <x:c r="J692" s="56" t="str">
        <x:v>Verified Platform Display</x:v>
      </x:c>
      <x:c r="K692" s="56" t="str">
        <x:v>High</x:v>
      </x:c>
      <x:c r="L692" s="56" t="str">
        <x:v>Yes</x:v>
      </x:c>
      <x:c r="M692" s="56"/>
      <x:c r="N692" s="56" t="str">
        <x:v>Dynamic public proxy; not audited revenue.</x:v>
      </x:c>
      <x:c r="O692" s="56" t="str">
        <x:v>Codex</x:v>
      </x:c>
    </x:row>
    <x:row r="693" ht="108" customHeight="1">
      <x:c r="A693" s="56" t="str">
        <x:v>SRC-DAL-018</x:v>
      </x:c>
      <x:c r="B693" s="56" t="str">
        <x:v>KB014</x:v>
      </x:c>
      <x:c r="C693" s="56" t="str">
        <x:v>Amazon — Multi Balm</x:v>
      </x:c>
      <x:c r="D693" s="56" t="str">
        <x:v>ASIN B09SZ5JX2Y showed 20K+ bought/month, $20.99, 4.5/7,856 and d'Alba official seller.</x:v>
      </x:c>
      <x:c r="E693" s="56" t="str">
        <x:v>Amazon U.S.</x:v>
      </x:c>
      <x:c r="F693" s="56" t="str">
        <x:v>https://www.amazon.com/dp/B09SZ5JX2Y</x:v>
      </x:c>
      <x:c r="G693" s="56" t="str">
        <x:v>Marketplace Display</x:v>
      </x:c>
      <x:c r="H693" s="56"/>
      <x:c r="I693" s="56" t="str">
        <x:v>2026-08-01</x:v>
      </x:c>
      <x:c r="J693" s="56" t="str">
        <x:v>Verified Platform Display</x:v>
      </x:c>
      <x:c r="K693" s="56" t="str">
        <x:v>High</x:v>
      </x:c>
      <x:c r="L693" s="56" t="str">
        <x:v>Yes</x:v>
      </x:c>
      <x:c r="M693" s="56"/>
      <x:c r="N693" s="56" t="str">
        <x:v>Dynamic public proxy.</x:v>
      </x:c>
      <x:c r="O693" s="56" t="str">
        <x:v>Codex</x:v>
      </x:c>
    </x:row>
    <x:row r="694" ht="108" customHeight="1">
      <x:c r="A694" s="56" t="str">
        <x:v>SRC-DAL-019</x:v>
      </x:c>
      <x:c r="B694" s="56" t="str">
        <x:v>KB014</x:v>
      </x:c>
      <x:c r="C694" s="56" t="str">
        <x:v>Amazon — Volufiline Grinding Cream</x:v>
      </x:c>
      <x:c r="D694" s="56" t="str">
        <x:v>ASIN B0CC2HZ8WL showed 7K+ bought/month, $33.99, 4.4/766 and d'Alba official seller.</x:v>
      </x:c>
      <x:c r="E694" s="56" t="str">
        <x:v>Amazon U.S.</x:v>
      </x:c>
      <x:c r="F694" s="56" t="str">
        <x:v>https://www.amazon.com/dp/B0CC2HZ8WL</x:v>
      </x:c>
      <x:c r="G694" s="56" t="str">
        <x:v>Marketplace Display</x:v>
      </x:c>
      <x:c r="H694" s="56"/>
      <x:c r="I694" s="56" t="str">
        <x:v>2026-08-01</x:v>
      </x:c>
      <x:c r="J694" s="56" t="str">
        <x:v>Verified Platform Display</x:v>
      </x:c>
      <x:c r="K694" s="56" t="str">
        <x:v>High</x:v>
      </x:c>
      <x:c r="L694" s="56" t="str">
        <x:v>Yes</x:v>
      </x:c>
      <x:c r="M694" s="56"/>
      <x:c r="N694" s="56" t="str">
        <x:v>Dynamic public proxy.</x:v>
      </x:c>
      <x:c r="O694" s="56" t="str">
        <x:v>Codex</x:v>
      </x:c>
    </x:row>
    <x:row r="695" ht="108" customHeight="1">
      <x:c r="A695" s="56" t="str">
        <x:v>SRC-DAL-020</x:v>
      </x:c>
      <x:c r="B695" s="56" t="str">
        <x:v>KB014</x:v>
      </x:c>
      <x:c r="C695" s="56" t="str">
        <x:v>Amazon — Vital Spray Serum</x:v>
      </x:c>
      <x:c r="D695" s="56" t="str">
        <x:v>ASIN B08KQFTDH9 showed 1K+ bought/month, $19.99, 4.5/2,427 and d'Alba official seller.</x:v>
      </x:c>
      <x:c r="E695" s="56" t="str">
        <x:v>Amazon U.S.</x:v>
      </x:c>
      <x:c r="F695" s="56" t="str">
        <x:v>https://www.amazon.com/dp/B08KQFTDH9</x:v>
      </x:c>
      <x:c r="G695" s="56" t="str">
        <x:v>Marketplace Display</x:v>
      </x:c>
      <x:c r="H695" s="56"/>
      <x:c r="I695" s="56" t="str">
        <x:v>2026-08-01</x:v>
      </x:c>
      <x:c r="J695" s="56" t="str">
        <x:v>Verified Platform Display</x:v>
      </x:c>
      <x:c r="K695" s="56" t="str">
        <x:v>High</x:v>
      </x:c>
      <x:c r="L695" s="56" t="str">
        <x:v>Yes</x:v>
      </x:c>
      <x:c r="M695" s="56"/>
      <x:c r="N695" s="56" t="str">
        <x:v>Dynamic public proxy.</x:v>
      </x:c>
      <x:c r="O695" s="56" t="str">
        <x:v>Codex</x:v>
      </x:c>
    </x:row>
    <x:row r="696" ht="108" customHeight="1">
      <x:c r="A696" s="56" t="str">
        <x:v>SRC-DAL-021</x:v>
      </x:c>
      <x:c r="B696" s="56" t="str">
        <x:v>KB014</x:v>
      </x:c>
      <x:c r="C696" s="56" t="str">
        <x:v>Amazon — Double Layer Serum</x:v>
      </x:c>
      <x:c r="D696" s="56" t="str">
        <x:v>ASIN B08LVK2RNR showed 500+ bought/month, $22.99, 4.5/1,915 and d'Alba official seller.</x:v>
      </x:c>
      <x:c r="E696" s="56" t="str">
        <x:v>Amazon U.S.</x:v>
      </x:c>
      <x:c r="F696" s="56" t="str">
        <x:v>https://www.amazon.com/dp/B08LVK2RNR</x:v>
      </x:c>
      <x:c r="G696" s="56" t="str">
        <x:v>Marketplace Display</x:v>
      </x:c>
      <x:c r="H696" s="56"/>
      <x:c r="I696" s="56" t="str">
        <x:v>2026-08-01</x:v>
      </x:c>
      <x:c r="J696" s="56" t="str">
        <x:v>Verified Platform Display</x:v>
      </x:c>
      <x:c r="K696" s="56" t="str">
        <x:v>High</x:v>
      </x:c>
      <x:c r="L696" s="56" t="str">
        <x:v>Yes</x:v>
      </x:c>
      <x:c r="M696" s="56"/>
      <x:c r="N696" s="56" t="str">
        <x:v>Dynamic public proxy.</x:v>
      </x:c>
      <x:c r="O696" s="56" t="str">
        <x:v>Codex</x:v>
      </x:c>
    </x:row>
    <x:row r="697" ht="108" customHeight="1">
      <x:c r="A697" s="56" t="str">
        <x:v>SRC-DAL-022</x:v>
      </x:c>
      <x:c r="B697" s="56" t="str">
        <x:v>KB014</x:v>
      </x:c>
      <x:c r="C697" s="56" t="str">
        <x:v>Amazon lower-bound methodology</x:v>
      </x:c>
      <x:c r="D697" s="56" t="str">
        <x:v>Five distinct ASIN badges total at least 68.5K units and imply $1,528,815/month at observed prices.</x:v>
      </x:c>
      <x:c r="E697" s="56" t="str">
        <x:v>Analyst Calculation</x:v>
      </x:c>
      <x:c r="F697" s="56" t="str">
        <x:v>https://www.amazon.com/stores/dalbapiedmont/page/</x:v>
      </x:c>
      <x:c r="G697" s="56" t="str">
        <x:v>Derived from Marketplace Displays</x:v>
      </x:c>
      <x:c r="H697" s="56"/>
      <x:c r="I697" s="56" t="str">
        <x:v>2026-08-01</x:v>
      </x:c>
      <x:c r="J697" s="56" t="str">
        <x:v>Conservative Sales Proxy</x:v>
      </x:c>
      <x:c r="K697" s="56" t="str">
        <x:v>Medium-High</x:v>
      </x:c>
      <x:c r="L697" s="56" t="str">
        <x:v>Yes</x:v>
      </x:c>
      <x:c r="M697" s="56"/>
      <x:c r="N697" s="56" t="str">
        <x:v>Not audited revenue; excludes other ASINs, coupons, tax, returns and units above rounded minimums.</x:v>
      </x:c>
      <x:c r="O697" s="56" t="str">
        <x:v>Codex</x:v>
      </x:c>
    </x:row>
    <x:row r="698" ht="108" customHeight="1">
      <x:c r="A698" s="56" t="str">
        <x:v>SRC-DAL-023</x:v>
      </x:c>
      <x:c r="B698" s="56" t="str">
        <x:v>KB014</x:v>
      </x:c>
      <x:c r="C698" s="56" t="str">
        <x:v>TikTok Shop U.S. scale</x:v>
      </x:c>
      <x:c r="D698" s="56" t="str">
        <x:v>Official shop showed 129.8K+ followers, 93.8K sold, 712 videos, First Spray 19.5K sold and Tone-Up Sunscreen 7.4K sold.</x:v>
      </x:c>
      <x:c r="E698" s="56" t="str">
        <x:v>TikTok Shop U.S.</x:v>
      </x:c>
      <x:c r="F698" s="56" t="str">
        <x:v>https://shop.tiktok.com/us/store/dalba-piedmont/7494221571082258140</x:v>
      </x:c>
      <x:c r="G698" s="56" t="str">
        <x:v>Official Social-Commerce Store</x:v>
      </x:c>
      <x:c r="H698" s="56"/>
      <x:c r="I698" s="56" t="str">
        <x:v>2026-08-01</x:v>
      </x:c>
      <x:c r="J698" s="56" t="str">
        <x:v>Dynamic Platform Signal</x:v>
      </x:c>
      <x:c r="K698" s="56" t="str">
        <x:v>Medium-High</x:v>
      </x:c>
      <x:c r="L698" s="56" t="str">
        <x:v>Yes</x:v>
      </x:c>
      <x:c r="M698" s="56"/>
      <x:c r="N698" s="56" t="str">
        <x:v>Cumulative platform displays; not audited revenue.</x:v>
      </x:c>
      <x:c r="O698" s="56" t="str">
        <x:v>Codex</x:v>
      </x:c>
    </x:row>
    <x:row r="699" ht="108" customHeight="1">
      <x:c r="A699" s="56" t="str">
        <x:v>SRC-DAL-024</x:v>
      </x:c>
      <x:c r="B699" s="56" t="str">
        <x:v>KB014</x:v>
      </x:c>
      <x:c r="C699" s="56" t="str">
        <x:v>Instagram account</x:v>
      </x:c>
      <x:c r="D699" s="56" t="str">
        <x:v>Official site links @dalba_global for brand and campaign content.</x:v>
      </x:c>
      <x:c r="E699" s="56" t="str">
        <x:v>Instagram</x:v>
      </x:c>
      <x:c r="F699" s="56" t="str">
        <x:v>https://www.instagram.com/dalba_global/</x:v>
      </x:c>
      <x:c r="G699" s="56" t="str">
        <x:v>Official Social Account</x:v>
      </x:c>
      <x:c r="H699" s="56"/>
      <x:c r="I699" s="56" t="str">
        <x:v>2026-08-01</x:v>
      </x:c>
      <x:c r="J699" s="56" t="str">
        <x:v>Verified Account Fact</x:v>
      </x:c>
      <x:c r="K699" s="56" t="str">
        <x:v>High</x:v>
      </x:c>
      <x:c r="L699" s="56" t="str">
        <x:v>Yes</x:v>
      </x:c>
      <x:c r="M699" s="56"/>
      <x:c r="N699" s="56" t="str">
        <x:v>Follower/reach and U.S.-only share were not independently audited.</x:v>
      </x:c>
      <x:c r="O699" s="56" t="str">
        <x:v>Codex</x:v>
      </x:c>
    </x:row>
    <x:row r="700" ht="108" customHeight="1">
      <x:c r="A700" s="56" t="str">
        <x:v>SRC-DAL-025</x:v>
      </x:c>
      <x:c r="B700" s="56" t="str">
        <x:v>KB014</x:v>
      </x:c>
      <x:c r="C700" s="56" t="str">
        <x:v>Ulta presence</x:v>
      </x:c>
      <x:c r="D700" s="56" t="str">
        <x:v>Ulta displayed 24 d'Alba products; First Spray $26 4.6/293, Multi Balm $24 4.6/168, Vital Spray $26 4.7/95 and Grinding Cream $45 4.9/86.</x:v>
      </x:c>
      <x:c r="E700" s="56" t="str">
        <x:v>Ulta Beauty</x:v>
      </x:c>
      <x:c r="F700" s="56" t="str">
        <x:v>https://www.ulta.com/brand/dalba-piedmont</x:v>
      </x:c>
      <x:c r="G700" s="56" t="str">
        <x:v>Authorized Retailer Brand Page</x:v>
      </x:c>
      <x:c r="H700" s="56"/>
      <x:c r="I700" s="56" t="str">
        <x:v>2026-08-01</x:v>
      </x:c>
      <x:c r="J700" s="56" t="str">
        <x:v>Verified Retail Presence</x:v>
      </x:c>
      <x:c r="K700" s="56" t="str">
        <x:v>High</x:v>
      </x:c>
      <x:c r="L700" s="56" t="str">
        <x:v>Yes</x:v>
      </x:c>
      <x:c r="M700" s="56"/>
      <x:c r="N700" s="56" t="str">
        <x:v>Prices, reviews and assortment are dynamic.</x:v>
      </x:c>
      <x:c r="O700" s="56" t="str">
        <x:v>Codex</x:v>
      </x:c>
    </x:row>
    <x:row r="701" ht="108" customHeight="1">
      <x:c r="A701" s="56" t="str">
        <x:v>SRC-DAL-026</x:v>
      </x:c>
      <x:c r="B701" s="56" t="str">
        <x:v>KB014</x:v>
      </x:c>
      <x:c r="C701" s="56" t="str">
        <x:v>Costco presence</x:v>
      </x:c>
      <x:c r="D701" s="56" t="str">
        <x:v>Costco displayed a 6.08 fl oz First Spray Serum around $20.99 with about 4.7/865; company IR reported 150 U.S. stores.</x:v>
      </x:c>
      <x:c r="E701" s="56" t="str">
        <x:v>Costco</x:v>
      </x:c>
      <x:c r="F701" s="56" t="str">
        <x:v>https://www.costco.com/skin-care.html</x:v>
      </x:c>
      <x:c r="G701" s="56" t="str">
        <x:v>National Club Retailer</x:v>
      </x:c>
      <x:c r="H701" s="56"/>
      <x:c r="I701" s="56" t="str">
        <x:v>2026-08-01</x:v>
      </x:c>
      <x:c r="J701" s="56" t="str">
        <x:v>Verified Retail Presence</x:v>
      </x:c>
      <x:c r="K701" s="56" t="str">
        <x:v>High</x:v>
      </x:c>
      <x:c r="L701" s="56" t="str">
        <x:v>Yes</x:v>
      </x:c>
      <x:c r="M701" s="56"/>
      <x:c r="N701" s="56" t="str">
        <x:v>Member prices and inventory vary; strong channel-conflict implication.</x:v>
      </x:c>
      <x:c r="O701" s="56" t="str">
        <x:v>Codex</x:v>
      </x:c>
    </x:row>
    <x:row r="702" ht="108" customHeight="1">
      <x:c r="A702" s="56" t="str">
        <x:v>SRC-DAL-027</x:v>
      </x:c>
      <x:c r="B702" s="56" t="str">
        <x:v>KB014</x:v>
      </x:c>
      <x:c r="C702" s="56" t="str">
        <x:v>iHerb presence</x:v>
      </x:c>
      <x:c r="D702" s="56" t="str">
        <x:v>iHerb showed First Spray Serum at $24, 4.7/3,265, 2K+ sold in 30 days, #1 K-Beauty Hydrating Serums and #20 Face Serums.</x:v>
      </x:c>
      <x:c r="E702" s="56" t="str">
        <x:v>iHerb</x:v>
      </x:c>
      <x:c r="F702" s="56" t="str">
        <x:v>https://www.iherb.com/pr/d-alba-first-spray-serum-3-38-fl-oz-100-ml/116015</x:v>
      </x:c>
      <x:c r="G702" s="56" t="str">
        <x:v>Specialty Retailer</x:v>
      </x:c>
      <x:c r="H702" s="56"/>
      <x:c r="I702" s="56" t="str">
        <x:v>2026-08-01</x:v>
      </x:c>
      <x:c r="J702" s="56" t="str">
        <x:v>Verified Retail / Demand Signal</x:v>
      </x:c>
      <x:c r="K702" s="56" t="str">
        <x:v>High</x:v>
      </x:c>
      <x:c r="L702" s="56" t="str">
        <x:v>Yes</x:v>
      </x:c>
      <x:c r="M702" s="56"/>
      <x:c r="N702" s="56" t="str">
        <x:v>Rank, price and sold display are dynamic.</x:v>
      </x:c>
      <x:c r="O702" s="56" t="str">
        <x:v>Codex</x:v>
      </x:c>
    </x:row>
    <x:row r="703" ht="108" customHeight="1">
      <x:c r="A703" s="56" t="str">
        <x:v>SRC-DAL-028</x:v>
      </x:c>
      <x:c r="B703" s="56" t="str">
        <x:v>KB014</x:v>
      </x:c>
      <x:c r="C703" s="56" t="str">
        <x:v>Walmart marketplace presence</x:v>
      </x:c>
      <x:c r="D703" s="56" t="str">
        <x:v>Current listing showed a third-party seller rather than Walmart or d'Alba, illustrating marketplace provenance risk.</x:v>
      </x:c>
      <x:c r="E703" s="56" t="str">
        <x:v>Walmart</x:v>
      </x:c>
      <x:c r="F703" s="56" t="str">
        <x:v>https://www.walmart.com/ip/18232074570</x:v>
      </x:c>
      <x:c r="G703" s="56" t="str">
        <x:v>Third-Party Marketplace</x:v>
      </x:c>
      <x:c r="H703" s="56"/>
      <x:c r="I703" s="56" t="str">
        <x:v>2026-08-01</x:v>
      </x:c>
      <x:c r="J703" s="56" t="str">
        <x:v>Verified Seller Risk</x:v>
      </x:c>
      <x:c r="K703" s="56" t="str">
        <x:v>Medium-High</x:v>
      </x:c>
      <x:c r="L703" s="56" t="str">
        <x:v>Yes</x:v>
      </x:c>
      <x:c r="M703" s="56"/>
      <x:c r="N703" s="56" t="str">
        <x:v>Do not treat as authorized without written proof.</x:v>
      </x:c>
      <x:c r="O703" s="56" t="str">
        <x:v>Codex</x:v>
      </x:c>
    </x:row>
    <x:row r="704" ht="108" customHeight="1">
      <x:c r="A704" s="56" t="str">
        <x:v>SRC-DAL-029</x:v>
      </x:c>
      <x:c r="B704" s="56" t="str">
        <x:v>KB014</x:v>
      </x:c>
      <x:c r="C704" s="56" t="str">
        <x:v>YesStyle presence and INCI</x:v>
      </x:c>
      <x:c r="D704" s="56" t="str">
        <x:v>YesStyle listed First Spray Serum at $24.99, called itself authorized and showed full INCI with fragrance allergens.</x:v>
      </x:c>
      <x:c r="E704" s="56" t="str">
        <x:v>YesStyle</x:v>
      </x:c>
      <x:c r="F704" s="56" t="str">
        <x:v>https://www.yesstyle.com/en/info.html/pid.1135248571</x:v>
      </x:c>
      <x:c r="G704" s="56" t="str">
        <x:v>Cross-Border Retailer</x:v>
      </x:c>
      <x:c r="H704" s="56"/>
      <x:c r="I704" s="56" t="str">
        <x:v>2026-08-01</x:v>
      </x:c>
      <x:c r="J704" s="56" t="str">
        <x:v>Verified Cross-Border / Ingredient Fact</x:v>
      </x:c>
      <x:c r="K704" s="56" t="str">
        <x:v>Medium-High</x:v>
      </x:c>
      <x:c r="L704" s="56" t="str">
        <x:v>Yes</x:v>
      </x:c>
      <x:c r="M704" s="56"/>
      <x:c r="N704" s="56" t="str">
        <x:v>Map country formula and U.S. resale rights.</x:v>
      </x:c>
      <x:c r="O704" s="56" t="str">
        <x:v>Codex</x:v>
      </x:c>
    </x:row>
    <x:row r="705" ht="108" customHeight="1">
      <x:c r="A705" s="56" t="str">
        <x:v>SRC-DAL-030</x:v>
      </x:c>
      <x:c r="B705" s="56" t="str">
        <x:v>KB014</x:v>
      </x:c>
      <x:c r="C705" s="56" t="str">
        <x:v>Olive Young Global presence</x:v>
      </x:c>
      <x:c r="D705" s="56" t="str">
        <x:v>Global search displayed multiple d'Alba skincare results available to international shoppers.</x:v>
      </x:c>
      <x:c r="E705" s="56" t="str">
        <x:v>Olive Young Global</x:v>
      </x:c>
      <x:c r="F705" s="56" t="str">
        <x:v>https://global.oliveyoung.com/display/search?query=d%27Alba</x:v>
      </x:c>
      <x:c r="G705" s="56" t="str">
        <x:v>Cross-Border Retailer</x:v>
      </x:c>
      <x:c r="H705" s="56"/>
      <x:c r="I705" s="56" t="str">
        <x:v>2026-08-01</x:v>
      </x:c>
      <x:c r="J705" s="56" t="str">
        <x:v>Verified Cross-Border Presence</x:v>
      </x:c>
      <x:c r="K705" s="56" t="str">
        <x:v>Medium</x:v>
      </x:c>
      <x:c r="L705" s="56" t="str">
        <x:v>Yes</x:v>
      </x:c>
      <x:c r="M705" s="56"/>
      <x:c r="N705" s="56" t="str">
        <x:v>Search results, country access and inventory are dynamic.</x:v>
      </x:c>
      <x:c r="O705" s="56" t="str">
        <x:v>Codex</x:v>
      </x:c>
    </x:row>
    <x:row r="706" ht="108" customHeight="1">
      <x:c r="A706" s="56" t="str">
        <x:v>SRC-DAL-031</x:v>
      </x:c>
      <x:c r="B706" s="56" t="str">
        <x:v>KB014</x:v>
      </x:c>
      <x:c r="C706" s="56" t="str">
        <x:v>Jolse presence</x:v>
      </x:c>
      <x:c r="D706" s="56" t="str">
        <x:v>Jolse carries First Spray Serum and active consumer review content around a $28.50 display.</x:v>
      </x:c>
      <x:c r="E706" s="56" t="str">
        <x:v>Jolse</x:v>
      </x:c>
      <x:c r="F706" s="56" t="str">
        <x:v>https://jolse.com/product/dalba-white-truffle-first-spray-serum-100ml/</x:v>
      </x:c>
      <x:c r="G706" s="56" t="str">
        <x:v>Cross-Border Retailer</x:v>
      </x:c>
      <x:c r="H706" s="56"/>
      <x:c r="I706" s="56" t="str">
        <x:v>2026-08-01</x:v>
      </x:c>
      <x:c r="J706" s="56" t="str">
        <x:v>Verified Cross-Border Presence</x:v>
      </x:c>
      <x:c r="K706" s="56" t="str">
        <x:v>Medium</x:v>
      </x:c>
      <x:c r="L706" s="56" t="str">
        <x:v>Yes</x:v>
      </x:c>
      <x:c r="M706" s="56"/>
      <x:c r="N706" s="56" t="str">
        <x:v>Map formula/version and U.S. price leakage.</x:v>
      </x:c>
      <x:c r="O706" s="56" t="str">
        <x:v>Codex</x:v>
      </x:c>
    </x:row>
    <x:row r="707" ht="108" customHeight="1">
      <x:c r="A707" s="56" t="str">
        <x:v>SRC-DAL-032</x:v>
      </x:c>
      <x:c r="B707" s="56" t="str">
        <x:v>KB014</x:v>
      </x:c>
      <x:c r="C707" s="56" t="str">
        <x:v>Editorial awareness — Allure</x:v>
      </x:c>
      <x:c r="D707" s="56" t="str">
        <x:v>Allure reviewed d'Alba Aromatic Spray Serum as a dewy-skin mist.</x:v>
      </x:c>
      <x:c r="E707" s="56" t="str">
        <x:v>Allure</x:v>
      </x:c>
      <x:c r="F707" s="56" t="str">
        <x:v>https://www.allure.com/dalba-piedmont-aromatic-spray-serum-review</x:v>
      </x:c>
      <x:c r="G707" s="56" t="str">
        <x:v>Beauty Editorial</x:v>
      </x:c>
      <x:c r="H707" s="56" t="str">
        <x:v>2023-02-06</x:v>
      </x:c>
      <x:c r="I707" s="56" t="str">
        <x:v>2026-08-01</x:v>
      </x:c>
      <x:c r="J707" s="56" t="str">
        <x:v>Editorial Awareness Signal</x:v>
      </x:c>
      <x:c r="K707" s="56" t="str">
        <x:v>Medium-High</x:v>
      </x:c>
      <x:c r="L707" s="56" t="str">
        <x:v>Yes</x:v>
      </x:c>
      <x:c r="M707" s="56"/>
      <x:c r="N707" s="56" t="str">
        <x:v>Editorial review, not sales evidence.</x:v>
      </x:c>
      <x:c r="O707" s="56" t="str">
        <x:v>Codex</x:v>
      </x:c>
    </x:row>
    <x:row r="708" ht="108" customHeight="1">
      <x:c r="A708" s="56" t="str">
        <x:v>SRC-DAL-033</x:v>
      </x:c>
      <x:c r="B708" s="56" t="str">
        <x:v>KB014</x:v>
      </x:c>
      <x:c r="C708" s="56" t="str">
        <x:v>Celebrity awareness — Kaley Cuoco</x:v>
      </x:c>
      <x:c r="D708" s="56" t="str">
        <x:v>Good Housekeeping reported Kaley Cuoco's public use/interest in the under-$20 First Spray Serum.</x:v>
      </x:c>
      <x:c r="E708" s="56" t="str">
        <x:v>Good Housekeeping</x:v>
      </x:c>
      <x:c r="F708" s="56" t="str">
        <x:v>https://www.goodhousekeeping.com/life/money/a69926278/kaley-cuoco-dalba-serum-spray/</x:v>
      </x:c>
      <x:c r="G708" s="56" t="str">
        <x:v>Consumer Editorial</x:v>
      </x:c>
      <x:c r="H708" s="56"/>
      <x:c r="I708" s="56" t="str">
        <x:v>2026-08-01</x:v>
      </x:c>
      <x:c r="J708" s="56" t="str">
        <x:v>Awareness Signal</x:v>
      </x:c>
      <x:c r="K708" s="56" t="str">
        <x:v>Medium</x:v>
      </x:c>
      <x:c r="L708" s="56" t="str">
        <x:v>Yes</x:v>
      </x:c>
      <x:c r="M708" s="56"/>
      <x:c r="N708" s="56" t="str">
        <x:v>Celebrity/editorial signal, not audited demand.</x:v>
      </x:c>
      <x:c r="O708" s="56" t="str">
        <x:v>Codex</x:v>
      </x:c>
    </x:row>
    <x:row r="709" ht="108" customHeight="1">
      <x:c r="A709" s="56" t="str">
        <x:v>SRC-DAL-034</x:v>
      </x:c>
      <x:c r="B709" s="56" t="str">
        <x:v>KB014</x:v>
      </x:c>
      <x:c r="C709" s="56" t="str">
        <x:v>Celebrity makeup use — 2026 Oscars</x:v>
      </x:c>
      <x:c r="D709" s="56" t="str">
        <x:v>Marie Claire reported the Double Serum &amp; Cream was used in Kirsten Dunst's 2026 Oscars makeup prep.</x:v>
      </x:c>
      <x:c r="E709" s="56" t="str">
        <x:v>Marie Claire</x:v>
      </x:c>
      <x:c r="F709" s="56" t="str">
        <x:v>https://www.marieclaire.com/beauty/makeup/oscars-2026-kirsten-dunst-makeup/</x:v>
      </x:c>
      <x:c r="G709" s="56" t="str">
        <x:v>Beauty Editorial</x:v>
      </x:c>
      <x:c r="H709" s="56" t="str">
        <x:v>2026-03-15</x:v>
      </x:c>
      <x:c r="I709" s="56" t="str">
        <x:v>2026-08-01</x:v>
      </x:c>
      <x:c r="J709" s="56" t="str">
        <x:v>Current Awareness Signal</x:v>
      </x:c>
      <x:c r="K709" s="56" t="str">
        <x:v>Medium-High</x:v>
      </x:c>
      <x:c r="L709" s="56" t="str">
        <x:v>Yes</x:v>
      </x:c>
      <x:c r="M709" s="56"/>
      <x:c r="N709" s="56" t="str">
        <x:v>Single-event editorial evidence.</x:v>
      </x:c>
      <x:c r="O709" s="56" t="str">
        <x:v>Codex</x:v>
      </x:c>
    </x:row>
    <x:row r="710" ht="108" customHeight="1">
      <x:c r="A710" s="56" t="str">
        <x:v>SRC-DAL-035</x:v>
      </x:c>
      <x:c r="B710" s="56" t="str">
        <x:v>KB014</x:v>
      </x:c>
      <x:c r="C710" s="56" t="str">
        <x:v>Reddit — First Spray use</x:v>
      </x:c>
      <x:c r="D710" s="56" t="str">
        <x:v>Thread includes hydration, fine-mist and over-makeup positives plus oily-layer and heavy-fragrance concerns.</x:v>
      </x:c>
      <x:c r="E710" s="56" t="str">
        <x:v>Reddit r/AsianBeauty</x:v>
      </x:c>
      <x:c r="F710" s="56" t="str">
        <x:v>https://www.reddit.com/r/AsianBeauty/comments/wbrs1o</x:v>
      </x:c>
      <x:c r="G710" s="56" t="str">
        <x:v>Consumer Forum</x:v>
      </x:c>
      <x:c r="H710" s="56"/>
      <x:c r="I710" s="56" t="str">
        <x:v>2026-08-01</x:v>
      </x:c>
      <x:c r="J710" s="56" t="str">
        <x:v>Anecdotal Consumer Evidence</x:v>
      </x:c>
      <x:c r="K710" s="56" t="str">
        <x:v>Low-Medium</x:v>
      </x:c>
      <x:c r="L710" s="56" t="str">
        <x:v>Mixed</x:v>
      </x:c>
      <x:c r="M710" s="56"/>
      <x:c r="N710" s="56" t="str">
        <x:v>Self-selected and not clinical.</x:v>
      </x:c>
      <x:c r="O710" s="56" t="str">
        <x:v>Codex</x:v>
      </x:c>
    </x:row>
    <x:row r="711" ht="108" customHeight="1">
      <x:c r="A711" s="56" t="str">
        <x:v>SRC-DAL-036</x:v>
      </x:c>
      <x:c r="B711" s="56" t="str">
        <x:v>KB014</x:v>
      </x:c>
      <x:c r="C711" s="56" t="str">
        <x:v>Reddit — fragrance polarization</x:v>
      </x:c>
      <x:c r="D711" s="56" t="str">
        <x:v>Large thread contains strong praise for glow/makeup smoothing and strong criticism of lingering fragrance.</x:v>
      </x:c>
      <x:c r="E711" s="56" t="str">
        <x:v>Reddit r/AsianBeauty</x:v>
      </x:c>
      <x:c r="F711" s="56" t="str">
        <x:v>https://www.reddit.com/r/AsianBeauty/comments/1c88z43/thoughts_on_dalba_white_truffle_serum_spray/</x:v>
      </x:c>
      <x:c r="G711" s="56" t="str">
        <x:v>Consumer Forum</x:v>
      </x:c>
      <x:c r="H711" s="56"/>
      <x:c r="I711" s="56" t="str">
        <x:v>2026-08-01</x:v>
      </x:c>
      <x:c r="J711" s="56" t="str">
        <x:v>Anecdotal Consumer Evidence</x:v>
      </x:c>
      <x:c r="K711" s="56" t="str">
        <x:v>Low-Medium</x:v>
      </x:c>
      <x:c r="L711" s="56" t="str">
        <x:v>Mixed</x:v>
      </x:c>
      <x:c r="M711" s="56"/>
      <x:c r="N711" s="56" t="str">
        <x:v>No formal sample or sponsorship audit.</x:v>
      </x:c>
      <x:c r="O711" s="56" t="str">
        <x:v>Codex</x:v>
      </x:c>
    </x:row>
    <x:row r="712" ht="108" customHeight="1">
      <x:c r="A712" s="56" t="str">
        <x:v>SRC-DAL-037</x:v>
      </x:c>
      <x:c r="B712" s="56" t="str">
        <x:v>KB014</x:v>
      </x:c>
      <x:c r="C712" s="56" t="str">
        <x:v>Reddit — sensitivity reports</x:v>
      </x:c>
      <x:c r="D712" s="56" t="str">
        <x:v>Consumers report redness, acne, itching or irritation alongside many no-issue experiences.</x:v>
      </x:c>
      <x:c r="E712" s="56" t="str">
        <x:v>Reddit r/AsianBeauty</x:v>
      </x:c>
      <x:c r="F712" s="56" t="str">
        <x:v>https://www.reddit.com/r/AsianBeauty/comments/1dru1hr/dalba_first_spray_serum_for_dry_bumps/</x:v>
      </x:c>
      <x:c r="G712" s="56" t="str">
        <x:v>Consumer Forum</x:v>
      </x:c>
      <x:c r="H712" s="56"/>
      <x:c r="I712" s="56" t="str">
        <x:v>2026-08-01</x:v>
      </x:c>
      <x:c r="J712" s="56" t="str">
        <x:v>Anecdotal Sensitivity Signal</x:v>
      </x:c>
      <x:c r="K712" s="56" t="str">
        <x:v>Low</x:v>
      </x:c>
      <x:c r="L712" s="56" t="str">
        <x:v>Mixed</x:v>
      </x:c>
      <x:c r="M712" s="56"/>
      <x:c r="N712" s="56" t="str">
        <x:v>No defect or causality finding.</x:v>
      </x:c>
      <x:c r="O712" s="56" t="str">
        <x:v>Codex</x:v>
      </x:c>
    </x:row>
    <x:row r="713" ht="108" customHeight="1">
      <x:c r="A713" s="56" t="str">
        <x:v>SRC-DAL-038</x:v>
      </x:c>
      <x:c r="B713" s="56" t="str">
        <x:v>KB014</x:v>
      </x:c>
      <x:c r="C713" s="56" t="str">
        <x:v>Reddit — value/necessity</x:v>
      </x:c>
      <x:c r="D713" s="56" t="str">
        <x:v>Brand thread describes the mist as a convenient dewy extra but nonessential or ineffective for some.</x:v>
      </x:c>
      <x:c r="E713" s="56" t="str">
        <x:v>Reddit r/AsianBeauty</x:v>
      </x:c>
      <x:c r="F713" s="56" t="str">
        <x:v>https://www.reddit.com/r/AsianBeauty/comments/14m1sgb/thoughts_on_d_alba/</x:v>
      </x:c>
      <x:c r="G713" s="56" t="str">
        <x:v>Consumer Forum</x:v>
      </x:c>
      <x:c r="H713" s="56"/>
      <x:c r="I713" s="56" t="str">
        <x:v>2026-08-01</x:v>
      </x:c>
      <x:c r="J713" s="56" t="str">
        <x:v>Anecdotal Value Signal</x:v>
      </x:c>
      <x:c r="K713" s="56" t="str">
        <x:v>Low</x:v>
      </x:c>
      <x:c r="L713" s="56" t="str">
        <x:v>Mixed</x:v>
      </x:c>
      <x:c r="M713" s="56"/>
      <x:c r="N713" s="56" t="str">
        <x:v>Self-selected discussion.</x:v>
      </x:c>
      <x:c r="O713" s="56" t="str">
        <x:v>Codex</x:v>
      </x:c>
    </x:row>
    <x:row r="714" ht="108" customHeight="1">
      <x:c r="A714" s="56" t="str">
        <x:v>SRC-DAL-039</x:v>
      </x:c>
      <x:c r="B714" s="56" t="str">
        <x:v>KB014</x:v>
      </x:c>
      <x:c r="C714" s="56" t="str">
        <x:v>Jolse review — glow/makeup</x:v>
      </x:c>
      <x:c r="D714" s="56" t="str">
        <x:v>Consumer review praised fine mist, light feel, glow and makeup freshness.</x:v>
      </x:c>
      <x:c r="E714" s="56" t="str">
        <x:v>Jolse</x:v>
      </x:c>
      <x:c r="F714" s="56" t="str">
        <x:v>https://jolse.com/article/product-review/4/249482/</x:v>
      </x:c>
      <x:c r="G714" s="56" t="str">
        <x:v>Retailer Consumer Review</x:v>
      </x:c>
      <x:c r="H714" s="56" t="str">
        <x:v>2025-12-02</x:v>
      </x:c>
      <x:c r="I714" s="56" t="str">
        <x:v>2026-08-01</x:v>
      </x:c>
      <x:c r="J714" s="56" t="str">
        <x:v>Anecdotal Positive Signal</x:v>
      </x:c>
      <x:c r="K714" s="56" t="str">
        <x:v>Low-Medium</x:v>
      </x:c>
      <x:c r="L714" s="56" t="str">
        <x:v>Yes</x:v>
      </x:c>
      <x:c r="M714" s="56"/>
      <x:c r="N714" s="56" t="str">
        <x:v>Single review; retailer rewards may exist.</x:v>
      </x:c>
      <x:c r="O714" s="56" t="str">
        <x:v>Codex</x:v>
      </x:c>
    </x:row>
    <x:row r="715" ht="108" customHeight="1">
      <x:c r="A715" s="56" t="str">
        <x:v>SRC-DAL-040</x:v>
      </x:c>
      <x:c r="B715" s="56" t="str">
        <x:v>KB014</x:v>
      </x:c>
      <x:c r="C715" s="56" t="str">
        <x:v>Jolse review — balanced use</x:v>
      </x:c>
      <x:c r="D715" s="56" t="str">
        <x:v>Consumer review found strong dry-air hydration but weak primer/setting-spray performance.</x:v>
      </x:c>
      <x:c r="E715" s="56" t="str">
        <x:v>Jolse</x:v>
      </x:c>
      <x:c r="F715" s="56" t="str">
        <x:v>https://jolse.com/article/product-review/4/248663/</x:v>
      </x:c>
      <x:c r="G715" s="56" t="str">
        <x:v>Retailer Consumer Review</x:v>
      </x:c>
      <x:c r="H715" s="56" t="str">
        <x:v>2025-11-27</x:v>
      </x:c>
      <x:c r="I715" s="56" t="str">
        <x:v>2026-08-01</x:v>
      </x:c>
      <x:c r="J715" s="56" t="str">
        <x:v>Anecdotal Balanced Signal</x:v>
      </x:c>
      <x:c r="K715" s="56" t="str">
        <x:v>Low-Medium</x:v>
      </x:c>
      <x:c r="L715" s="56" t="str">
        <x:v>Mixed</x:v>
      </x:c>
      <x:c r="M715" s="56"/>
      <x:c r="N715" s="56" t="str">
        <x:v>Single review; retailer rewards may exist.</x:v>
      </x:c>
      <x:c r="O715" s="56" t="str">
        <x:v>Codex</x:v>
      </x:c>
    </x:row>
    <x:row r="716" ht="108" customHeight="1">
      <x:c r="A716" s="56" t="str">
        <x:v>SRC-DAL-041</x:v>
      </x:c>
      <x:c r="B716" s="56" t="str">
        <x:v>KB014</x:v>
      </x:c>
      <x:c r="C716" s="56" t="str">
        <x:v>DailyMed — U.S. sunscreen label</x:v>
      </x:c>
      <x:c r="D716" s="56" t="str">
        <x:v>DailyMed lists DALBA VEGAN TONE-UP SUNSCREEN, active ingredients and NDC 84662-040-03 for 50 mL.</x:v>
      </x:c>
      <x:c r="E716" s="56" t="str">
        <x:v>U.S. National Library of Medicine / FDA label feed</x:v>
      </x:c>
      <x:c r="F716" s="56" t="str">
        <x:v>https://dailymed.nlm.nih.gov/dailymed/lookup.cfm?setid=20adebef-2841-a5c2-e063-6394a90ab063&amp;version=2</x:v>
      </x:c>
      <x:c r="G716" s="56" t="str">
        <x:v>Official Drug Label Database</x:v>
      </x:c>
      <x:c r="H716" s="56"/>
      <x:c r="I716" s="56" t="str">
        <x:v>2026-08-01</x:v>
      </x:c>
      <x:c r="J716" s="56" t="str">
        <x:v>Verified U.S. OTC Label</x:v>
      </x:c>
      <x:c r="K716" s="56" t="str">
        <x:v>High</x:v>
      </x:c>
      <x:c r="L716" s="56" t="str">
        <x:v>Yes</x:v>
      </x:c>
      <x:c r="M716" s="56"/>
      <x:c r="N716" s="56" t="str">
        <x:v>Match exact formula, Drug Facts, NDC, size, artwork and labeler before sale.</x:v>
      </x:c>
      <x:c r="O716" s="56" t="str">
        <x:v>Codex</x:v>
      </x:c>
    </x:row>
    <x:row r="717" ht="108" customHeight="1">
      <x:c r="A717" s="56" t="str">
        <x:v>SRC-DAL-042</x:v>
      </x:c>
      <x:c r="B717" s="56" t="str">
        <x:v>KB014</x:v>
      </x:c>
      <x:c r="C717" s="56" t="str">
        <x:v>FDA — MoCRA registration/listing</x:v>
      </x:c>
      <x:c r="D717" s="56" t="str">
        <x:v>FDA requires cosmetic facility registration and product listing subject to exemptions and update schedules.</x:v>
      </x:c>
      <x:c r="E717" s="56" t="str">
        <x:v>U.S. FDA</x:v>
      </x:c>
      <x:c r="F717" s="56" t="str">
        <x:v>https://www.fda.gov/cosmetics/registration-listing-cosmetic-product-facilities-and-products</x:v>
      </x:c>
      <x:c r="G717" s="56" t="str">
        <x:v>Regulator</x:v>
      </x:c>
      <x:c r="H717" s="56"/>
      <x:c r="I717" s="56" t="str">
        <x:v>2026-08-01</x:v>
      </x:c>
      <x:c r="J717" s="56" t="str">
        <x:v>Verified Regulatory Requirement</x:v>
      </x:c>
      <x:c r="K717" s="56" t="str">
        <x:v>High</x:v>
      </x:c>
      <x:c r="L717" s="56" t="str">
        <x:v>Yes</x:v>
      </x:c>
      <x:c r="M717" s="56"/>
      <x:c r="N717" s="56" t="str">
        <x:v>Registration/listing is not FDA approval; verify exact facilities and responsible person.</x:v>
      </x:c>
      <x:c r="O717" s="56" t="str">
        <x:v>Codex</x:v>
      </x:c>
    </x:row>
    <x:row r="718" ht="108" customHeight="1">
      <x:c r="A718" s="56" t="str">
        <x:v>SRC-DAL-043</x:v>
      </x:c>
      <x:c r="B718" s="56" t="str">
        <x:v>KB014</x:v>
      </x:c>
      <x:c r="C718" s="56" t="str">
        <x:v>FDA — cosmetic claims</x:v>
      </x:c>
      <x:c r="D718" s="56" t="str">
        <x:v>Claims must be truthful and not misleading; disease or structure/function claims can make a cosmetic a drug.</x:v>
      </x:c>
      <x:c r="E718" s="56" t="str">
        <x:v>U.S. FDA</x:v>
      </x:c>
      <x:c r="F718" s="56" t="str">
        <x:v>https://www.fda.gov/cosmetics/cosmetics-labeling/cosmetics-labeling-claims</x:v>
      </x:c>
      <x:c r="G718" s="56" t="str">
        <x:v>Regulator</x:v>
      </x:c>
      <x:c r="H718" s="56"/>
      <x:c r="I718" s="56" t="str">
        <x:v>2026-08-01</x:v>
      </x:c>
      <x:c r="J718" s="56" t="str">
        <x:v>Verified Regulatory Requirement</x:v>
      </x:c>
      <x:c r="K718" s="56" t="str">
        <x:v>High</x:v>
      </x:c>
      <x:c r="L718" s="56" t="str">
        <x:v>Yes</x:v>
      </x:c>
      <x:c r="M718" s="56"/>
      <x:c r="N718" s="56" t="str">
        <x:v>Review penetration, rosacea, lifting, wrinkle, dark-spot, collagen and Volufiline claims.</x:v>
      </x:c>
      <x:c r="O718" s="56" t="str">
        <x:v>Codex</x:v>
      </x:c>
    </x:row>
    <x:row r="719" ht="108" customHeight="1">
      <x:c r="A719" s="56" t="str">
        <x:v>SRC-DAL-044</x:v>
      </x:c>
      <x:c r="B719" s="56" t="str">
        <x:v>KB014</x:v>
      </x:c>
      <x:c r="C719" s="56" t="str">
        <x:v>FDA — importing cosmetics</x:v>
      </x:c>
      <x:c r="D719" s="56" t="str">
        <x:v>Imported cosmetics must comply with U.S. requirements for safety, labeling and entry.</x:v>
      </x:c>
      <x:c r="E719" s="56" t="str">
        <x:v>U.S. FDA</x:v>
      </x:c>
      <x:c r="F719" s="56" t="str">
        <x:v>https://www.fda.gov/industry/importing-fda-regulated-products/importing-cosmetics</x:v>
      </x:c>
      <x:c r="G719" s="56" t="str">
        <x:v>Regulator</x:v>
      </x:c>
      <x:c r="H719" s="56"/>
      <x:c r="I719" s="56" t="str">
        <x:v>2026-08-01</x:v>
      </x:c>
      <x:c r="J719" s="56" t="str">
        <x:v>Verified Import Requirement</x:v>
      </x:c>
      <x:c r="K719" s="56" t="str">
        <x:v>High</x:v>
      </x:c>
      <x:c r="L719" s="56" t="str">
        <x:v>Yes</x:v>
      </x:c>
      <x:c r="M719" s="56"/>
      <x:c r="N719" s="56" t="str">
        <x:v>Confirm importer, product codes, labels, formulas and claims.</x:v>
      </x:c>
      <x:c r="O719" s="56" t="str">
        <x:v>Codex</x:v>
      </x:c>
    </x:row>
    <x:row r="720" ht="108" customHeight="1">
      <x:c r="A720" s="56" t="str">
        <x:v>SRC-DAL-045</x:v>
      </x:c>
      <x:c r="B720" s="56" t="str">
        <x:v>KB014</x:v>
      </x:c>
      <x:c r="C720" s="56" t="str">
        <x:v>FDA — sunscreen OTC obligations</x:v>
      </x:c>
      <x:c r="D720" s="56" t="str">
        <x:v>Sunscreen marketed in the U.S. is an OTC drug and must follow applicable monograph, labeling and manufacturing requirements.</x:v>
      </x:c>
      <x:c r="E720" s="56" t="str">
        <x:v>U.S. FDA</x:v>
      </x:c>
      <x:c r="F720" s="56" t="str">
        <x:v>https://www.fda.gov/drugs/otc-drug-review-process-nonprescription-drug-monographs/sunscreen-drug-products-marketed-without-approved-application</x:v>
      </x:c>
      <x:c r="G720" s="56" t="str">
        <x:v>Regulator</x:v>
      </x:c>
      <x:c r="H720" s="56"/>
      <x:c r="I720" s="56" t="str">
        <x:v>2026-08-01</x:v>
      </x:c>
      <x:c r="J720" s="56" t="str">
        <x:v>Verified OTC Drug Requirement</x:v>
      </x:c>
      <x:c r="K720" s="56" t="str">
        <x:v>High</x:v>
      </x:c>
      <x:c r="L720" s="56" t="str">
        <x:v>Yes</x:v>
      </x:c>
      <x:c r="M720" s="56"/>
      <x:c r="N720" s="56" t="str">
        <x:v>Use exact U.S. formula/label; do not substitute foreign-market SPF.</x:v>
      </x:c>
      <x:c r="O720" s="56" t="str">
        <x:v>Codex</x:v>
      </x:c>
    </x:row>
    <x:row r="721" ht="108" customHeight="1">
      <x:c r="A721" s="56" t="str">
        <x:v>SRC-DAL-046</x:v>
      </x:c>
      <x:c r="B721" s="56" t="str">
        <x:v>KB014</x:v>
      </x:c>
      <x:c r="C721" s="56" t="str">
        <x:v>Competitor — Peach &amp; Lily mist</x:v>
      </x:c>
      <x:c r="D721" s="56" t="str">
        <x:v>Ulta lists Glass Skin Veil Mist 100 mL at $31 with 4.5/905 and fragrance-free positioning.</x:v>
      </x:c>
      <x:c r="E721" s="56" t="str">
        <x:v>Ulta / Peach &amp; Lily</x:v>
      </x:c>
      <x:c r="F721" s="56" t="str">
        <x:v>https://www.ulta.com/p/glass-skin-veil-mist-pimprod2018593?sku=2568145</x:v>
      </x:c>
      <x:c r="G721" s="56" t="str">
        <x:v>Authorized Competitor Retailer</x:v>
      </x:c>
      <x:c r="H721" s="56"/>
      <x:c r="I721" s="56" t="str">
        <x:v>2026-08-01</x:v>
      </x:c>
      <x:c r="J721" s="56" t="str">
        <x:v>Verified Competitor Fact</x:v>
      </x:c>
      <x:c r="K721" s="56" t="str">
        <x:v>High</x:v>
      </x:c>
      <x:c r="L721" s="56" t="str">
        <x:v>Yes</x:v>
      </x:c>
      <x:c r="M721" s="56"/>
      <x:c r="N721" s="56" t="str">
        <x:v>Price and reviews change.</x:v>
      </x:c>
      <x:c r="O721" s="56" t="str">
        <x:v>Codex</x:v>
      </x:c>
    </x:row>
    <x:row r="722" ht="108" customHeight="1">
      <x:c r="A722" s="56" t="str">
        <x:v>SRC-DAL-047</x:v>
      </x:c>
      <x:c r="B722" s="56" t="str">
        <x:v>KB014</x:v>
      </x:c>
      <x:c r="C722" s="56" t="str">
        <x:v>Competitor — Tatcha mist</x:v>
      </x:c>
      <x:c r="D722" s="56" t="str">
        <x:v>Sephora U.S. lists Luminous Dewy Skin Mist 40 mL at $50 with about 2.2K reviews.</x:v>
      </x:c>
      <x:c r="E722" s="56" t="str">
        <x:v>Sephora / Tatcha</x:v>
      </x:c>
      <x:c r="F722" s="56" t="str">
        <x:v>https://www.sephora.com/product/luminous-dewy-skin-mist-P399623</x:v>
      </x:c>
      <x:c r="G722" s="56" t="str">
        <x:v>Authorized Competitor Retailer</x:v>
      </x:c>
      <x:c r="H722" s="56"/>
      <x:c r="I722" s="56" t="str">
        <x:v>2026-08-01</x:v>
      </x:c>
      <x:c r="J722" s="56" t="str">
        <x:v>Verified Competitor Fact</x:v>
      </x:c>
      <x:c r="K722" s="56" t="str">
        <x:v>High</x:v>
      </x:c>
      <x:c r="L722" s="56" t="str">
        <x:v>Yes</x:v>
      </x:c>
      <x:c r="M722" s="56"/>
      <x:c r="N722" s="56" t="str">
        <x:v>Price and reviews change.</x:v>
      </x:c>
      <x:c r="O722" s="56" t="str">
        <x:v>Codex</x:v>
      </x:c>
    </x:row>
    <x:row r="723" ht="108" customHeight="1">
      <x:c r="A723" s="56" t="str">
        <x:v>SRC-DAL-048</x:v>
      </x:c>
      <x:c r="B723" s="56" t="str">
        <x:v>KB014</x:v>
      </x:c>
      <x:c r="C723" s="56" t="str">
        <x:v>Competitor — KAHI balm</x:v>
      </x:c>
      <x:c r="D723" s="56" t="str">
        <x:v>Ulta lists Wrinkle Bounce Multi Balm at $28.</x:v>
      </x:c>
      <x:c r="E723" s="56" t="str">
        <x:v>Ulta / KAHI</x:v>
      </x:c>
      <x:c r="F723" s="56" t="str">
        <x:v>https://www.ulta.com/p/wrinkle-bounce-multi-balm-mkt77001618?sku=77002706</x:v>
      </x:c>
      <x:c r="G723" s="56" t="str">
        <x:v>Authorized Competitor Retailer</x:v>
      </x:c>
      <x:c r="H723" s="56"/>
      <x:c r="I723" s="56" t="str">
        <x:v>2026-08-01</x:v>
      </x:c>
      <x:c r="J723" s="56" t="str">
        <x:v>Verified Competitor Fact</x:v>
      </x:c>
      <x:c r="K723" s="56" t="str">
        <x:v>High</x:v>
      </x:c>
      <x:c r="L723" s="56" t="str">
        <x:v>Yes</x:v>
      </x:c>
      <x:c r="M723" s="56"/>
      <x:c r="N723" s="56" t="str">
        <x:v>Price and reviews change.</x:v>
      </x:c>
      <x:c r="O723" s="56" t="str">
        <x:v>Codex</x:v>
      </x:c>
    </x:row>
    <x:row r="724" ht="108" customHeight="1">
      <x:c r="A724" s="56" t="str">
        <x:v>SRC-DAL-049</x:v>
      </x:c>
      <x:c r="B724" s="56" t="str">
        <x:v>KB014</x:v>
      </x:c>
      <x:c r="C724" s="56" t="str">
        <x:v>Competitor — Medicube cream</x:v>
      </x:c>
      <x:c r="D724" s="56" t="str">
        <x:v>Ulta lists Collagen Niacinamide Jelly Cream 105 mL at $22 with about 3.6/111.</x:v>
      </x:c>
      <x:c r="E724" s="56" t="str">
        <x:v>Ulta / Medicube</x:v>
      </x:c>
      <x:c r="F724" s="56" t="str">
        <x:v>https://www.ulta.com/p/collagen-niacinamide-jelly-cream-pimprod2053650?sku=2645369</x:v>
      </x:c>
      <x:c r="G724" s="56" t="str">
        <x:v>Authorized Competitor Retailer</x:v>
      </x:c>
      <x:c r="H724" s="56"/>
      <x:c r="I724" s="56" t="str">
        <x:v>2026-08-01</x:v>
      </x:c>
      <x:c r="J724" s="56" t="str">
        <x:v>Verified Competitor Fact</x:v>
      </x:c>
      <x:c r="K724" s="56" t="str">
        <x:v>High</x:v>
      </x:c>
      <x:c r="L724" s="56" t="str">
        <x:v>Yes</x:v>
      </x:c>
      <x:c r="M724" s="56"/>
      <x:c r="N724" s="56" t="str">
        <x:v>Price, rating and reviews change.</x:v>
      </x:c>
      <x:c r="O724" s="56" t="str">
        <x:v>Codex</x:v>
      </x:c>
    </x:row>
    <x:row r="725" ht="108" customHeight="1">
      <x:c r="A725" s="56" t="str">
        <x:v>SRC-DAL-050</x:v>
      </x:c>
      <x:c r="B725" s="56" t="str">
        <x:v>KB014</x:v>
      </x:c>
      <x:c r="C725" s="56" t="str">
        <x:v>Competitor — Beauty of Joseon SPF</x:v>
      </x:c>
      <x:c r="D725" s="56" t="str">
        <x:v>Sephora U.S. lists Day Dew Sunscreen Lightweight SPF 50 50 mL at $18 with about 449 reviews.</x:v>
      </x:c>
      <x:c r="E725" s="56" t="str">
        <x:v>Sephora / Beauty of Joseon</x:v>
      </x:c>
      <x:c r="F725" s="56" t="str">
        <x:v>https://www.sephora.com/product/day-dew-sunscreen-exclusive-50ml-P517678</x:v>
      </x:c>
      <x:c r="G725" s="56" t="str">
        <x:v>Authorized Competitor Retailer</x:v>
      </x:c>
      <x:c r="H725" s="56"/>
      <x:c r="I725" s="56" t="str">
        <x:v>2026-08-01</x:v>
      </x:c>
      <x:c r="J725" s="56" t="str">
        <x:v>Verified Competitor Fact</x:v>
      </x:c>
      <x:c r="K725" s="56" t="str">
        <x:v>High</x:v>
      </x:c>
      <x:c r="L725" s="56" t="str">
        <x:v>Yes</x:v>
      </x:c>
      <x:c r="M725" s="56"/>
      <x:c r="N725" s="56" t="str">
        <x:v>Price and reviews change; exact U.S. formula only.</x:v>
      </x:c>
      <x:c r="O725" s="56" t="str">
        <x:v>Codex</x:v>
      </x:c>
    </x:row>
    <x:row r="726" ht="108" customHeight="1">
      <x:c r="A726" s="56" t="str">
        <x:v>SRC-DAL-051</x:v>
      </x:c>
      <x:c r="B726" s="56" t="str">
        <x:v>KB014</x:v>
      </x:c>
      <x:c r="C726" s="56" t="str">
        <x:v>Current public-company context</x:v>
      </x:c>
      <x:c r="D726" s="56" t="str">
        <x:v>Official IR page lists current 2026 materials and supports ongoing public-company disclosure and U.S. expansion monitoring.</x:v>
      </x:c>
      <x:c r="E726" s="56" t="str">
        <x:v>d'Alba Global IR</x:v>
      </x:c>
      <x:c r="F726" s="56" t="str">
        <x:v>https://www.dalbaglobal.com/main/ir_material.php</x:v>
      </x:c>
      <x:c r="G726" s="56" t="str">
        <x:v>Official Investor Relations</x:v>
      </x:c>
      <x:c r="H726" s="56"/>
      <x:c r="I726" s="56" t="str">
        <x:v>2026-08-01</x:v>
      </x:c>
      <x:c r="J726" s="56" t="str">
        <x:v>Verified Corporate Context</x:v>
      </x:c>
      <x:c r="K726" s="56" t="str">
        <x:v>High</x:v>
      </x:c>
      <x:c r="L726" s="56" t="str">
        <x:v>Yes</x:v>
      </x:c>
      <x:c r="M726" s="56"/>
      <x:c r="N726" s="56" t="str">
        <x:v>Monitor newer filings for updated North America channel data.</x:v>
      </x:c>
      <x:c r="O726" s="56" t="str">
        <x:v>Codex</x:v>
      </x:c>
    </x:row>
    <x:row r="727" ht="108" customHeight="1">
      <x:c r="A727" s="56" t="str">
        <x:v>SRC-DAL-052</x:v>
      </x:c>
      <x:c r="B727" s="56" t="str">
        <x:v>KB014</x:v>
      </x:c>
      <x:c r="C727" s="56" t="str">
        <x:v>Walmart seller provenance</x:v>
      </x:c>
      <x:c r="D727" s="56" t="str">
        <x:v>Current Walmart page identified T.E.R Glow as seller/shipper, while past reviews referenced other sellers, reinforcing seller-level diligence.</x:v>
      </x:c>
      <x:c r="E727" s="56" t="str">
        <x:v>Walmart</x:v>
      </x:c>
      <x:c r="F727" s="56" t="str">
        <x:v>https://www.walmart.com/ip/18232074570</x:v>
      </x:c>
      <x:c r="G727" s="56" t="str">
        <x:v>Marketplace Seller Display</x:v>
      </x:c>
      <x:c r="H727" s="56"/>
      <x:c r="I727" s="56" t="str">
        <x:v>2026-08-01</x:v>
      </x:c>
      <x:c r="J727" s="56" t="str">
        <x:v>Verified Gray-Market / Provenance Risk</x:v>
      </x:c>
      <x:c r="K727" s="56" t="str">
        <x:v>Medium-High</x:v>
      </x:c>
      <x:c r="L727" s="56" t="str">
        <x:v>Yes</x:v>
      </x:c>
      <x:c r="M727" s="56"/>
      <x:c r="N727" s="56" t="str">
        <x:v>Seller can change; verify authorization, invoice chain, lot and regional formula.</x:v>
      </x:c>
      <x:c r="O727" s="56" t="str">
        <x:v>Codex</x:v>
      </x:c>
    </x:row>
    <x:row r="728" ht="110" customHeight="1">
      <x:c r="A728" s="56" t="str">
        <x:v>SRC-SBM-001</x:v>
      </x:c>
      <x:c r="B728" s="56" t="str">
        <x:v>KB015</x:v>
      </x:c>
      <x:c r="C728" s="56" t="str">
        <x:v>Controlling Source fields</x:v>
      </x:c>
      <x:c r="D728" s="56" t="str">
        <x:v>Source workbook records somebymi.com, Skincare, the Miracle toner before-and-after awareness story and top global acne-care Amazon cumulative sales claim.</x:v>
      </x:c>
      <x:c r="E728" s="56" t="str">
        <x:v>Top40 K-Beauty Global Rankings</x:v>
      </x:c>
      <x:c r="F728" s="56" t="str">
        <x:v>https://somebymi.com</x:v>
      </x:c>
      <x:c r="G728" s="56" t="str">
        <x:v>User-provided controlling source</x:v>
      </x:c>
      <x:c r="H728" s="56"/>
      <x:c r="I728" s="56" t="str">
        <x:v>2026-08-01</x:v>
      </x:c>
      <x:c r="J728" s="56" t="str">
        <x:v>Preserved Source Information</x:v>
      </x:c>
      <x:c r="K728" s="56" t="str">
        <x:v>High</x:v>
      </x:c>
      <x:c r="L728" s="56" t="str">
        <x:v>Yes</x:v>
      </x:c>
      <x:c r="M728" s="56"/>
      <x:c r="N728" s="56" t="str">
        <x:v>Source columns E:H were preserved unchanged; verified findings are separate.</x:v>
      </x:c>
      <x:c r="O728" s="56" t="str">
        <x:v>Codex</x:v>
      </x:c>
    </x:row>
    <x:row r="729" ht="110" customHeight="1">
      <x:c r="A729" s="56" t="str">
        <x:v>SRC-SBM-002</x:v>
      </x:c>
      <x:c r="B729" s="56" t="str">
        <x:v>KB015</x:v>
      </x:c>
      <x:c r="C729" s="56" t="str">
        <x:v>Core verification — Official Website</x:v>
      </x:c>
      <x:c r="D729" s="56" t="str">
        <x:v>somebymi.com is an official brand domain and resolves to the PERENNEBELL-operated SOMEBYMI HQ storefront.</x:v>
      </x:c>
      <x:c r="E729" s="56" t="str">
        <x:v>SOMEBYMI Official Store</x:v>
      </x:c>
      <x:c r="F729" s="56" t="str">
        <x:v>https://somebymi.com</x:v>
      </x:c>
      <x:c r="G729" s="56" t="str">
        <x:v>Official Brand Site</x:v>
      </x:c>
      <x:c r="H729" s="56"/>
      <x:c r="I729" s="56" t="str">
        <x:v>2026-08-01</x:v>
      </x:c>
      <x:c r="J729" s="56" t="str">
        <x:v>Verified Fact</x:v>
      </x:c>
      <x:c r="K729" s="56" t="str">
        <x:v>High</x:v>
      </x:c>
      <x:c r="L729" s="56" t="str">
        <x:v>Yes</x:v>
      </x:c>
      <x:c r="M729" s="56"/>
      <x:c r="N729" s="56" t="str">
        <x:v>No standalone U.S. DTC storefront was independently identified.</x:v>
      </x:c>
      <x:c r="O729" s="56" t="str">
        <x:v>Codex</x:v>
      </x:c>
    </x:row>
    <x:row r="730" ht="110" customHeight="1">
      <x:c r="A730" s="56" t="str">
        <x:v>SRC-SBM-003</x:v>
      </x:c>
      <x:c r="B730" s="56" t="str">
        <x:v>KB015</x:v>
      </x:c>
      <x:c r="C730" s="56" t="str">
        <x:v>Company identity and contact</x:v>
      </x:c>
      <x:c r="D730" s="56" t="str">
        <x:v>Official footer identifies PERENNEBELL Co., Ltd., CEO Jin Yoon-jin, Seoul address, retail/customer contacts and global@somebymi.com for overseas export/partnership.</x:v>
      </x:c>
      <x:c r="E730" s="56" t="str">
        <x:v>SOMEBYMI Official Store</x:v>
      </x:c>
      <x:c r="F730" s="56" t="str">
        <x:v>https://somebymi.co.kr/shopinfo/guide.html</x:v>
      </x:c>
      <x:c r="G730" s="56" t="str">
        <x:v>Official Company Page</x:v>
      </x:c>
      <x:c r="H730" s="56"/>
      <x:c r="I730" s="56" t="str">
        <x:v>2026-08-01</x:v>
      </x:c>
      <x:c r="J730" s="56" t="str">
        <x:v>Verified Company / Contact Fact</x:v>
      </x:c>
      <x:c r="K730" s="56" t="str">
        <x:v>High</x:v>
      </x:c>
      <x:c r="L730" s="56" t="str">
        <x:v>Yes</x:v>
      </x:c>
      <x:c r="M730" s="56"/>
      <x:c r="N730" s="56" t="str">
        <x:v>Confirm exact U.S. contracting, importer and responsible-person roles.</x:v>
      </x:c>
      <x:c r="O730" s="56" t="str">
        <x:v>Codex</x:v>
      </x:c>
    </x:row>
    <x:row r="731" ht="110" customHeight="1">
      <x:c r="A731" s="56" t="str">
        <x:v>SRC-SBM-004</x:v>
      </x:c>
      <x:c r="B731" s="56" t="str">
        <x:v>KB015</x:v>
      </x:c>
      <x:c r="C731" s="56" t="str">
        <x:v>Authorized seller map</x:v>
      </x:c>
      <x:c r="D731" s="56" t="str">
        <x:v>Official stockist page names Amazon as the U.S. official mall, Costco as authorized U.S. seller, and iHerb/Jolse/Olive Young Global/StyleKorean/Stylevana/YesStyle as global partners.</x:v>
      </x:c>
      <x:c r="E731" s="56" t="str">
        <x:v>SOMEBYMI Official Store</x:v>
      </x:c>
      <x:c r="F731" s="56" t="str">
        <x:v>https://somebymi.co.kr/store.html</x:v>
      </x:c>
      <x:c r="G731" s="56" t="str">
        <x:v>Official Stockist Page</x:v>
      </x:c>
      <x:c r="H731" s="56"/>
      <x:c r="I731" s="56" t="str">
        <x:v>2026-08-01</x:v>
      </x:c>
      <x:c r="J731" s="56" t="str">
        <x:v>Verified Authorization Fact</x:v>
      </x:c>
      <x:c r="K731" s="56" t="str">
        <x:v>High</x:v>
      </x:c>
      <x:c r="L731" s="56" t="str">
        <x:v>Yes</x:v>
      </x:c>
      <x:c r="M731" s="56"/>
      <x:c r="N731" s="56" t="str">
        <x:v>Authorization does not prove current item-level inventory or U.S. rights for every SKU.</x:v>
      </x:c>
      <x:c r="O731" s="56" t="str">
        <x:v>Codex</x:v>
      </x:c>
    </x:row>
    <x:row r="732" ht="110" customHeight="1">
      <x:c r="A732" s="56" t="str">
        <x:v>SRC-SBM-005</x:v>
      </x:c>
      <x:c r="B732" s="56" t="str">
        <x:v>KB015</x:v>
      </x:c>
      <x:c r="C732" s="56" t="str">
        <x:v>Official global social hub</x:v>
      </x:c>
      <x:c r="D732" s="56" t="str">
        <x:v>Verified global Linktree routes to the official website, social accounts, U.S. Amazon and authorized-seller map.</x:v>
      </x:c>
      <x:c r="E732" s="56" t="str">
        <x:v>SOMEBYMI Linktree</x:v>
      </x:c>
      <x:c r="F732" s="56" t="str">
        <x:v>https://linktr.ee/somebymi_global</x:v>
      </x:c>
      <x:c r="G732" s="56" t="str">
        <x:v>Official Link Hub</x:v>
      </x:c>
      <x:c r="H732" s="56"/>
      <x:c r="I732" s="56" t="str">
        <x:v>2026-08-01</x:v>
      </x:c>
      <x:c r="J732" s="56" t="str">
        <x:v>Verified Account Fact</x:v>
      </x:c>
      <x:c r="K732" s="56" t="str">
        <x:v>High</x:v>
      </x:c>
      <x:c r="L732" s="56" t="str">
        <x:v>Yes</x:v>
      </x:c>
      <x:c r="M732" s="56"/>
      <x:c r="N732" s="56" t="str">
        <x:v>Platform links and campaigns change.</x:v>
      </x:c>
      <x:c r="O732" s="56" t="str">
        <x:v>Codex</x:v>
      </x:c>
    </x:row>
    <x:row r="733" ht="110" customHeight="1">
      <x:c r="A733" s="56" t="str">
        <x:v>SRC-SBM-006</x:v>
      </x:c>
      <x:c r="B733" s="56" t="str">
        <x:v>KB015</x:v>
      </x:c>
      <x:c r="C733" s="56" t="str">
        <x:v>Official U.S. social and retailer hub</x:v>
      </x:c>
      <x:c r="D733" s="56" t="str">
        <x:v>Official U.S. Linktree routes to U.S. Instagram, TikTok, YouTube, Amazon, Ulta and TikTok Shop and advertises Amazon associate/affiliate recruitment.</x:v>
      </x:c>
      <x:c r="E733" s="56" t="str">
        <x:v>SOME BY MI USA Linktree</x:v>
      </x:c>
      <x:c r="F733" s="56" t="str">
        <x:v>https://linktr.ee/somebymi.official_us</x:v>
      </x:c>
      <x:c r="G733" s="56" t="str">
        <x:v>Official U.S. Link Hub</x:v>
      </x:c>
      <x:c r="H733" s="56"/>
      <x:c r="I733" s="56" t="str">
        <x:v>2026-08-01</x:v>
      </x:c>
      <x:c r="J733" s="56" t="str">
        <x:v>Verified U.S. Channel Fact</x:v>
      </x:c>
      <x:c r="K733" s="56" t="str">
        <x:v>High</x:v>
      </x:c>
      <x:c r="L733" s="56" t="str">
        <x:v>Yes</x:v>
      </x:c>
      <x:c r="M733" s="56"/>
      <x:c r="N733" s="56" t="str">
        <x:v>Affiliate activity increases channel-control needs.</x:v>
      </x:c>
      <x:c r="O733" s="56" t="str">
        <x:v>Codex</x:v>
      </x:c>
    </x:row>
    <x:row r="734" ht="110" customHeight="1">
      <x:c r="A734" s="56" t="str">
        <x:v>SRC-SBM-007</x:v>
      </x:c>
      <x:c r="B734" s="56" t="str">
        <x:v>KB015</x:v>
      </x:c>
      <x:c r="C734" s="56" t="str">
        <x:v>Core verification — Primary Category</x:v>
      </x:c>
      <x:c r="D734" s="56" t="str">
        <x:v>Official catalog and U.S. retailer assortment are predominantly skincare, including acne/texture, body care, retinol, brightening, barrier, pore and sunscreen lines.</x:v>
      </x:c>
      <x:c r="E734" s="56" t="str">
        <x:v>SOMEBYMI Official Store</x:v>
      </x:c>
      <x:c r="F734" s="56" t="str">
        <x:v>https://somebymi.co.kr/</x:v>
      </x:c>
      <x:c r="G734" s="56" t="str">
        <x:v>Official Catalog</x:v>
      </x:c>
      <x:c r="H734" s="56"/>
      <x:c r="I734" s="56" t="str">
        <x:v>2026-08-01</x:v>
      </x:c>
      <x:c r="J734" s="56" t="str">
        <x:v>Verified Category Fact</x:v>
      </x:c>
      <x:c r="K734" s="56" t="str">
        <x:v>High</x:v>
      </x:c>
      <x:c r="L734" s="56" t="str">
        <x:v>Yes</x:v>
      </x:c>
      <x:c r="M734" s="56"/>
      <x:c r="N734" s="56" t="str">
        <x:v>Primary category remains Skincare; OTC drug status is SKU-specific.</x:v>
      </x:c>
      <x:c r="O734" s="56" t="str">
        <x:v>Codex</x:v>
      </x:c>
    </x:row>
    <x:row r="735" ht="110" customHeight="1">
      <x:c r="A735" s="56" t="str">
        <x:v>SRC-SBM-008</x:v>
      </x:c>
      <x:c r="B735" s="56" t="str">
        <x:v>KB015</x:v>
      </x:c>
      <x:c r="C735" s="56" t="str">
        <x:v>Brand positioning</x:v>
      </x:c>
      <x:c r="D735" s="56" t="str">
        <x:v>Official social hub uses 'From Clean to Clinical, New Cleanical Solution'; the brand emphasizes troubled/sensitive-looking skin and ingredient-led problem solving.</x:v>
      </x:c>
      <x:c r="E735" s="56" t="str">
        <x:v>SOMEBYMI Linktree</x:v>
      </x:c>
      <x:c r="F735" s="56" t="str">
        <x:v>https://linktr.ee/somebymi_global</x:v>
      </x:c>
      <x:c r="G735" s="56" t="str">
        <x:v>Official Brand Positioning</x:v>
      </x:c>
      <x:c r="H735" s="56"/>
      <x:c r="I735" s="56" t="str">
        <x:v>2026-08-01</x:v>
      </x:c>
      <x:c r="J735" s="56" t="str">
        <x:v>Verified Brand Positioning</x:v>
      </x:c>
      <x:c r="K735" s="56" t="str">
        <x:v>High</x:v>
      </x:c>
      <x:c r="L735" s="56" t="str">
        <x:v>Yes</x:v>
      </x:c>
      <x:c r="M735" s="56"/>
      <x:c r="N735" s="56" t="str">
        <x:v>Clinical-sounding language and efficacy claims require U.S. substantiation review.</x:v>
      </x:c>
      <x:c r="O735" s="56" t="str">
        <x:v>Codex</x:v>
      </x:c>
    </x:row>
    <x:row r="736" ht="110" customHeight="1">
      <x:c r="A736" s="56" t="str">
        <x:v>SRC-SBM-009</x:v>
      </x:c>
      <x:c r="B736" s="56" t="str">
        <x:v>KB015</x:v>
      </x:c>
      <x:c r="C736" s="56" t="str">
        <x:v>Historical company context</x:v>
      </x:c>
      <x:c r="D736" s="56" t="str">
        <x:v>Korean business reporting stated PERENNEBELL was founded in 2016 and reported 2020 revenue of KRW 72.7 billion with about 95% overseas; this is historical third-party reporting.</x:v>
      </x:c>
      <x:c r="E736" s="56" t="str">
        <x:v>The Bell</x:v>
      </x:c>
      <x:c r="F736" s="56" t="str">
        <x:v>https://m.thebell.co.kr/m/newsview.asp?newskey=202109241617549480103047&amp;svccode=</x:v>
      </x:c>
      <x:c r="G736" s="56" t="str">
        <x:v>Business Reporting</x:v>
      </x:c>
      <x:c r="H736" s="56"/>
      <x:c r="I736" s="56" t="str">
        <x:v>2026-08-01</x:v>
      </x:c>
      <x:c r="J736" s="56" t="str">
        <x:v>Historical Context</x:v>
      </x:c>
      <x:c r="K736" s="56" t="str">
        <x:v>Medium</x:v>
      </x:c>
      <x:c r="L736" s="56" t="str">
        <x:v>Yes</x:v>
      </x:c>
      <x:c r="M736" s="56"/>
      <x:c r="N736" s="56" t="str">
        <x:v>Not current audited U.S. revenue; use only for history/context.</x:v>
      </x:c>
      <x:c r="O736" s="56" t="str">
        <x:v>Codex</x:v>
      </x:c>
    </x:row>
    <x:row r="737" ht="110" customHeight="1">
      <x:c r="A737" s="56" t="str">
        <x:v>SRC-SBM-010</x:v>
      </x:c>
      <x:c r="B737" s="56" t="str">
        <x:v>KB015</x:v>
      </x:c>
      <x:c r="C737" s="56" t="str">
        <x:v>Core verification — Amazon official store</x:v>
      </x:c>
      <x:c r="D737" s="56" t="str">
        <x:v>Official brand/Linktree pages identify the Amazon U.S. SOMEBYMI store; sampled product pages link back to that brand store.</x:v>
      </x:c>
      <x:c r="E737" s="56" t="str">
        <x:v>Amazon U.S.</x:v>
      </x:c>
      <x:c r="F737" s="56" t="str">
        <x:v>https://www.amazon.com/stores/SOMEBYMI/page/D69C89D1-E451-454B-BC24-D98FCFE6768B</x:v>
      </x:c>
      <x:c r="G737" s="56" t="str">
        <x:v>Marketplace / Official Seller Context</x:v>
      </x:c>
      <x:c r="H737" s="56"/>
      <x:c r="I737" s="56" t="str">
        <x:v>2026-08-01</x:v>
      </x:c>
      <x:c r="J737" s="56" t="str">
        <x:v>Verified Official-Seller Context</x:v>
      </x:c>
      <x:c r="K737" s="56" t="str">
        <x:v>High</x:v>
      </x:c>
      <x:c r="L737" s="56" t="str">
        <x:v>Yes</x:v>
      </x:c>
      <x:c r="M737" s="56"/>
      <x:c r="N737" s="56" t="str">
        <x:v>Seller and fulfillment displays are dynamic.</x:v>
      </x:c>
      <x:c r="O737" s="56" t="str">
        <x:v>Codex</x:v>
      </x:c>
    </x:row>
    <x:row r="738" ht="110" customHeight="1">
      <x:c r="A738" s="56" t="str">
        <x:v>SRC-SBM-011</x:v>
      </x:c>
      <x:c r="B738" s="56" t="str">
        <x:v>KB015</x:v>
      </x:c>
      <x:c r="C738" s="56" t="str">
        <x:v>Amazon — Body Cleanser</x:v>
      </x:c>
      <x:c r="D738" s="56" t="str">
        <x:v>ASIN B087LYWWW4 showed 10K+ bought/month, $19.90, 4.5/2,738, Ships from Amazon and Sold by SOME BY MI_Official.</x:v>
      </x:c>
      <x:c r="E738" s="56" t="str">
        <x:v>Amazon U.S.</x:v>
      </x:c>
      <x:c r="F738" s="56" t="str">
        <x:v>https://www.amazon.com/dp/B087LYWWW4</x:v>
      </x:c>
      <x:c r="G738" s="56" t="str">
        <x:v>Marketplace Display</x:v>
      </x:c>
      <x:c r="H738" s="56"/>
      <x:c r="I738" s="56" t="str">
        <x:v>2026-08-01</x:v>
      </x:c>
      <x:c r="J738" s="56" t="str">
        <x:v>Verified Platform Display</x:v>
      </x:c>
      <x:c r="K738" s="56" t="str">
        <x:v>High</x:v>
      </x:c>
      <x:c r="L738" s="56" t="str">
        <x:v>Yes</x:v>
      </x:c>
      <x:c r="M738" s="56"/>
      <x:c r="N738" s="56" t="str">
        <x:v>Dynamic proxy; not audited revenue.</x:v>
      </x:c>
      <x:c r="O738" s="56" t="str">
        <x:v>Codex</x:v>
      </x:c>
    </x:row>
    <x:row r="739" ht="110" customHeight="1">
      <x:c r="A739" s="56" t="str">
        <x:v>SRC-SBM-012</x:v>
      </x:c>
      <x:c r="B739" s="56" t="str">
        <x:v>KB015</x:v>
      </x:c>
      <x:c r="C739" s="56" t="str">
        <x:v>Amazon — Miracle Toner</x:v>
      </x:c>
      <x:c r="D739" s="56" t="str">
        <x:v>ASIN B07BYJF7L7 showed 5K+ bought/month, $16.80, 4.6/9,444, Ships from Amazon and Sold by SOME BY MI_Official.</x:v>
      </x:c>
      <x:c r="E739" s="56" t="str">
        <x:v>Amazon U.S.</x:v>
      </x:c>
      <x:c r="F739" s="56" t="str">
        <x:v>https://www.amazon.com/dp/B07BYJF7L7</x:v>
      </x:c>
      <x:c r="G739" s="56" t="str">
        <x:v>Marketplace Display</x:v>
      </x:c>
      <x:c r="H739" s="56"/>
      <x:c r="I739" s="56" t="str">
        <x:v>2026-08-01</x:v>
      </x:c>
      <x:c r="J739" s="56" t="str">
        <x:v>Verified Platform Display</x:v>
      </x:c>
      <x:c r="K739" s="56" t="str">
        <x:v>High</x:v>
      </x:c>
      <x:c r="L739" s="56" t="str">
        <x:v>Yes</x:v>
      </x:c>
      <x:c r="M739" s="56"/>
      <x:c r="N739" s="56" t="str">
        <x:v>Dynamic proxy.</x:v>
      </x:c>
      <x:c r="O739" s="56" t="str">
        <x:v>Codex</x:v>
      </x:c>
    </x:row>
    <x:row r="740" ht="110" customHeight="1">
      <x:c r="A740" s="56" t="str">
        <x:v>SRC-SBM-013</x:v>
      </x:c>
      <x:c r="B740" s="56" t="str">
        <x:v>KB015</x:v>
      </x:c>
      <x:c r="C740" s="56" t="str">
        <x:v>Amazon — Acne Clear Foam</x:v>
      </x:c>
      <x:c r="D740" s="56" t="str">
        <x:v>ASIN B07Q34Y99J showed 3K+ bought/month, $13.30, 4.6/1,983, Ships from Amazon and Sold by SOME BY MI_Official.</x:v>
      </x:c>
      <x:c r="E740" s="56" t="str">
        <x:v>Amazon U.S.</x:v>
      </x:c>
      <x:c r="F740" s="56" t="str">
        <x:v>https://www.amazon.com/dp/B07Q34Y99J</x:v>
      </x:c>
      <x:c r="G740" s="56" t="str">
        <x:v>Marketplace Display</x:v>
      </x:c>
      <x:c r="H740" s="56"/>
      <x:c r="I740" s="56" t="str">
        <x:v>2026-08-01</x:v>
      </x:c>
      <x:c r="J740" s="56" t="str">
        <x:v>Verified Platform Display</x:v>
      </x:c>
      <x:c r="K740" s="56" t="str">
        <x:v>High</x:v>
      </x:c>
      <x:c r="L740" s="56" t="str">
        <x:v>Yes</x:v>
      </x:c>
      <x:c r="M740" s="56"/>
      <x:c r="N740" s="56" t="str">
        <x:v>Exact U.S. OTC size/formula/NDC must be verified.</x:v>
      </x:c>
      <x:c r="O740" s="56" t="str">
        <x:v>Codex</x:v>
      </x:c>
    </x:row>
    <x:row r="741" ht="110" customHeight="1">
      <x:c r="A741" s="56" t="str">
        <x:v>SRC-SBM-014</x:v>
      </x:c>
      <x:c r="B741" s="56" t="str">
        <x:v>KB015</x:v>
      </x:c>
      <x:c r="C741" s="56" t="str">
        <x:v>Amazon — Miracle Cream</x:v>
      </x:c>
      <x:c r="D741" s="56" t="str">
        <x:v>ASIN B07KNP5CG3 showed 1K+ bought/month, $15.80, 4.5/2,915, Ships from Amazon and Sold by SOME BY MI_Official.</x:v>
      </x:c>
      <x:c r="E741" s="56" t="str">
        <x:v>Amazon U.S.</x:v>
      </x:c>
      <x:c r="F741" s="56" t="str">
        <x:v>https://www.amazon.com/dp/B07KNP5CG3</x:v>
      </x:c>
      <x:c r="G741" s="56" t="str">
        <x:v>Marketplace Display</x:v>
      </x:c>
      <x:c r="H741" s="56"/>
      <x:c r="I741" s="56" t="str">
        <x:v>2026-08-01</x:v>
      </x:c>
      <x:c r="J741" s="56" t="str">
        <x:v>Verified Platform Display</x:v>
      </x:c>
      <x:c r="K741" s="56" t="str">
        <x:v>High</x:v>
      </x:c>
      <x:c r="L741" s="56" t="str">
        <x:v>Yes</x:v>
      </x:c>
      <x:c r="M741" s="56"/>
      <x:c r="N741" s="56" t="str">
        <x:v>Dynamic proxy.</x:v>
      </x:c>
      <x:c r="O741" s="56" t="str">
        <x:v>Codex</x:v>
      </x:c>
    </x:row>
    <x:row r="742" ht="110" customHeight="1">
      <x:c r="A742" s="56" t="str">
        <x:v>SRC-SBM-015</x:v>
      </x:c>
      <x:c r="B742" s="56" t="str">
        <x:v>KB015</x:v>
      </x:c>
      <x:c r="C742" s="56" t="str">
        <x:v>Amazon — Retinol Serum</x:v>
      </x:c>
      <x:c r="D742" s="56" t="str">
        <x:v>ASIN B0BXGW8DRP showed 1K+ bought/month, $20.60, 4.3/3,058, Ships from Amazon and Sold by SOME BY MI_Official.</x:v>
      </x:c>
      <x:c r="E742" s="56" t="str">
        <x:v>Amazon U.S.</x:v>
      </x:c>
      <x:c r="F742" s="56" t="str">
        <x:v>https://www.amazon.com/dp/B0BXGW8DRP</x:v>
      </x:c>
      <x:c r="G742" s="56" t="str">
        <x:v>Marketplace Display</x:v>
      </x:c>
      <x:c r="H742" s="56"/>
      <x:c r="I742" s="56" t="str">
        <x:v>2026-08-01</x:v>
      </x:c>
      <x:c r="J742" s="56" t="str">
        <x:v>Verified Platform Display</x:v>
      </x:c>
      <x:c r="K742" s="56" t="str">
        <x:v>High</x:v>
      </x:c>
      <x:c r="L742" s="56" t="str">
        <x:v>Yes</x:v>
      </x:c>
      <x:c r="M742" s="56"/>
      <x:c r="N742" s="56" t="str">
        <x:v>Dynamic proxy.</x:v>
      </x:c>
      <x:c r="O742" s="56" t="str">
        <x:v>Codex</x:v>
      </x:c>
    </x:row>
    <x:row r="743" ht="110" customHeight="1">
      <x:c r="A743" s="56" t="str">
        <x:v>SRC-SBM-016</x:v>
      </x:c>
      <x:c r="B743" s="56" t="str">
        <x:v>KB015</x:v>
      </x:c>
      <x:c r="C743" s="56" t="str">
        <x:v>Amazon lower-bound methodology</x:v>
      </x:c>
      <x:c r="D743" s="56" t="str">
        <x:v>Five distinct official-seller ASIN badges total at least 20K monthly units and imply $359,300/month at observed one-time prices.</x:v>
      </x:c>
      <x:c r="E743" s="56" t="str">
        <x:v>Analyst Calculation</x:v>
      </x:c>
      <x:c r="F743" s="56" t="str">
        <x:v>https://www.amazon.com/stores/SOMEBYMI/page/586C3AAB-D339-4E60-A5D0-6BAD77EB8C2C</x:v>
      </x:c>
      <x:c r="G743" s="56" t="str">
        <x:v>Derived from Marketplace Displays</x:v>
      </x:c>
      <x:c r="H743" s="56"/>
      <x:c r="I743" s="56" t="str">
        <x:v>2026-08-01</x:v>
      </x:c>
      <x:c r="J743" s="56" t="str">
        <x:v>Conservative Sales Proxy</x:v>
      </x:c>
      <x:c r="K743" s="56" t="str">
        <x:v>Medium-High</x:v>
      </x:c>
      <x:c r="L743" s="56" t="str">
        <x:v>Yes</x:v>
      </x:c>
      <x:c r="M743" s="56"/>
      <x:c r="N743" s="56" t="str">
        <x:v>Not audited revenue; excludes other ASINs, coupons, returns, tax and units above rounded minimums.</x:v>
      </x:c>
      <x:c r="O743" s="56" t="str">
        <x:v>Codex</x:v>
      </x:c>
    </x:row>
    <x:row r="744" ht="110" customHeight="1">
      <x:c r="A744" s="56" t="str">
        <x:v>SRC-SBM-017</x:v>
      </x:c>
      <x:c r="B744" s="56" t="str">
        <x:v>KB015</x:v>
      </x:c>
      <x:c r="C744" s="56" t="str">
        <x:v>TikTok Shop U.S. scale</x:v>
      </x:c>
      <x:c r="D744" s="56" t="str">
        <x:v>Official shop displayed 320.4K+ followers, 268.9K sold and 2,049 videos; Body Cleanser 83.8K, Body Care Set 43.7K and Full Body Set 23.2K sold.</x:v>
      </x:c>
      <x:c r="E744" s="56" t="str">
        <x:v>TikTok Shop U.S.</x:v>
      </x:c>
      <x:c r="F744" s="56" t="str">
        <x:v>https://shop.tiktok.com/us/store/some-by-mi-us/7495931291720976403</x:v>
      </x:c>
      <x:c r="G744" s="56" t="str">
        <x:v>Official Social-Commerce Store</x:v>
      </x:c>
      <x:c r="H744" s="56"/>
      <x:c r="I744" s="56" t="str">
        <x:v>2026-08-01</x:v>
      </x:c>
      <x:c r="J744" s="56" t="str">
        <x:v>Dynamic Platform Signal</x:v>
      </x:c>
      <x:c r="K744" s="56" t="str">
        <x:v>Medium-High</x:v>
      </x:c>
      <x:c r="L744" s="56" t="str">
        <x:v>Yes</x:v>
      </x:c>
      <x:c r="M744" s="56"/>
      <x:c r="N744" s="56" t="str">
        <x:v>Cumulative platform displays; not audited revenue.</x:v>
      </x:c>
      <x:c r="O744" s="56" t="str">
        <x:v>Codex</x:v>
      </x:c>
    </x:row>
    <x:row r="745" ht="110" customHeight="1">
      <x:c r="A745" s="56" t="str">
        <x:v>SRC-SBM-018</x:v>
      </x:c>
      <x:c r="B745" s="56" t="str">
        <x:v>KB015</x:v>
      </x:c>
      <x:c r="C745" s="56" t="str">
        <x:v>Instagram U.S. account and snapshot</x:v>
      </x:c>
      <x:c r="D745" s="56" t="str">
        <x:v>Official U.S. hub links @somebymi.official_us; Social Blade showed about 30,779 followers and 624 posts in May 2026.</x:v>
      </x:c>
      <x:c r="E745" s="56" t="str">
        <x:v>Instagram / Social Blade</x:v>
      </x:c>
      <x:c r="F745" s="56" t="str">
        <x:v>https://socialblade.com/instagram/user/somebymi.official_us</x:v>
      </x:c>
      <x:c r="G745" s="56" t="str">
        <x:v>Official Account + Third-Party Snapshot</x:v>
      </x:c>
      <x:c r="H745" s="56"/>
      <x:c r="I745" s="56" t="str">
        <x:v>2026-08-01</x:v>
      </x:c>
      <x:c r="J745" s="56" t="str">
        <x:v>Dynamic Awareness Signal</x:v>
      </x:c>
      <x:c r="K745" s="56" t="str">
        <x:v>Medium</x:v>
      </x:c>
      <x:c r="L745" s="56" t="str">
        <x:v>Yes</x:v>
      </x:c>
      <x:c r="M745" s="56"/>
      <x:c r="N745" s="56" t="str">
        <x:v>Use Instagram-native current metrics for final campaigns.</x:v>
      </x:c>
      <x:c r="O745" s="56" t="str">
        <x:v>Codex</x:v>
      </x:c>
    </x:row>
    <x:row r="746" ht="110" customHeight="1">
      <x:c r="A746" s="56" t="str">
        <x:v>SRC-SBM-019</x:v>
      </x:c>
      <x:c r="B746" s="56" t="str">
        <x:v>KB015</x:v>
      </x:c>
      <x:c r="C746" s="56" t="str">
        <x:v>Ulta presence</x:v>
      </x:c>
      <x:c r="D746" s="56" t="str">
        <x:v>Ulta displayed 27 SOME BY MI products across Miracle, retinol, beta-panthenol, PDRN, sunscreen, pore and brightening lines.</x:v>
      </x:c>
      <x:c r="E746" s="56" t="str">
        <x:v>Ulta Beauty</x:v>
      </x:c>
      <x:c r="F746" s="56" t="str">
        <x:v>https://www.ulta.com/brand/some-by-mi</x:v>
      </x:c>
      <x:c r="G746" s="56" t="str">
        <x:v>Official U.S. Retail Partner</x:v>
      </x:c>
      <x:c r="H746" s="56"/>
      <x:c r="I746" s="56" t="str">
        <x:v>2026-08-01</x:v>
      </x:c>
      <x:c r="J746" s="56" t="str">
        <x:v>Verified Retail Presence</x:v>
      </x:c>
      <x:c r="K746" s="56" t="str">
        <x:v>High</x:v>
      </x:c>
      <x:c r="L746" s="56" t="str">
        <x:v>Yes</x:v>
      </x:c>
      <x:c r="M746" s="56"/>
      <x:c r="N746" s="56" t="str">
        <x:v>Prices, reviews and assortment are dynamic.</x:v>
      </x:c>
      <x:c r="O746" s="56" t="str">
        <x:v>Codex</x:v>
      </x:c>
    </x:row>
    <x:row r="747" ht="110" customHeight="1">
      <x:c r="A747" s="56" t="str">
        <x:v>SRC-SBM-020</x:v>
      </x:c>
      <x:c r="B747" s="56" t="str">
        <x:v>KB015</x:v>
      </x:c>
      <x:c r="C747" s="56" t="str">
        <x:v>Ulta — Miracle Toner</x:v>
      </x:c>
      <x:c r="D747" s="56" t="str">
        <x:v>Ulta listed 150 mL Miracle Toner at $24 and 4.8/11.</x:v>
      </x:c>
      <x:c r="E747" s="56" t="str">
        <x:v>Ulta Beauty</x:v>
      </x:c>
      <x:c r="F747" s="56" t="str">
        <x:v>https://www.ulta.com/p/aha-bha-pha-30-day-miracle-exfoliating-toner-pimprod2051778?sku=2641258</x:v>
      </x:c>
      <x:c r="G747" s="56" t="str">
        <x:v>Authorized Retailer Product Page</x:v>
      </x:c>
      <x:c r="H747" s="56"/>
      <x:c r="I747" s="56" t="str">
        <x:v>2026-08-01</x:v>
      </x:c>
      <x:c r="J747" s="56" t="str">
        <x:v>Verified Product Fact</x:v>
      </x:c>
      <x:c r="K747" s="56" t="str">
        <x:v>High</x:v>
      </x:c>
      <x:c r="L747" s="56" t="str">
        <x:v>Yes</x:v>
      </x:c>
      <x:c r="M747" s="56"/>
      <x:c r="N747" s="56" t="str">
        <x:v>Large premium versus official Amazon observed price.</x:v>
      </x:c>
      <x:c r="O747" s="56" t="str">
        <x:v>Codex</x:v>
      </x:c>
    </x:row>
    <x:row r="748" ht="110" customHeight="1">
      <x:c r="A748" s="56" t="str">
        <x:v>SRC-SBM-021</x:v>
      </x:c>
      <x:c r="B748" s="56" t="str">
        <x:v>KB015</x:v>
      </x:c>
      <x:c r="C748" s="56" t="str">
        <x:v>Ulta — Body Cleanser and Foam</x:v>
      </x:c>
      <x:c r="D748" s="56" t="str">
        <x:v>Ulta brand page listed Body Cleanser at $21 and 4.5/2 and Miracle Cleansing Foam at $19 and 4.3/9.</x:v>
      </x:c>
      <x:c r="E748" s="56" t="str">
        <x:v>Ulta Beauty</x:v>
      </x:c>
      <x:c r="F748" s="56" t="str">
        <x:v>https://www.ulta.com/brand/some-by-mi</x:v>
      </x:c>
      <x:c r="G748" s="56" t="str">
        <x:v>Authorized Retailer Brand Page</x:v>
      </x:c>
      <x:c r="H748" s="56"/>
      <x:c r="I748" s="56" t="str">
        <x:v>2026-08-01</x:v>
      </x:c>
      <x:c r="J748" s="56" t="str">
        <x:v>Verified Product Fact</x:v>
      </x:c>
      <x:c r="K748" s="56" t="str">
        <x:v>High</x:v>
      </x:c>
      <x:c r="L748" s="56" t="str">
        <x:v>Yes</x:v>
      </x:c>
      <x:c r="M748" s="56"/>
      <x:c r="N748" s="56" t="str">
        <x:v>Review samples are small; exact OTC labels must be mapped.</x:v>
      </x:c>
      <x:c r="O748" s="56" t="str">
        <x:v>Codex</x:v>
      </x:c>
    </x:row>
    <x:row r="749" ht="110" customHeight="1">
      <x:c r="A749" s="56" t="str">
        <x:v>SRC-SBM-022</x:v>
      </x:c>
      <x:c r="B749" s="56" t="str">
        <x:v>KB015</x:v>
      </x:c>
      <x:c r="C749" s="56" t="str">
        <x:v>Ulta — Retinol Serum</x:v>
      </x:c>
      <x:c r="D749" s="56" t="str">
        <x:v>Ulta listed Retinol Intense Reactivating Serum for Beginners at $32 and 4.3/19.</x:v>
      </x:c>
      <x:c r="E749" s="56" t="str">
        <x:v>Ulta Beauty</x:v>
      </x:c>
      <x:c r="F749" s="56" t="str">
        <x:v>https://www.ulta.com/brand/some-by-mi</x:v>
      </x:c>
      <x:c r="G749" s="56" t="str">
        <x:v>Authorized Retailer Brand Page</x:v>
      </x:c>
      <x:c r="H749" s="56"/>
      <x:c r="I749" s="56" t="str">
        <x:v>2026-08-01</x:v>
      </x:c>
      <x:c r="J749" s="56" t="str">
        <x:v>Verified Product Fact</x:v>
      </x:c>
      <x:c r="K749" s="56" t="str">
        <x:v>High</x:v>
      </x:c>
      <x:c r="L749" s="56" t="str">
        <x:v>Yes</x:v>
      </x:c>
      <x:c r="M749" s="56"/>
      <x:c r="N749" s="56" t="str">
        <x:v>Price and reviews are dynamic.</x:v>
      </x:c>
      <x:c r="O749" s="56" t="str">
        <x:v>Codex</x:v>
      </x:c>
    </x:row>
    <x:row r="750" ht="110" customHeight="1">
      <x:c r="A750" s="56" t="str">
        <x:v>SRC-SBM-023</x:v>
      </x:c>
      <x:c r="B750" s="56" t="str">
        <x:v>KB015</x:v>
      </x:c>
      <x:c r="C750" s="56" t="str">
        <x:v>Target brand presence</x:v>
      </x:c>
      <x:c r="D750" s="56" t="str">
        <x:v>Target brand/search pages displayed roughly two dozen SOME BY MI listings across toner, retinol, Miracle and sunscreen lines.</x:v>
      </x:c>
      <x:c r="E750" s="56" t="str">
        <x:v>Target</x:v>
      </x:c>
      <x:c r="F750" s="56" t="str">
        <x:v>https://www.target.com/b/somebymi/-/N-q643lemmamc</x:v>
      </x:c>
      <x:c r="G750" s="56" t="str">
        <x:v>Marketplace / Retail Search</x:v>
      </x:c>
      <x:c r="H750" s="56"/>
      <x:c r="I750" s="56" t="str">
        <x:v>2026-08-01</x:v>
      </x:c>
      <x:c r="J750" s="56" t="str">
        <x:v>Verified Visibility</x:v>
      </x:c>
      <x:c r="K750" s="56" t="str">
        <x:v>Medium-High</x:v>
      </x:c>
      <x:c r="L750" s="56" t="str">
        <x:v>Yes</x:v>
      </x:c>
      <x:c r="M750" s="56"/>
      <x:c r="N750" s="56" t="str">
        <x:v>Seller identity must be checked per item.</x:v>
      </x:c>
      <x:c r="O750" s="56" t="str">
        <x:v>Codex</x:v>
      </x:c>
    </x:row>
    <x:row r="751" ht="110" customHeight="1">
      <x:c r="A751" s="56" t="str">
        <x:v>SRC-SBM-024</x:v>
      </x:c>
      <x:c r="B751" s="56" t="str">
        <x:v>KB015</x:v>
      </x:c>
      <x:c r="C751" s="56" t="str">
        <x:v>Target Plus seller risk</x:v>
      </x:c>
      <x:c r="D751" s="56" t="str">
        <x:v>Reviewed Miracle Toner page showed $23.99 sale/$28, item details supplied by a Target Plus partner and sold/shipped by SleekShop.</x:v>
      </x:c>
      <x:c r="E751" s="56" t="str">
        <x:v>Target</x:v>
      </x:c>
      <x:c r="F751" s="56" t="str">
        <x:v>https://www.target.com/p/-/A-1007634016</x:v>
      </x:c>
      <x:c r="G751" s="56" t="str">
        <x:v>Target Plus Product Page</x:v>
      </x:c>
      <x:c r="H751" s="56"/>
      <x:c r="I751" s="56" t="str">
        <x:v>2026-08-01</x:v>
      </x:c>
      <x:c r="J751" s="56" t="str">
        <x:v>Verified Seller Risk</x:v>
      </x:c>
      <x:c r="K751" s="56" t="str">
        <x:v>High</x:v>
      </x:c>
      <x:c r="L751" s="56" t="str">
        <x:v>Yes</x:v>
      </x:c>
      <x:c r="M751" s="56"/>
      <x:c r="N751" s="56" t="str">
        <x:v>Do not treat this SKU as first-party Target inventory.</x:v>
      </x:c>
      <x:c r="O751" s="56" t="str">
        <x:v>Codex</x:v>
      </x:c>
    </x:row>
    <x:row r="752" ht="110" customHeight="1">
      <x:c r="A752" s="56" t="str">
        <x:v>SRC-SBM-025</x:v>
      </x:c>
      <x:c r="B752" s="56" t="str">
        <x:v>KB015</x:v>
      </x:c>
      <x:c r="C752" s="56" t="str">
        <x:v>Costco authorization versus inventory</x:v>
      </x:c>
      <x:c r="D752" s="56" t="str">
        <x:v>Official brand stockist page names Costco as authorized U.S. seller; no current SOME BY MI item surfaced in reviewed Costco skincare category.</x:v>
      </x:c>
      <x:c r="E752" s="56" t="str">
        <x:v>SOMEBYMI / Costco</x:v>
      </x:c>
      <x:c r="F752" s="56" t="str">
        <x:v>https://www.costco.com/skin-care.Html</x:v>
      </x:c>
      <x:c r="G752" s="56" t="str">
        <x:v>Authorized Seller / Inventory Check</x:v>
      </x:c>
      <x:c r="H752" s="56"/>
      <x:c r="I752" s="56" t="str">
        <x:v>2026-08-01</x:v>
      </x:c>
      <x:c r="J752" s="56" t="str">
        <x:v>Verified Authorization / Inventory Uncertainty</x:v>
      </x:c>
      <x:c r="K752" s="56" t="str">
        <x:v>Medium-High</x:v>
      </x:c>
      <x:c r="L752" s="56" t="str">
        <x:v>Mixed</x:v>
      </x:c>
      <x:c r="M752" s="56"/>
      <x:c r="N752" s="56" t="str">
        <x:v>Confirm active items, doors and club packs directly.</x:v>
      </x:c>
      <x:c r="O752" s="56" t="str">
        <x:v>Codex</x:v>
      </x:c>
    </x:row>
    <x:row r="753" ht="110" customHeight="1">
      <x:c r="A753" s="56" t="str">
        <x:v>SRC-SBM-026</x:v>
      </x:c>
      <x:c r="B753" s="56" t="str">
        <x:v>KB015</x:v>
      </x:c>
      <x:c r="C753" s="56" t="str">
        <x:v>iHerb toner demand</x:v>
      </x:c>
      <x:c r="D753" s="56" t="str">
        <x:v>iHerb showed Miracle Toner at $18, 4.6/35,219, 161 Q&amp;A, in stock and 2K+ sold in 30 days.</x:v>
      </x:c>
      <x:c r="E753" s="56" t="str">
        <x:v>iHerb</x:v>
      </x:c>
      <x:c r="F753" s="56" t="str">
        <x:v>https://www.iherb.com/pr/some-by-mi-aha-bha-pha-30-days-miracle-toner-5-07-fl-oz-150-ml/84615</x:v>
      </x:c>
      <x:c r="G753" s="56" t="str">
        <x:v>Authorized Specialty Retailer</x:v>
      </x:c>
      <x:c r="H753" s="56"/>
      <x:c r="I753" s="56" t="str">
        <x:v>2026-08-01</x:v>
      </x:c>
      <x:c r="J753" s="56" t="str">
        <x:v>Verified Retail / Demand Signal</x:v>
      </x:c>
      <x:c r="K753" s="56" t="str">
        <x:v>High</x:v>
      </x:c>
      <x:c r="L753" s="56" t="str">
        <x:v>Yes</x:v>
      </x:c>
      <x:c r="M753" s="56"/>
      <x:c r="N753" s="56" t="str">
        <x:v>Price, reviews and sold display are dynamic.</x:v>
      </x:c>
      <x:c r="O753" s="56" t="str">
        <x:v>Codex</x:v>
      </x:c>
    </x:row>
    <x:row r="754" ht="110" customHeight="1">
      <x:c r="A754" s="56" t="str">
        <x:v>SRC-SBM-027</x:v>
      </x:c>
      <x:c r="B754" s="56" t="str">
        <x:v>KB015</x:v>
      </x:c>
      <x:c r="C754" s="56" t="str">
        <x:v>iHerb consumer review pattern</x:v>
      </x:c>
      <x:c r="D754" s="56" t="str">
        <x:v>iHerb review page includes praise for gentle exfoliation and acne/texture use plus dryness and irritation when overused.</x:v>
      </x:c>
      <x:c r="E754" s="56" t="str">
        <x:v>iHerb</x:v>
      </x:c>
      <x:c r="F754" s="56" t="str">
        <x:v>https://www.iherb.com/r/some-by-mi-aha-bha-pha-30-days-miracle-toner-5-07-fl-oz-150-ml/84615</x:v>
      </x:c>
      <x:c r="G754" s="56" t="str">
        <x:v>Retailer Consumer Reviews</x:v>
      </x:c>
      <x:c r="H754" s="56"/>
      <x:c r="I754" s="56" t="str">
        <x:v>2026-08-01</x:v>
      </x:c>
      <x:c r="J754" s="56" t="str">
        <x:v>Consumer Evidence</x:v>
      </x:c>
      <x:c r="K754" s="56" t="str">
        <x:v>Medium</x:v>
      </x:c>
      <x:c r="L754" s="56" t="str">
        <x:v>Mixed</x:v>
      </x:c>
      <x:c r="M754" s="56"/>
      <x:c r="N754" s="56" t="str">
        <x:v>Self-selected reviews; no clinical causality.</x:v>
      </x:c>
      <x:c r="O754" s="56" t="str">
        <x:v>Codex</x:v>
      </x:c>
    </x:row>
    <x:row r="755" ht="110" customHeight="1">
      <x:c r="A755" s="56" t="str">
        <x:v>SRC-SBM-028</x:v>
      </x:c>
      <x:c r="B755" s="56" t="str">
        <x:v>KB015</x:v>
      </x:c>
      <x:c r="C755" s="56" t="str">
        <x:v>Walmart first-party example</x:v>
      </x:c>
      <x:c r="D755" s="56" t="str">
        <x:v>Walmart listed a Beta Panthenol Repair Facial Toner mini as sold and shipped by Walmart.com.</x:v>
      </x:c>
      <x:c r="E755" s="56" t="str">
        <x:v>Walmart</x:v>
      </x:c>
      <x:c r="F755" s="56" t="str">
        <x:v>https://www.walmart.com/ip/2496635720</x:v>
      </x:c>
      <x:c r="G755" s="56" t="str">
        <x:v>National Retailer Product Page</x:v>
      </x:c>
      <x:c r="H755" s="56"/>
      <x:c r="I755" s="56" t="str">
        <x:v>2026-08-01</x:v>
      </x:c>
      <x:c r="J755" s="56" t="str">
        <x:v>Verified First-Party SKU Example</x:v>
      </x:c>
      <x:c r="K755" s="56" t="str">
        <x:v>High</x:v>
      </x:c>
      <x:c r="L755" s="56" t="str">
        <x:v>Yes</x:v>
      </x:c>
      <x:c r="M755" s="56"/>
      <x:c r="N755" s="56" t="str">
        <x:v>Does not establish first-party status for the Miracle line.</x:v>
      </x:c>
      <x:c r="O755" s="56" t="str">
        <x:v>Codex</x:v>
      </x:c>
    </x:row>
    <x:row r="756" ht="110" customHeight="1">
      <x:c r="A756" s="56" t="str">
        <x:v>SRC-SBM-029</x:v>
      </x:c>
      <x:c r="B756" s="56" t="str">
        <x:v>KB015</x:v>
      </x:c>
      <x:c r="C756" s="56" t="str">
        <x:v>Walmart marketplace variability</x:v>
      </x:c>
      <x:c r="D756" s="56" t="str">
        <x:v>Miracle Acne Clear Foam and toner results include third-party/marketplace offers and variable naming.</x:v>
      </x:c>
      <x:c r="E756" s="56" t="str">
        <x:v>Walmart</x:v>
      </x:c>
      <x:c r="F756" s="56" t="str">
        <x:v>https://www.walmart.com/ip/555310946</x:v>
      </x:c>
      <x:c r="G756" s="56" t="str">
        <x:v>Third-Party Marketplace</x:v>
      </x:c>
      <x:c r="H756" s="56"/>
      <x:c r="I756" s="56" t="str">
        <x:v>2026-08-01</x:v>
      </x:c>
      <x:c r="J756" s="56" t="str">
        <x:v>Verified Seller Risk</x:v>
      </x:c>
      <x:c r="K756" s="56" t="str">
        <x:v>Medium</x:v>
      </x:c>
      <x:c r="L756" s="56" t="str">
        <x:v>Yes</x:v>
      </x:c>
      <x:c r="M756" s="56"/>
      <x:c r="N756" s="56" t="str">
        <x:v>Verify seller authorization, UPC, formula, label and expiration by SKU.</x:v>
      </x:c>
      <x:c r="O756" s="56" t="str">
        <x:v>Codex</x:v>
      </x:c>
    </x:row>
    <x:row r="757" ht="110" customHeight="1">
      <x:c r="A757" s="56" t="str">
        <x:v>SRC-SBM-030</x:v>
      </x:c>
      <x:c r="B757" s="56" t="str">
        <x:v>KB015</x:v>
      </x:c>
      <x:c r="C757" s="56" t="str">
        <x:v>YesStyle — Miracle Toner</x:v>
      </x:c>
      <x:c r="D757" s="56" t="str">
        <x:v>YesStyle displayed $15.80, 10,976 reviews/engagement, #4 in Exfoliators and shipping to the United States.</x:v>
      </x:c>
      <x:c r="E757" s="56" t="str">
        <x:v>YesStyle</x:v>
      </x:c>
      <x:c r="F757" s="56" t="str">
        <x:v>https://www.yesstyle.com/en/some-by-mi-t%C3%B3nico-aha/info.html/pid.1067311275</x:v>
      </x:c>
      <x:c r="G757" s="56" t="str">
        <x:v>Authorized Cross-Border Retailer</x:v>
      </x:c>
      <x:c r="H757" s="56"/>
      <x:c r="I757" s="56" t="str">
        <x:v>2026-08-01</x:v>
      </x:c>
      <x:c r="J757" s="56" t="str">
        <x:v>Verified Cross-Border / Demand Signal</x:v>
      </x:c>
      <x:c r="K757" s="56" t="str">
        <x:v>Medium-High</x:v>
      </x:c>
      <x:c r="L757" s="56" t="str">
        <x:v>Yes</x:v>
      </x:c>
      <x:c r="M757" s="56"/>
      <x:c r="N757" s="56" t="str">
        <x:v>Price and count are dynamic; map formula/version.</x:v>
      </x:c>
      <x:c r="O757" s="56" t="str">
        <x:v>Codex</x:v>
      </x:c>
    </x:row>
    <x:row r="758" ht="110" customHeight="1">
      <x:c r="A758" s="56" t="str">
        <x:v>SRC-SBM-031</x:v>
      </x:c>
      <x:c r="B758" s="56" t="str">
        <x:v>KB015</x:v>
      </x:c>
      <x:c r="C758" s="56" t="str">
        <x:v>YesStyle broad assortment</x:v>
      </x:c>
      <x:c r="D758" s="56" t="str">
        <x:v>YesStyle showed extensive SOME BY MI assortment including Body Cleanser $19, Retinol Serum $22.30, Foam $13.80, Cream $18.97 and U.S.-related OTC-version listings.</x:v>
      </x:c>
      <x:c r="E758" s="56" t="str">
        <x:v>YesStyle</x:v>
      </x:c>
      <x:c r="F758" s="56" t="str">
        <x:v>https://www.yesstyle.com/en/some-by-mi/list.html/bpt.299_bid.321384?sb=165</x:v>
      </x:c>
      <x:c r="G758" s="56" t="str">
        <x:v>Authorized Cross-Border Retailer</x:v>
      </x:c>
      <x:c r="H758" s="56"/>
      <x:c r="I758" s="56" t="str">
        <x:v>2026-08-01</x:v>
      </x:c>
      <x:c r="J758" s="56" t="str">
        <x:v>Verified Assortment / Price Signal</x:v>
      </x:c>
      <x:c r="K758" s="56" t="str">
        <x:v>Medium-High</x:v>
      </x:c>
      <x:c r="L758" s="56" t="str">
        <x:v>Yes</x:v>
      </x:c>
      <x:c r="M758" s="56"/>
      <x:c r="N758" s="56" t="str">
        <x:v>Country formula and U.S. resale rights must be mapped.</x:v>
      </x:c>
      <x:c r="O758" s="56" t="str">
        <x:v>Codex</x:v>
      </x:c>
    </x:row>
    <x:row r="759" ht="110" customHeight="1">
      <x:c r="A759" s="56" t="str">
        <x:v>SRC-SBM-032</x:v>
      </x:c>
      <x:c r="B759" s="56" t="str">
        <x:v>KB015</x:v>
      </x:c>
      <x:c r="C759" s="56" t="str">
        <x:v>Olive Young Global authorization</x:v>
      </x:c>
      <x:c r="D759" s="56" t="str">
        <x:v>Official stockist page identifies Olive Young Global as a global authorized partner; current search availability is dynamic.</x:v>
      </x:c>
      <x:c r="E759" s="56" t="str">
        <x:v>SOMEBYMI / Olive Young Global</x:v>
      </x:c>
      <x:c r="F759" s="56" t="str">
        <x:v>https://global.oliveyoung.com/display/search?query=SOME%20BY%20MI</x:v>
      </x:c>
      <x:c r="G759" s="56" t="str">
        <x:v>Authorized Cross-Border Retailer</x:v>
      </x:c>
      <x:c r="H759" s="56"/>
      <x:c r="I759" s="56" t="str">
        <x:v>2026-08-01</x:v>
      </x:c>
      <x:c r="J759" s="56" t="str">
        <x:v>Verified Authorization / Presence</x:v>
      </x:c>
      <x:c r="K759" s="56" t="str">
        <x:v>Medium</x:v>
      </x:c>
      <x:c r="L759" s="56" t="str">
        <x:v>Yes</x:v>
      </x:c>
      <x:c r="M759" s="56"/>
      <x:c r="N759" s="56" t="str">
        <x:v>No U.S.-only sell-through.</x:v>
      </x:c>
      <x:c r="O759" s="56" t="str">
        <x:v>Codex</x:v>
      </x:c>
    </x:row>
    <x:row r="760" ht="110" customHeight="1">
      <x:c r="A760" s="56" t="str">
        <x:v>SRC-SBM-033</x:v>
      </x:c>
      <x:c r="B760" s="56" t="str">
        <x:v>KB015</x:v>
      </x:c>
      <x:c r="C760" s="56" t="str">
        <x:v>Jolse authorization</x:v>
      </x:c>
      <x:c r="D760" s="56" t="str">
        <x:v>Official stockist page identifies Jolse as a global authorized partner.</x:v>
      </x:c>
      <x:c r="E760" s="56" t="str">
        <x:v>SOMEBYMI / Jolse</x:v>
      </x:c>
      <x:c r="F760" s="56" t="str">
        <x:v>https://jolse.com/category/some-by-mi/</x:v>
      </x:c>
      <x:c r="G760" s="56" t="str">
        <x:v>Authorized Cross-Border Retailer</x:v>
      </x:c>
      <x:c r="H760" s="56"/>
      <x:c r="I760" s="56" t="str">
        <x:v>2026-08-01</x:v>
      </x:c>
      <x:c r="J760" s="56" t="str">
        <x:v>Verified Authorization</x:v>
      </x:c>
      <x:c r="K760" s="56" t="str">
        <x:v>Medium-High</x:v>
      </x:c>
      <x:c r="L760" s="56" t="str">
        <x:v>Yes</x:v>
      </x:c>
      <x:c r="M760" s="56"/>
      <x:c r="N760" s="56" t="str">
        <x:v>Assortment, formula/version and U.S. price leakage require item review.</x:v>
      </x:c>
      <x:c r="O760" s="56" t="str">
        <x:v>Codex</x:v>
      </x:c>
    </x:row>
    <x:row r="761" ht="110" customHeight="1">
      <x:c r="A761" s="56" t="str">
        <x:v>SRC-SBM-034</x:v>
      </x:c>
      <x:c r="B761" s="56" t="str">
        <x:v>KB015</x:v>
      </x:c>
      <x:c r="C761" s="56" t="str">
        <x:v>Reddit — 2024 Miracle Toner review</x:v>
      </x:c>
      <x:c r="D761" s="56" t="str">
        <x:v>Detailed user described texture/sebum benefits after reducing frequency; comments include repeat purchase, hydration and dryness/peppermint concerns.</x:v>
      </x:c>
      <x:c r="E761" s="56" t="str">
        <x:v>Reddit r/AsianBeauty</x:v>
      </x:c>
      <x:c r="F761" s="56" t="str">
        <x:v>https://www.reddit.com/r/AsianBeauty/comments/1fyppx9/review_of_some_by_mi_aha_bha_pha_30_days_miracle/</x:v>
      </x:c>
      <x:c r="G761" s="56" t="str">
        <x:v>Consumer Forum</x:v>
      </x:c>
      <x:c r="H761" s="56" t="str">
        <x:v>2024-10-08</x:v>
      </x:c>
      <x:c r="I761" s="56" t="str">
        <x:v>2026-08-01</x:v>
      </x:c>
      <x:c r="J761" s="56" t="str">
        <x:v>Anecdotal Consumer Evidence</x:v>
      </x:c>
      <x:c r="K761" s="56" t="str">
        <x:v>Low-Medium</x:v>
      </x:c>
      <x:c r="L761" s="56" t="str">
        <x:v>Mixed</x:v>
      </x:c>
      <x:c r="M761" s="56"/>
      <x:c r="N761" s="56" t="str">
        <x:v>Self-selected; no causality finding.</x:v>
      </x:c>
      <x:c r="O761" s="56" t="str">
        <x:v>Codex</x:v>
      </x:c>
    </x:row>
    <x:row r="762" ht="110" customHeight="1">
      <x:c r="A762" s="56" t="str">
        <x:v>SRC-SBM-035</x:v>
      </x:c>
      <x:c r="B762" s="56" t="str">
        <x:v>KB015</x:v>
      </x:c>
      <x:c r="C762" s="56" t="str">
        <x:v>Reddit — daily-use and concentration debate</x:v>
      </x:c>
      <x:c r="D762" s="56" t="str">
        <x:v>Users disagree whether the toner is safe daily and whether its acid levels are meaningful; gradual introduction is a common recommendation.</x:v>
      </x:c>
      <x:c r="E762" s="56" t="str">
        <x:v>Reddit r/AsianBeauty</x:v>
      </x:c>
      <x:c r="F762" s="56" t="str">
        <x:v>https://www.reddit.com/r/AsianBeauty/comments/105dj11/is_the_some_by_mi_aha_bha_pha_toner_safe_to_use/</x:v>
      </x:c>
      <x:c r="G762" s="56" t="str">
        <x:v>Consumer Forum</x:v>
      </x:c>
      <x:c r="H762" s="56" t="str">
        <x:v>2023-01-07</x:v>
      </x:c>
      <x:c r="I762" s="56" t="str">
        <x:v>2026-08-01</x:v>
      </x:c>
      <x:c r="J762" s="56" t="str">
        <x:v>Anecdotal Consumer Evidence</x:v>
      </x:c>
      <x:c r="K762" s="56" t="str">
        <x:v>Low</x:v>
      </x:c>
      <x:c r="L762" s="56" t="str">
        <x:v>Mixed</x:v>
      </x:c>
      <x:c r="M762" s="56"/>
      <x:c r="N762" s="56" t="str">
        <x:v>Consumer interpretation is not formulation substantiation.</x:v>
      </x:c>
      <x:c r="O762" s="56" t="str">
        <x:v>Codex</x:v>
      </x:c>
    </x:row>
    <x:row r="763" ht="110" customHeight="1">
      <x:c r="A763" s="56" t="str">
        <x:v>SRC-SBM-036</x:v>
      </x:c>
      <x:c r="B763" s="56" t="str">
        <x:v>KB015</x:v>
      </x:c>
      <x:c r="C763" s="56" t="str">
        <x:v>Reddit — long-term Miracle Toner polarization</x:v>
      </x:c>
      <x:c r="D763" s="56" t="str">
        <x:v>Thread includes detailed positive review, no-change reports, irritation, purging and severe-breakout anecdotes.</x:v>
      </x:c>
      <x:c r="E763" s="56" t="str">
        <x:v>Reddit r/AsianBeauty</x:v>
      </x:c>
      <x:c r="F763" s="56" t="str">
        <x:v>https://www.reddit.com/r/AsianBeauty/comments/jqks14</x:v>
      </x:c>
      <x:c r="G763" s="56" t="str">
        <x:v>Consumer Forum</x:v>
      </x:c>
      <x:c r="H763" s="56" t="str">
        <x:v>2020-11-08</x:v>
      </x:c>
      <x:c r="I763" s="56" t="str">
        <x:v>2026-08-01</x:v>
      </x:c>
      <x:c r="J763" s="56" t="str">
        <x:v>Anecdotal Consumer Evidence</x:v>
      </x:c>
      <x:c r="K763" s="56" t="str">
        <x:v>Low-Medium</x:v>
      </x:c>
      <x:c r="L763" s="56" t="str">
        <x:v>Mixed</x:v>
      </x:c>
      <x:c r="M763" s="56"/>
      <x:c r="N763" s="56" t="str">
        <x:v>No clinical causality or defect finding.</x:v>
      </x:c>
      <x:c r="O763" s="56" t="str">
        <x:v>Codex</x:v>
      </x:c>
    </x:row>
    <x:row r="764" ht="110" customHeight="1">
      <x:c r="A764" s="56" t="str">
        <x:v>SRC-SBM-037</x:v>
      </x:c>
      <x:c r="B764" s="56" t="str">
        <x:v>KB015</x:v>
      </x:c>
      <x:c r="C764" s="56" t="str">
        <x:v>Reddit — Retinol Serum</x:v>
      </x:c>
      <x:c r="D764" s="56" t="str">
        <x:v>Users describe a mild beginner product and easy application, while others object to fragrance or question active percentages.</x:v>
      </x:c>
      <x:c r="E764" s="56" t="str">
        <x:v>Reddit r/AsianBeauty</x:v>
      </x:c>
      <x:c r="F764" s="56" t="str">
        <x:v>https://www.reddit.com/r/AsianBeauty/comments/11yrn6f/product_question_some_by_mi_retinol_intense/</x:v>
      </x:c>
      <x:c r="G764" s="56" t="str">
        <x:v>Consumer Forum</x:v>
      </x:c>
      <x:c r="H764" s="56" t="str">
        <x:v>2023-03-22</x:v>
      </x:c>
      <x:c r="I764" s="56" t="str">
        <x:v>2026-08-01</x:v>
      </x:c>
      <x:c r="J764" s="56" t="str">
        <x:v>Anecdotal Consumer Evidence</x:v>
      </x:c>
      <x:c r="K764" s="56" t="str">
        <x:v>Low-Medium</x:v>
      </x:c>
      <x:c r="L764" s="56" t="str">
        <x:v>Mixed</x:v>
      </x:c>
      <x:c r="M764" s="56"/>
      <x:c r="N764" s="56" t="str">
        <x:v>Short-duration experience cannot establish efficacy.</x:v>
      </x:c>
      <x:c r="O764" s="56" t="str">
        <x:v>Codex</x:v>
      </x:c>
    </x:row>
    <x:row r="765" ht="110" customHeight="1">
      <x:c r="A765" s="56" t="str">
        <x:v>SRC-SBM-038</x:v>
      </x:c>
      <x:c r="B765" s="56" t="str">
        <x:v>KB015</x:v>
      </x:c>
      <x:c r="C765" s="56" t="str">
        <x:v>Reddit — Body Cleanser sensitivity</x:v>
      </x:c>
      <x:c r="D765" s="56" t="str">
        <x:v>Miracle-line thread contains neutral/no-change experiences and one user-attributed delayed allergic reaction to the body wash.</x:v>
      </x:c>
      <x:c r="E765" s="56" t="str">
        <x:v>Reddit r/AsianBeauty</x:v>
      </x:c>
      <x:c r="F765" s="56" t="str">
        <x:v>https://www.reddit.com/r/AsianBeauty/comments/13xkc3v/thoughts_on_the_some_by_mi_ahabhapha_30_days/</x:v>
      </x:c>
      <x:c r="G765" s="56" t="str">
        <x:v>Consumer Forum</x:v>
      </x:c>
      <x:c r="H765" s="56" t="str">
        <x:v>2023-06-01</x:v>
      </x:c>
      <x:c r="I765" s="56" t="str">
        <x:v>2026-08-01</x:v>
      </x:c>
      <x:c r="J765" s="56" t="str">
        <x:v>Anecdotal Sensitivity Signal</x:v>
      </x:c>
      <x:c r="K765" s="56" t="str">
        <x:v>Low</x:v>
      </x:c>
      <x:c r="L765" s="56" t="str">
        <x:v>Mixed</x:v>
      </x:c>
      <x:c r="M765" s="56"/>
      <x:c r="N765" s="56" t="str">
        <x:v>No causality finding; supports patch-test and allergen review.</x:v>
      </x:c>
      <x:c r="O765" s="56" t="str">
        <x:v>Codex</x:v>
      </x:c>
    </x:row>
    <x:row r="766" ht="110" customHeight="1">
      <x:c r="A766" s="56" t="str">
        <x:v>SRC-SBM-039</x:v>
      </x:c>
      <x:c r="B766" s="56" t="str">
        <x:v>KB015</x:v>
      </x:c>
      <x:c r="C766" s="56" t="str">
        <x:v>DailyMed — Body Cleanser OTC label</x:v>
      </x:c>
      <x:c r="D766" s="56" t="str">
        <x:v>DailyMed lists the Acne Body Cleanser as a HUMAN OTC DRUG with salicylic acid 0.5%, NDC 74472-102 and PERENNEBELL as packager.</x:v>
      </x:c>
      <x:c r="E766" s="56" t="str">
        <x:v>DailyMed</x:v>
      </x:c>
      <x:c r="F766" s="56" t="str">
        <x:v>https://dailymed.nlm.nih.gov/dailymed/drugInfo.cfm?setid=09769ae3-d18a-e2dd-e063-6294a90a1f64</x:v>
      </x:c>
      <x:c r="G766" s="56" t="str">
        <x:v>Official Drug Label Database</x:v>
      </x:c>
      <x:c r="H766" s="56"/>
      <x:c r="I766" s="56" t="str">
        <x:v>2026-08-01</x:v>
      </x:c>
      <x:c r="J766" s="56" t="str">
        <x:v>Verified U.S. OTC Label</x:v>
      </x:c>
      <x:c r="K766" s="56" t="str">
        <x:v>High</x:v>
      </x:c>
      <x:c r="L766" s="56" t="str">
        <x:v>Yes</x:v>
      </x:c>
      <x:c r="M766" s="56"/>
      <x:c r="N766" s="56" t="str">
        <x:v>Match exact formula, Drug Facts, size, artwork and NDC before sale.</x:v>
      </x:c>
      <x:c r="O766" s="56" t="str">
        <x:v>Codex</x:v>
      </x:c>
    </x:row>
    <x:row r="767" ht="110" customHeight="1">
      <x:c r="A767" s="56" t="str">
        <x:v>SRC-SBM-040</x:v>
      </x:c>
      <x:c r="B767" s="56" t="str">
        <x:v>KB015</x:v>
      </x:c>
      <x:c r="C767" s="56" t="str">
        <x:v>DailyMed — Acne Clear Foam OTC label</x:v>
      </x:c>
      <x:c r="D767" s="56" t="str">
        <x:v>DailyMed lists the Acne Clear Foam as HUMAN OTC DRUG, salicylic acid 0.5%, OTC Monograph M006 and NDC 74472-101.</x:v>
      </x:c>
      <x:c r="E767" s="56" t="str">
        <x:v>DailyMed</x:v>
      </x:c>
      <x:c r="F767" s="56" t="str">
        <x:v>https://dailymed.nlm.nih.gov/dailymed/getFile.cfm?setid=0897ccca-fa18-873f-e063-6394a90a59ab</x:v>
      </x:c>
      <x:c r="G767" s="56" t="str">
        <x:v>Official Drug Label Database</x:v>
      </x:c>
      <x:c r="H767" s="56"/>
      <x:c r="I767" s="56" t="str">
        <x:v>2026-08-01</x:v>
      </x:c>
      <x:c r="J767" s="56" t="str">
        <x:v>Verified U.S. OTC Label</x:v>
      </x:c>
      <x:c r="K767" s="56" t="str">
        <x:v>High</x:v>
      </x:c>
      <x:c r="L767" s="56" t="str">
        <x:v>Yes</x:v>
      </x:c>
      <x:c r="M767" s="56"/>
      <x:c r="N767" s="56" t="str">
        <x:v>Current record details 30 g plus package records; map exact commercial 100 g U.S. SKU before sourcing.</x:v>
      </x:c>
      <x:c r="O767" s="56" t="str">
        <x:v>Codex</x:v>
      </x:c>
    </x:row>
    <x:row r="768" ht="110" customHeight="1">
      <x:c r="A768" s="56" t="str">
        <x:v>SRC-SBM-041</x:v>
      </x:c>
      <x:c r="B768" s="56" t="str">
        <x:v>KB015</x:v>
      </x:c>
      <x:c r="C768" s="56" t="str">
        <x:v>DailyMed — V10 Hyal Air Fit Sunscreen</x:v>
      </x:c>
      <x:c r="D768" s="56" t="str">
        <x:v>DailyMed lists HUMAN OTC DRUG NDC 74472-235 with avobenzone 3%, homosalate 10%, octisalate 5% and octocrylene 8.7% for 50 mL.</x:v>
      </x:c>
      <x:c r="E768" s="56" t="str">
        <x:v>DailyMed</x:v>
      </x:c>
      <x:c r="F768" s="56" t="str">
        <x:v>https://dailymed.nlm.nih.gov/dailymed/drugInfo.cfm?setid=fe2148db-9020-9343-e053-6294a90adf70</x:v>
      </x:c>
      <x:c r="G768" s="56" t="str">
        <x:v>Official Drug Label Database</x:v>
      </x:c>
      <x:c r="H768" s="56"/>
      <x:c r="I768" s="56" t="str">
        <x:v>2026-08-01</x:v>
      </x:c>
      <x:c r="J768" s="56" t="str">
        <x:v>Verified U.S. OTC Label</x:v>
      </x:c>
      <x:c r="K768" s="56" t="str">
        <x:v>High</x:v>
      </x:c>
      <x:c r="L768" s="56" t="str">
        <x:v>Yes</x:v>
      </x:c>
      <x:c r="M768" s="56"/>
      <x:c r="N768" s="56" t="str">
        <x:v>Source only the exact U.S. formula, Drug Facts, size and artwork.</x:v>
      </x:c>
      <x:c r="O768" s="56" t="str">
        <x:v>Codex</x:v>
      </x:c>
    </x:row>
    <x:row r="769" ht="110" customHeight="1">
      <x:c r="A769" s="56" t="str">
        <x:v>SRC-SBM-042</x:v>
      </x:c>
      <x:c r="B769" s="56" t="str">
        <x:v>KB015</x:v>
      </x:c>
      <x:c r="C769" s="56" t="str">
        <x:v>FDA — OTC acne monograph</x:v>
      </x:c>
      <x:c r="D769" s="56" t="str">
        <x:v>FDA OTC Monograph M006 permits salicylic acid 0.5%-2% as an acne active ingredient and defines acne drug labeling requirements.</x:v>
      </x:c>
      <x:c r="E769" s="56" t="str">
        <x:v>U.S. FDA</x:v>
      </x:c>
      <x:c r="F769" s="56" t="str">
        <x:v>https://www.accessdata.fda.gov/drugsatfda_docs/omuf/monographs/OTC%20Monograph_M006-Topical%20Acne%20drug%20products%20for%20OTC%20Human%20Use%2011.23.2021.pdf</x:v>
      </x:c>
      <x:c r="G769" s="56" t="str">
        <x:v>Regulator</x:v>
      </x:c>
      <x:c r="H769" s="56"/>
      <x:c r="I769" s="56" t="str">
        <x:v>2026-08-01</x:v>
      </x:c>
      <x:c r="J769" s="56" t="str">
        <x:v>Verified Regulatory Requirement</x:v>
      </x:c>
      <x:c r="K769" s="56" t="str">
        <x:v>High</x:v>
      </x:c>
      <x:c r="L769" s="56" t="str">
        <x:v>Yes</x:v>
      </x:c>
      <x:c r="M769" s="56"/>
      <x:c r="N769" s="56" t="str">
        <x:v>Confirm each acne SKU's monograph conformity and current Drug Facts.</x:v>
      </x:c>
      <x:c r="O769" s="56" t="str">
        <x:v>Codex</x:v>
      </x:c>
    </x:row>
    <x:row r="770" ht="110" customHeight="1">
      <x:c r="A770" s="56" t="str">
        <x:v>SRC-SBM-043</x:v>
      </x:c>
      <x:c r="B770" s="56" t="str">
        <x:v>KB015</x:v>
      </x:c>
      <x:c r="C770" s="56" t="str">
        <x:v>FDA — MoCRA registration/listing</x:v>
      </x:c>
      <x:c r="D770" s="56" t="str">
        <x:v>FDA requires facility registration and cosmetic product listing subject to exemptions and update schedules; a responsible person must list each marketed cosmetic product.</x:v>
      </x:c>
      <x:c r="E770" s="56" t="str">
        <x:v>U.S. FDA</x:v>
      </x:c>
      <x:c r="F770" s="56" t="str">
        <x:v>https://www.fda.gov/cosmetics/registration-listing-cosmetic-product-facilities-and-products</x:v>
      </x:c>
      <x:c r="G770" s="56" t="str">
        <x:v>Regulator</x:v>
      </x:c>
      <x:c r="H770" s="56"/>
      <x:c r="I770" s="56" t="str">
        <x:v>2026-08-01</x:v>
      </x:c>
      <x:c r="J770" s="56" t="str">
        <x:v>Verified Regulatory Requirement</x:v>
      </x:c>
      <x:c r="K770" s="56" t="str">
        <x:v>High</x:v>
      </x:c>
      <x:c r="L770" s="56" t="str">
        <x:v>Yes</x:v>
      </x:c>
      <x:c r="M770" s="56"/>
      <x:c r="N770" s="56" t="str">
        <x:v>Registration/listing is not FDA approval; drugs have separate requirements.</x:v>
      </x:c>
      <x:c r="O770" s="56" t="str">
        <x:v>Codex</x:v>
      </x:c>
    </x:row>
    <x:row r="771" ht="110" customHeight="1">
      <x:c r="A771" s="56" t="str">
        <x:v>SRC-SBM-044</x:v>
      </x:c>
      <x:c r="B771" s="56" t="str">
        <x:v>KB015</x:v>
      </x:c>
      <x:c r="C771" s="56" t="str">
        <x:v>FDA — importing cosmetics</x:v>
      </x:c>
      <x:c r="D771" s="56" t="str">
        <x:v>Imported cosmetics must comply with U.S. safety, labeling and claims requirements and may be refused if adulterated or misbranded.</x:v>
      </x:c>
      <x:c r="E771" s="56" t="str">
        <x:v>U.S. FDA</x:v>
      </x:c>
      <x:c r="F771" s="56" t="str">
        <x:v>https://www.fda.gov/industry/importing-fda-regulated-products/importing-cosmetics</x:v>
      </x:c>
      <x:c r="G771" s="56" t="str">
        <x:v>Regulator</x:v>
      </x:c>
      <x:c r="H771" s="56"/>
      <x:c r="I771" s="56" t="str">
        <x:v>2026-08-01</x:v>
      </x:c>
      <x:c r="J771" s="56" t="str">
        <x:v>Verified Import Requirement</x:v>
      </x:c>
      <x:c r="K771" s="56" t="str">
        <x:v>High</x:v>
      </x:c>
      <x:c r="L771" s="56" t="str">
        <x:v>Yes</x:v>
      </x:c>
      <x:c r="M771" s="56"/>
      <x:c r="N771" s="56" t="str">
        <x:v>Confirm importer, manufacturer, labels, formulas, claims and entry data.</x:v>
      </x:c>
      <x:c r="O771" s="56" t="str">
        <x:v>Codex</x:v>
      </x:c>
    </x:row>
    <x:row r="772" ht="110" customHeight="1">
      <x:c r="A772" s="56" t="str">
        <x:v>SRC-SBM-045</x:v>
      </x:c>
      <x:c r="B772" s="56" t="str">
        <x:v>KB015</x:v>
      </x:c>
      <x:c r="C772" s="56" t="str">
        <x:v>FDA — cosmetic versus drug claims</x:v>
      </x:c>
      <x:c r="D772" s="56" t="str">
        <x:v>FDA states treatment of acne, hair restoration and disease/structure-function claims can make a product a drug or cosmetic/drug combination.</x:v>
      </x:c>
      <x:c r="E772" s="56" t="str">
        <x:v>U.S. FDA</x:v>
      </x:c>
      <x:c r="F772" s="56" t="str">
        <x:v>https://www.fda.gov/cosmetics/cosmetics-international-activities/cosmetics-importers</x:v>
      </x:c>
      <x:c r="G772" s="56" t="str">
        <x:v>Regulator</x:v>
      </x:c>
      <x:c r="H772" s="56"/>
      <x:c r="I772" s="56" t="str">
        <x:v>2026-08-01</x:v>
      </x:c>
      <x:c r="J772" s="56" t="str">
        <x:v>Verified Claims Requirement</x:v>
      </x:c>
      <x:c r="K772" s="56" t="str">
        <x:v>High</x:v>
      </x:c>
      <x:c r="L772" s="56" t="str">
        <x:v>Yes</x:v>
      </x:c>
      <x:c r="M772" s="56"/>
      <x:c r="N772" s="56" t="str">
        <x:v>Review acne, hair-loss, inflammation, repair and before/after claims by SKU.</x:v>
      </x:c>
      <x:c r="O772" s="56" t="str">
        <x:v>Codex</x:v>
      </x:c>
    </x:row>
    <x:row r="773" ht="110" customHeight="1">
      <x:c r="A773" s="56" t="str">
        <x:v>SRC-SBM-046</x:v>
      </x:c>
      <x:c r="B773" s="56" t="str">
        <x:v>KB015</x:v>
      </x:c>
      <x:c r="C773" s="56" t="str">
        <x:v>Competitor — COSRX toner</x:v>
      </x:c>
      <x:c r="D773" s="56" t="str">
        <x:v>Ulta lists COSRX AHA/BHA Clarifying Treatment Toner 150 mL at $20 with 4.3/286.</x:v>
      </x:c>
      <x:c r="E773" s="56" t="str">
        <x:v>Ulta / COSRX</x:v>
      </x:c>
      <x:c r="F773" s="56" t="str">
        <x:v>https://www.ulta.com/p/ahabha-clarifying-treatment-toner-xlsImpprod15641050</x:v>
      </x:c>
      <x:c r="G773" s="56" t="str">
        <x:v>Authorized Competitor Retailer</x:v>
      </x:c>
      <x:c r="H773" s="56"/>
      <x:c r="I773" s="56" t="str">
        <x:v>2026-08-01</x:v>
      </x:c>
      <x:c r="J773" s="56" t="str">
        <x:v>Verified Competitor Fact</x:v>
      </x:c>
      <x:c r="K773" s="56" t="str">
        <x:v>High</x:v>
      </x:c>
      <x:c r="L773" s="56" t="str">
        <x:v>Yes</x:v>
      </x:c>
      <x:c r="M773" s="56"/>
      <x:c r="N773" s="56" t="str">
        <x:v>Price and reviews change.</x:v>
      </x:c>
      <x:c r="O773" s="56" t="str">
        <x:v>Codex</x:v>
      </x:c>
    </x:row>
    <x:row r="774" ht="110" customHeight="1">
      <x:c r="A774" s="56" t="str">
        <x:v>SRC-SBM-047</x:v>
      </x:c>
      <x:c r="B774" s="56" t="str">
        <x:v>KB015</x:v>
      </x:c>
      <x:c r="C774" s="56" t="str">
        <x:v>Competitor — ANUA toner</x:v>
      </x:c>
      <x:c r="D774" s="56" t="str">
        <x:v>Ulta lists ANUA Heartleaf 77 Soothing Toner 250 mL at $21 regular and 4.4/139.</x:v>
      </x:c>
      <x:c r="E774" s="56" t="str">
        <x:v>Ulta / ANUA</x:v>
      </x:c>
      <x:c r="F774" s="56" t="str">
        <x:v>https://www.ulta.com/p/heartleaf-77-soothing-toner-pimprod2048929</x:v>
      </x:c>
      <x:c r="G774" s="56" t="str">
        <x:v>Authorized Competitor Retailer</x:v>
      </x:c>
      <x:c r="H774" s="56"/>
      <x:c r="I774" s="56" t="str">
        <x:v>2026-08-01</x:v>
      </x:c>
      <x:c r="J774" s="56" t="str">
        <x:v>Verified Competitor Fact</x:v>
      </x:c>
      <x:c r="K774" s="56" t="str">
        <x:v>High</x:v>
      </x:c>
      <x:c r="L774" s="56" t="str">
        <x:v>Yes</x:v>
      </x:c>
      <x:c r="M774" s="56"/>
      <x:c r="N774" s="56" t="str">
        <x:v>Price and reviews change.</x:v>
      </x:c>
      <x:c r="O774" s="56" t="str">
        <x:v>Codex</x:v>
      </x:c>
    </x:row>
    <x:row r="775" ht="110" customHeight="1">
      <x:c r="A775" s="56" t="str">
        <x:v>SRC-SBM-048</x:v>
      </x:c>
      <x:c r="B775" s="56" t="str">
        <x:v>KB015</x:v>
      </x:c>
      <x:c r="C775" s="56" t="str">
        <x:v>Competitor — Paula's Choice BHA</x:v>
      </x:c>
      <x:c r="D775" s="56" t="str">
        <x:v>Official site lists Skin Perfecting 2% BHA Liquid Exfoliant as the brand's #1 bestseller at $37 with 5,077 displayed reviews/engagement.</x:v>
      </x:c>
      <x:c r="E775" s="56" t="str">
        <x:v>Paula's Choice</x:v>
      </x:c>
      <x:c r="F775" s="56" t="str">
        <x:v>https://www.paulaschoice.com/skin-perfecting-2pct-bha-liquid-exfoliant/201.html</x:v>
      </x:c>
      <x:c r="G775" s="56" t="str">
        <x:v>Official Competitor Site</x:v>
      </x:c>
      <x:c r="H775" s="56"/>
      <x:c r="I775" s="56" t="str">
        <x:v>2026-08-01</x:v>
      </x:c>
      <x:c r="J775" s="56" t="str">
        <x:v>Verified Competitor Fact</x:v>
      </x:c>
      <x:c r="K775" s="56" t="str">
        <x:v>High</x:v>
      </x:c>
      <x:c r="L775" s="56" t="str">
        <x:v>Yes</x:v>
      </x:c>
      <x:c r="M775" s="56"/>
      <x:c r="N775" s="56" t="str">
        <x:v>Price and review display change.</x:v>
      </x:c>
      <x:c r="O775" s="56" t="str">
        <x:v>Codex</x:v>
      </x:c>
    </x:row>
    <x:row r="776" ht="110" customHeight="1">
      <x:c r="A776" s="56" t="str">
        <x:v>SRC-SBM-049</x:v>
      </x:c>
      <x:c r="B776" s="56" t="str">
        <x:v>KB015</x:v>
      </x:c>
      <x:c r="C776" s="56" t="str">
        <x:v>Competitor — Naturium body wash</x:v>
      </x:c>
      <x:c r="D776" s="56" t="str">
        <x:v>Target lists The Perfector Salicylic Acid Body Wash 16.9 fl oz at $16.89 with 4.29/1,531.</x:v>
      </x:c>
      <x:c r="E776" s="56" t="str">
        <x:v>Target / Naturium</x:v>
      </x:c>
      <x:c r="F776" s="56" t="str">
        <x:v>https://www.target.com/p/-/A-83754789</x:v>
      </x:c>
      <x:c r="G776" s="56" t="str">
        <x:v>Authorized Competitor Retailer</x:v>
      </x:c>
      <x:c r="H776" s="56"/>
      <x:c r="I776" s="56" t="str">
        <x:v>2026-08-01</x:v>
      </x:c>
      <x:c r="J776" s="56" t="str">
        <x:v>Verified Competitor Fact</x:v>
      </x:c>
      <x:c r="K776" s="56" t="str">
        <x:v>High</x:v>
      </x:c>
      <x:c r="L776" s="56" t="str">
        <x:v>Yes</x:v>
      </x:c>
      <x:c r="M776" s="56"/>
      <x:c r="N776" s="56" t="str">
        <x:v>Price and reviews change.</x:v>
      </x:c>
      <x:c r="O776" s="56" t="str">
        <x:v>Codex</x:v>
      </x:c>
    </x:row>
    <x:row r="777" ht="110" customHeight="1">
      <x:c r="A777" s="56" t="str">
        <x:v>SRC-SBM-050</x:v>
      </x:c>
      <x:c r="B777" s="56" t="str">
        <x:v>KB015</x:v>
      </x:c>
      <x:c r="C777" s="56" t="str">
        <x:v>Competitor — PanOxyl acne wash</x:v>
      </x:c>
      <x:c r="D777" s="56" t="str">
        <x:v>Target lists PanOxyl 10% Benzoyl Peroxide Acne Foaming Wash 5.5 oz at $10.69 with 4.42/1,541 and Drug Facts.</x:v>
      </x:c>
      <x:c r="E777" s="56" t="str">
        <x:v>Target / PanOxyl</x:v>
      </x:c>
      <x:c r="F777" s="56" t="str">
        <x:v>https://www.target.com/p/-/A-14984165</x:v>
      </x:c>
      <x:c r="G777" s="56" t="str">
        <x:v>Authorized Competitor Retailer</x:v>
      </x:c>
      <x:c r="H777" s="56"/>
      <x:c r="I777" s="56" t="str">
        <x:v>2026-08-01</x:v>
      </x:c>
      <x:c r="J777" s="56" t="str">
        <x:v>Verified Competitor / OTC Fact</x:v>
      </x:c>
      <x:c r="K777" s="56" t="str">
        <x:v>High</x:v>
      </x:c>
      <x:c r="L777" s="56" t="str">
        <x:v>Yes</x:v>
      </x:c>
      <x:c r="M777" s="56"/>
      <x:c r="N777" s="56" t="str">
        <x:v>Price and reviews change.</x:v>
      </x:c>
      <x:c r="O777" s="56" t="str">
        <x:v>Codex</x:v>
      </x:c>
    </x:row>
    <x:row r="778" ht="110" customHeight="1">
      <x:c r="A778" s="56" t="str">
        <x:v>SRC-SBM-051</x:v>
      </x:c>
      <x:c r="B778" s="56" t="str">
        <x:v>KB015</x:v>
      </x:c>
      <x:c r="C778" s="56" t="str">
        <x:v>U.S. trademark ownership</x:v>
      </x:c>
      <x:c r="D778" s="56" t="str">
        <x:v>U.S. trademark record aggregation identifies PERENNEBELL Co., Ltd. as owner of SOME BY MI registration filed in 2017 and registered in 2018.</x:v>
      </x:c>
      <x:c r="E778" s="56" t="str">
        <x:v>Justia Trademarks</x:v>
      </x:c>
      <x:c r="F778" s="56" t="str">
        <x:v>https://trademarks.justia.com/875/48/some-by-87548662.html</x:v>
      </x:c>
      <x:c r="G778" s="56" t="str">
        <x:v>Trademark Record Aggregator</x:v>
      </x:c>
      <x:c r="H778" s="56"/>
      <x:c r="I778" s="56" t="str">
        <x:v>2026-08-01</x:v>
      </x:c>
      <x:c r="J778" s="56" t="str">
        <x:v>Ownership Corroboration</x:v>
      </x:c>
      <x:c r="K778" s="56" t="str">
        <x:v>Medium-High</x:v>
      </x:c>
      <x:c r="L778" s="56" t="str">
        <x:v>Yes</x:v>
      </x:c>
      <x:c r="M778" s="56"/>
      <x:c r="N778" s="56" t="str">
        <x:v>Confirm live status and scope in USPTO before contracting.</x:v>
      </x:c>
      <x:c r="O778" s="56" t="str">
        <x:v>Codex</x:v>
      </x:c>
    </x:row>
    <x:row r="779" ht="110" customHeight="1">
      <x:c r="A779" s="56" t="str">
        <x:v>SRC-SBM-052</x:v>
      </x:c>
      <x:c r="B779" s="56" t="str">
        <x:v>KB015</x:v>
      </x:c>
      <x:c r="C779" s="56" t="str">
        <x:v>Official Amazon confirmation</x:v>
      </x:c>
      <x:c r="D779" s="56" t="str">
        <x:v>Brand Q&amp;A response confirms the linked SOMEBYMI Amazon site is an official mall operated by the brand.</x:v>
      </x:c>
      <x:c r="E779" s="56" t="str">
        <x:v>SOMEBYMI Official Store Q&amp;A</x:v>
      </x:c>
      <x:c r="F779" s="56" t="str">
        <x:v>https://somebymi.co.kr/article/qa/6/43046/</x:v>
      </x:c>
      <x:c r="G779" s="56" t="str">
        <x:v>Official Brand Confirmation</x:v>
      </x:c>
      <x:c r="H779" s="56"/>
      <x:c r="I779" s="56" t="str">
        <x:v>2026-08-01</x:v>
      </x:c>
      <x:c r="J779" s="56" t="str">
        <x:v>Verified Official Channel Fact</x:v>
      </x:c>
      <x:c r="K779" s="56" t="str">
        <x:v>High</x:v>
      </x:c>
      <x:c r="L779" s="56" t="str">
        <x:v>Yes</x:v>
      </x:c>
      <x:c r="M779" s="56"/>
      <x:c r="N779" s="56" t="str">
        <x:v>Seller and specific ASIN authorization remain dynamic.</x:v>
      </x:c>
      <x:c r="O779" s="56" t="str">
        <x:v>Codex</x:v>
      </x:c>
    </x:row>
    <x:row r="780" ht="112" customHeight="1">
      <x:c r="A780" s="56" t="str">
        <x:v>SRC-ISN-001</x:v>
      </x:c>
      <x:c r="B780" s="56" t="str">
        <x:v>KB016</x:v>
      </x:c>
      <x:c r="C780" s="56" t="str">
        <x:v>Core verification — Official Website</x:v>
      </x:c>
      <x:c r="D780" s="56" t="str">
        <x:v>Official HQ site is https://isntree.com / www.isntree.com; official global DTC is https://isntree-global.com.</x:v>
      </x:c>
      <x:c r="E780" s="56" t="str">
        <x:v>ISNTREE Official</x:v>
      </x:c>
      <x:c r="F780" s="56" t="str">
        <x:v>https://www.isntree.com/shopinfo/company.html</x:v>
      </x:c>
      <x:c r="G780" s="56" t="str">
        <x:v>Official Brand / Corporate Site</x:v>
      </x:c>
      <x:c r="H780" s="56"/>
      <x:c r="I780" s="56" t="str">
        <x:v>2026-08-01</x:v>
      </x:c>
      <x:c r="J780" s="56" t="str">
        <x:v>Verified Fact</x:v>
      </x:c>
      <x:c r="K780" s="56" t="str">
        <x:v>High</x:v>
      </x:c>
      <x:c r="L780" s="56" t="str">
        <x:v>Yes</x:v>
      </x:c>
      <x:c r="M780" s="56"/>
      <x:c r="N780" s="56" t="str">
        <x:v>Brand-owned company page and official global storefront.</x:v>
      </x:c>
      <x:c r="O780" s="56" t="str">
        <x:v>Codex</x:v>
      </x:c>
    </x:row>
    <x:row r="781" ht="112" customHeight="1">
      <x:c r="A781" s="56" t="str">
        <x:v>SRC-ISN-002</x:v>
      </x:c>
      <x:c r="B781" s="56" t="str">
        <x:v>KB016</x:v>
      </x:c>
      <x:c r="C781" s="56" t="str">
        <x:v>Company history and identity</x:v>
      </x:c>
      <x:c r="D781" s="56" t="str">
        <x:v>ISNTREE Inc. identifies CEO Kim Jinwoo, brand start in 2009, U.S. entry in 2017 and reach across about 40 countries.</x:v>
      </x:c>
      <x:c r="E781" s="56" t="str">
        <x:v>ISNTREE Official</x:v>
      </x:c>
      <x:c r="F781" s="56" t="str">
        <x:v>https://www.isntree.com/shopinfo/company.html</x:v>
      </x:c>
      <x:c r="G781" s="56" t="str">
        <x:v>Official Corporate Page</x:v>
      </x:c>
      <x:c r="H781" s="56"/>
      <x:c r="I781" s="56" t="str">
        <x:v>2026-08-01</x:v>
      </x:c>
      <x:c r="J781" s="56" t="str">
        <x:v>Verified Company Fact</x:v>
      </x:c>
      <x:c r="K781" s="56" t="str">
        <x:v>High</x:v>
      </x:c>
      <x:c r="L781" s="56" t="str">
        <x:v>Yes</x:v>
      </x:c>
      <x:c r="M781" s="56"/>
      <x:c r="N781" s="56" t="str">
        <x:v>Corporate self-report; wholesale legal roles require documents.</x:v>
      </x:c>
      <x:c r="O781" s="56" t="str">
        <x:v>Codex</x:v>
      </x:c>
    </x:row>
    <x:row r="782" ht="112" customHeight="1">
      <x:c r="A782" s="56" t="str">
        <x:v>SRC-ISN-003</x:v>
      </x:c>
      <x:c r="B782" s="56" t="str">
        <x:v>KB016</x:v>
      </x:c>
      <x:c r="C782" s="56" t="str">
        <x:v>Core verification — Primary Category</x:v>
      </x:c>
      <x:c r="D782" s="56" t="str">
        <x:v>Official global catalog supports skincare and sun care across HA, green tea, onion, yam root, mugwort, cleansers, toners, serums and creams.</x:v>
      </x:c>
      <x:c r="E782" s="56" t="str">
        <x:v>Isntree Official Global Store</x:v>
      </x:c>
      <x:c r="F782" s="56" t="str">
        <x:v>https://isntree-global.com/</x:v>
      </x:c>
      <x:c r="G782" s="56" t="str">
        <x:v>Official Brand Store</x:v>
      </x:c>
      <x:c r="H782" s="56"/>
      <x:c r="I782" s="56" t="str">
        <x:v>2026-08-01</x:v>
      </x:c>
      <x:c r="J782" s="56" t="str">
        <x:v>Verified Category Fact</x:v>
      </x:c>
      <x:c r="K782" s="56" t="str">
        <x:v>High</x:v>
      </x:c>
      <x:c r="L782" s="56" t="str">
        <x:v>Yes</x:v>
      </x:c>
      <x:c r="M782" s="56"/>
      <x:c r="N782" s="56" t="str">
        <x:v>Current official catalog reviewed.</x:v>
      </x:c>
      <x:c r="O782" s="56" t="str">
        <x:v>Codex</x:v>
      </x:c>
    </x:row>
    <x:row r="783" ht="112" customHeight="1">
      <x:c r="A783" s="56" t="str">
        <x:v>SRC-ISN-004</x:v>
      </x:c>
      <x:c r="B783" s="56" t="str">
        <x:v>KB016</x:v>
      </x:c>
      <x:c r="C783" s="56" t="str">
        <x:v>Official channel hub</x:v>
      </x:c>
      <x:c r="D783" s="56" t="str">
        <x:v>Official Linktree connects global DTC, Amazon U.S., Instagram, TikTok, Ulta, iHerb, Soko Glam and cross-border partners.</x:v>
      </x:c>
      <x:c r="E783" s="56" t="str">
        <x:v>Isntree Linktree</x:v>
      </x:c>
      <x:c r="F783" s="56" t="str">
        <x:v>https://linktr.ee/i_sntree</x:v>
      </x:c>
      <x:c r="G783" s="56" t="str">
        <x:v>Official Link Hub</x:v>
      </x:c>
      <x:c r="H783" s="56"/>
      <x:c r="I783" s="56" t="str">
        <x:v>2026-08-01</x:v>
      </x:c>
      <x:c r="J783" s="56" t="str">
        <x:v>Verified Channel Fact</x:v>
      </x:c>
      <x:c r="K783" s="56" t="str">
        <x:v>High</x:v>
      </x:c>
      <x:c r="L783" s="56" t="str">
        <x:v>Yes</x:v>
      </x:c>
      <x:c r="M783" s="56"/>
      <x:c r="N783" s="56" t="str">
        <x:v>Partner inventory and terms remain dynamic.</x:v>
      </x:c>
      <x:c r="O783" s="56" t="str">
        <x:v>Codex</x:v>
      </x:c>
    </x:row>
    <x:row r="784" ht="112" customHeight="1">
      <x:c r="A784" s="56" t="str">
        <x:v>SRC-ISN-005</x:v>
      </x:c>
      <x:c r="B784" s="56" t="str">
        <x:v>KB016</x:v>
      </x:c>
      <x:c r="C784" s="56" t="str">
        <x:v>Official Amazon store</x:v>
      </x:c>
      <x:c r="D784" s="56" t="str">
        <x:v>Official Linktree routes to the ISNTREE Amazon U.S. brand store.</x:v>
      </x:c>
      <x:c r="E784" s="56" t="str">
        <x:v>Amazon U.S. / Isntree</x:v>
      </x:c>
      <x:c r="F784" s="56" t="str">
        <x:v>https://www.amazon.com/stores/ISNTREE/page/281F8A7E-6667-4207-B366-C3D814E2401E</x:v>
      </x:c>
      <x:c r="G784" s="56" t="str">
        <x:v>Official Marketplace Store</x:v>
      </x:c>
      <x:c r="H784" s="56"/>
      <x:c r="I784" s="56" t="str">
        <x:v>2026-08-01</x:v>
      </x:c>
      <x:c r="J784" s="56" t="str">
        <x:v>Verified Official Channel</x:v>
      </x:c>
      <x:c r="K784" s="56" t="str">
        <x:v>High</x:v>
      </x:c>
      <x:c r="L784" s="56" t="str">
        <x:v>Yes</x:v>
      </x:c>
      <x:c r="M784" s="56"/>
      <x:c r="N784" s="56" t="str">
        <x:v>Seller status also checked on sampled ASINs.</x:v>
      </x:c>
      <x:c r="O784" s="56" t="str">
        <x:v>Codex</x:v>
      </x:c>
    </x:row>
    <x:row r="785" ht="112" customHeight="1">
      <x:c r="A785" s="56" t="str">
        <x:v>SRC-ISN-006</x:v>
      </x:c>
      <x:c r="B785" s="56" t="str">
        <x:v>KB016</x:v>
      </x:c>
      <x:c r="C785" s="56" t="str">
        <x:v>Official social accounts</x:v>
      </x:c>
      <x:c r="D785" s="56" t="str">
        <x:v>Official Linktree identifies @isntree_offical across Instagram, TikTok, Threads and YouTube.</x:v>
      </x:c>
      <x:c r="E785" s="56" t="str">
        <x:v>Isntree Linktree</x:v>
      </x:c>
      <x:c r="F785" s="56" t="str">
        <x:v>https://linktr.ee/i_sntree</x:v>
      </x:c>
      <x:c r="G785" s="56" t="str">
        <x:v>Official Social Hub</x:v>
      </x:c>
      <x:c r="H785" s="56"/>
      <x:c r="I785" s="56" t="str">
        <x:v>2026-08-01</x:v>
      </x:c>
      <x:c r="J785" s="56" t="str">
        <x:v>Verified Awareness Fact</x:v>
      </x:c>
      <x:c r="K785" s="56" t="str">
        <x:v>High</x:v>
      </x:c>
      <x:c r="L785" s="56" t="str">
        <x:v>Yes</x:v>
      </x:c>
      <x:c r="M785" s="56"/>
      <x:c r="N785" s="56" t="str">
        <x:v>Handle uses the brand's own spelling 'offical'.</x:v>
      </x:c>
      <x:c r="O785" s="56" t="str">
        <x:v>Codex</x:v>
      </x:c>
    </x:row>
    <x:row r="786" ht="112" customHeight="1">
      <x:c r="A786" s="56" t="str">
        <x:v>SRC-ISN-007</x:v>
      </x:c>
      <x:c r="B786" s="56" t="str">
        <x:v>KB016</x:v>
      </x:c>
      <x:c r="C786" s="56" t="str">
        <x:v>Instagram awareness snapshot</x:v>
      </x:c>
      <x:c r="D786" s="56" t="str">
        <x:v>Third-party snapshot indicated about 189.7K followers; official hub promoted a 200K milestone.</x:v>
      </x:c>
      <x:c r="E786" s="56" t="str">
        <x:v>Instagram / Third-Party Snapshot</x:v>
      </x:c>
      <x:c r="F786" s="56" t="str">
        <x:v>https://www.instagram.com/isntree_offical/</x:v>
      </x:c>
      <x:c r="G786" s="56" t="str">
        <x:v>Official Account + Third-Party Metric</x:v>
      </x:c>
      <x:c r="H786" s="56"/>
      <x:c r="I786" s="56" t="str">
        <x:v>2026-08-01</x:v>
      </x:c>
      <x:c r="J786" s="56" t="str">
        <x:v>Dynamic Awareness Signal</x:v>
      </x:c>
      <x:c r="K786" s="56" t="str">
        <x:v>Medium</x:v>
      </x:c>
      <x:c r="L786" s="56" t="str">
        <x:v>Yes</x:v>
      </x:c>
      <x:c r="M786" s="56"/>
      <x:c r="N786" s="56" t="str">
        <x:v>U.S. audience share and current platform-native metrics not public.</x:v>
      </x:c>
      <x:c r="O786" s="56" t="str">
        <x:v>Codex</x:v>
      </x:c>
    </x:row>
    <x:row r="787" ht="112" customHeight="1">
      <x:c r="A787" s="56" t="str">
        <x:v>SRC-ISN-008</x:v>
      </x:c>
      <x:c r="B787" s="56" t="str">
        <x:v>KB016</x:v>
      </x:c>
      <x:c r="C787" s="56" t="str">
        <x:v>Ulta launch history</x:v>
      </x:c>
      <x:c r="D787" s="56" t="str">
        <x:v>Isntree announced that the brand became available on Ulta.com in early 2025.</x:v>
      </x:c>
      <x:c r="E787" s="56" t="str">
        <x:v>ISNTREE LinkedIn</x:v>
      </x:c>
      <x:c r="F787" s="56" t="str">
        <x:v>https://www.linkedin.com/posts/isntree_isntree-ultabeauty-nowonulta-activity-7300427121636585472-HiAA</x:v>
      </x:c>
      <x:c r="G787" s="56" t="str">
        <x:v>Official Company Announcement</x:v>
      </x:c>
      <x:c r="H787" s="56"/>
      <x:c r="I787" s="56" t="str">
        <x:v>2026-08-01</x:v>
      </x:c>
      <x:c r="J787" s="56" t="str">
        <x:v>Historical Channel Fact</x:v>
      </x:c>
      <x:c r="K787" s="56" t="str">
        <x:v>High</x:v>
      </x:c>
      <x:c r="L787" s="56" t="str">
        <x:v>Yes</x:v>
      </x:c>
      <x:c r="M787" s="56"/>
      <x:c r="N787" s="56" t="str">
        <x:v>Does not prove current inventory.</x:v>
      </x:c>
      <x:c r="O787" s="56" t="str">
        <x:v>Codex</x:v>
      </x:c>
    </x:row>
    <x:row r="788" ht="112" customHeight="1">
      <x:c r="A788" s="56" t="str">
        <x:v>SRC-ISN-009</x:v>
      </x:c>
      <x:c r="B788" s="56" t="str">
        <x:v>KB016</x:v>
      </x:c>
      <x:c r="C788" s="56" t="str">
        <x:v>Ulta current availability</x:v>
      </x:c>
      <x:c r="D788" s="56" t="str">
        <x:v>Current Ulta brand/search checks showed zero Isntree products despite historical launch and official hub link.</x:v>
      </x:c>
      <x:c r="E788" s="56" t="str">
        <x:v>Ulta Beauty</x:v>
      </x:c>
      <x:c r="F788" s="56" t="str">
        <x:v>https://www.ulta.com/brand/isntree</x:v>
      </x:c>
      <x:c r="G788" s="56" t="str">
        <x:v>Retailer Brand Page</x:v>
      </x:c>
      <x:c r="H788" s="56"/>
      <x:c r="I788" s="56" t="str">
        <x:v>2026-08-01</x:v>
      </x:c>
      <x:c r="J788" s="56" t="str">
        <x:v>Current Inventory Check</x:v>
      </x:c>
      <x:c r="K788" s="56" t="str">
        <x:v>Medium-High</x:v>
      </x:c>
      <x:c r="L788" s="56" t="str">
        <x:v>Yes</x:v>
      </x:c>
      <x:c r="M788" s="56"/>
      <x:c r="N788" s="56" t="str">
        <x:v>Confirm account status directly; search/indexing may change.</x:v>
      </x:c>
      <x:c r="O788" s="56" t="str">
        <x:v>Codex</x:v>
      </x:c>
    </x:row>
    <x:row r="789" ht="112" customHeight="1">
      <x:c r="A789" s="56" t="str">
        <x:v>SRC-ISN-010</x:v>
      </x:c>
      <x:c r="B789" s="56" t="str">
        <x:v>KB016</x:v>
      </x:c>
      <x:c r="C789" s="56" t="str">
        <x:v>Amazon — Daily Sun Gel</x:v>
      </x:c>
      <x:c r="D789" s="56" t="str">
        <x:v>ASIN B0C7B55GS3 showed 5K+ bought/month, $15.90, 4.6/1,021, #4,579 Beauty and #63 Facial Sunscreens, sold by ISNTREE Official and shipped by Amazon.</x:v>
      </x:c>
      <x:c r="E789" s="56" t="str">
        <x:v>Amazon U.S.</x:v>
      </x:c>
      <x:c r="F789" s="56" t="str">
        <x:v>https://www.amazon.com/dp/B0C7B55GS3</x:v>
      </x:c>
      <x:c r="G789" s="56" t="str">
        <x:v>Marketplace Display</x:v>
      </x:c>
      <x:c r="H789" s="56"/>
      <x:c r="I789" s="56" t="str">
        <x:v>2026-08-01</x:v>
      </x:c>
      <x:c r="J789" s="56" t="str">
        <x:v>Verified Platform Display</x:v>
      </x:c>
      <x:c r="K789" s="56" t="str">
        <x:v>High</x:v>
      </x:c>
      <x:c r="L789" s="56" t="str">
        <x:v>Yes</x:v>
      </x:c>
      <x:c r="M789" s="56"/>
      <x:c r="N789" s="56" t="str">
        <x:v>Dynamic proxy; exact U.S. SPF30 product.</x:v>
      </x:c>
      <x:c r="O789" s="56" t="str">
        <x:v>Codex</x:v>
      </x:c>
    </x:row>
    <x:row r="790" ht="112" customHeight="1">
      <x:c r="A790" s="56" t="str">
        <x:v>SRC-ISN-011</x:v>
      </x:c>
      <x:c r="B790" s="56" t="str">
        <x:v>KB016</x:v>
      </x:c>
      <x:c r="C790" s="56" t="str">
        <x:v>Amazon — Green Tea Toner</x:v>
      </x:c>
      <x:c r="D790" s="56" t="str">
        <x:v>ASIN B073PQPDP3 showed 1K+ bought/month, $16.90, 4.6/4,524, sold by ISNTREE Official and shipped by Amazon.</x:v>
      </x:c>
      <x:c r="E790" s="56" t="str">
        <x:v>Amazon U.S.</x:v>
      </x:c>
      <x:c r="F790" s="56" t="str">
        <x:v>https://www.amazon.com/dp/B073PQPDP3</x:v>
      </x:c>
      <x:c r="G790" s="56" t="str">
        <x:v>Marketplace Display</x:v>
      </x:c>
      <x:c r="H790" s="56"/>
      <x:c r="I790" s="56" t="str">
        <x:v>2026-08-01</x:v>
      </x:c>
      <x:c r="J790" s="56" t="str">
        <x:v>Verified Platform Display</x:v>
      </x:c>
      <x:c r="K790" s="56" t="str">
        <x:v>High</x:v>
      </x:c>
      <x:c r="L790" s="56" t="str">
        <x:v>Yes</x:v>
      </x:c>
      <x:c r="M790" s="56"/>
      <x:c r="N790" s="56" t="str">
        <x:v>Dynamic proxy.</x:v>
      </x:c>
      <x:c r="O790" s="56" t="str">
        <x:v>Codex</x:v>
      </x:c>
    </x:row>
    <x:row r="791" ht="112" customHeight="1">
      <x:c r="A791" s="56" t="str">
        <x:v>SRC-ISN-012</x:v>
      </x:c>
      <x:c r="B791" s="56" t="str">
        <x:v>KB016</x:v>
      </x:c>
      <x:c r="C791" s="56" t="str">
        <x:v>Amazon — HA Serum</x:v>
      </x:c>
      <x:c r="D791" s="56" t="str">
        <x:v>ASIN B0BQBR6BPQ showed 600+ bought/month, $17.80, 4.6/610, sold by ISNTREE Official and shipped by Amazon.</x:v>
      </x:c>
      <x:c r="E791" s="56" t="str">
        <x:v>Amazon U.S.</x:v>
      </x:c>
      <x:c r="F791" s="56" t="str">
        <x:v>https://www.amazon.com/dp/B0BQBR6BPQ</x:v>
      </x:c>
      <x:c r="G791" s="56" t="str">
        <x:v>Marketplace Display</x:v>
      </x:c>
      <x:c r="H791" s="56"/>
      <x:c r="I791" s="56" t="str">
        <x:v>2026-08-01</x:v>
      </x:c>
      <x:c r="J791" s="56" t="str">
        <x:v>Verified Platform Display</x:v>
      </x:c>
      <x:c r="K791" s="56" t="str">
        <x:v>High</x:v>
      </x:c>
      <x:c r="L791" s="56" t="str">
        <x:v>Yes</x:v>
      </x:c>
      <x:c r="M791" s="56"/>
      <x:c r="N791" s="56" t="str">
        <x:v>Dynamic proxy.</x:v>
      </x:c>
      <x:c r="O791" s="56" t="str">
        <x:v>Codex</x:v>
      </x:c>
    </x:row>
    <x:row r="792" ht="112" customHeight="1">
      <x:c r="A792" s="56" t="str">
        <x:v>SRC-ISN-013</x:v>
      </x:c>
      <x:c r="B792" s="56" t="str">
        <x:v>KB016</x:v>
      </x:c>
      <x:c r="C792" s="56" t="str">
        <x:v>Amazon — Aqua Gel Cream</x:v>
      </x:c>
      <x:c r="D792" s="56" t="str">
        <x:v>ASIN B073JBWN86 showed 1K+ bought/month, $16.40, 4.6/1,393, sold by ISNTREE Official and shipped by Amazon.</x:v>
      </x:c>
      <x:c r="E792" s="56" t="str">
        <x:v>Amazon U.S.</x:v>
      </x:c>
      <x:c r="F792" s="56" t="str">
        <x:v>https://www.amazon.com/dp/B073JBWN86</x:v>
      </x:c>
      <x:c r="G792" s="56" t="str">
        <x:v>Marketplace Display</x:v>
      </x:c>
      <x:c r="H792" s="56"/>
      <x:c r="I792" s="56" t="str">
        <x:v>2026-08-01</x:v>
      </x:c>
      <x:c r="J792" s="56" t="str">
        <x:v>Verified Platform Display</x:v>
      </x:c>
      <x:c r="K792" s="56" t="str">
        <x:v>High</x:v>
      </x:c>
      <x:c r="L792" s="56" t="str">
        <x:v>Yes</x:v>
      </x:c>
      <x:c r="M792" s="56"/>
      <x:c r="N792" s="56" t="str">
        <x:v>Dynamic proxy.</x:v>
      </x:c>
      <x:c r="O792" s="56" t="str">
        <x:v>Codex</x:v>
      </x:c>
    </x:row>
    <x:row r="793" ht="112" customHeight="1">
      <x:c r="A793" s="56" t="str">
        <x:v>SRC-ISN-014</x:v>
      </x:c>
      <x:c r="B793" s="56" t="str">
        <x:v>KB016</x:v>
      </x:c>
      <x:c r="C793" s="56" t="str">
        <x:v>Amazon — Yam Root Cleanser</x:v>
      </x:c>
      <x:c r="D793" s="56" t="str">
        <x:v>ASIN B09Y5GSG45 showed 500+ bought/month, $20.90, 4.3/447, sold by ISNTREE Official and shipped by Amazon.</x:v>
      </x:c>
      <x:c r="E793" s="56" t="str">
        <x:v>Amazon U.S.</x:v>
      </x:c>
      <x:c r="F793" s="56" t="str">
        <x:v>https://www.amazon.com/dp/B09Y5GSG45</x:v>
      </x:c>
      <x:c r="G793" s="56" t="str">
        <x:v>Marketplace Display</x:v>
      </x:c>
      <x:c r="H793" s="56"/>
      <x:c r="I793" s="56" t="str">
        <x:v>2026-08-01</x:v>
      </x:c>
      <x:c r="J793" s="56" t="str">
        <x:v>Verified Platform Display</x:v>
      </x:c>
      <x:c r="K793" s="56" t="str">
        <x:v>High</x:v>
      </x:c>
      <x:c r="L793" s="56" t="str">
        <x:v>Yes</x:v>
      </x:c>
      <x:c r="M793" s="56"/>
      <x:c r="N793" s="56" t="str">
        <x:v>Dynamic proxy.</x:v>
      </x:c>
      <x:c r="O793" s="56" t="str">
        <x:v>Codex</x:v>
      </x:c>
    </x:row>
    <x:row r="794" ht="112" customHeight="1">
      <x:c r="A794" s="56" t="str">
        <x:v>SRC-ISN-015</x:v>
      </x:c>
      <x:c r="B794" s="56" t="str">
        <x:v>KB016</x:v>
      </x:c>
      <x:c r="C794" s="56" t="str">
        <x:v>Core verification — Amazon strength</x:v>
      </x:c>
      <x:c r="D794" s="56" t="str">
        <x:v>Five distinct official-seller ASIN badges imply at least 8,100 monthly units and $133,930/month at observed prices.</x:v>
      </x:c>
      <x:c r="E794" s="56" t="str">
        <x:v>Analyst Calculation</x:v>
      </x:c>
      <x:c r="F794" s="56" t="str">
        <x:v>https://www.amazon.com/stores/ISNTREE/page/281F8A7E-6667-4207-B366-C3D814E2401E</x:v>
      </x:c>
      <x:c r="G794" s="56" t="str">
        <x:v>Derived from Marketplace Displays</x:v>
      </x:c>
      <x:c r="H794" s="56"/>
      <x:c r="I794" s="56" t="str">
        <x:v>2026-08-01</x:v>
      </x:c>
      <x:c r="J794" s="56" t="str">
        <x:v>Conservative Sales Proxy</x:v>
      </x:c>
      <x:c r="K794" s="56" t="str">
        <x:v>Medium-High</x:v>
      </x:c>
      <x:c r="L794" s="56" t="str">
        <x:v>Yes</x:v>
      </x:c>
      <x:c r="M794" s="56"/>
      <x:c r="N794" s="56" t="str">
        <x:v>Not audited revenue; excludes other ASINs, coupons, returns, taxes and units above badge minimums.</x:v>
      </x:c>
      <x:c r="O794" s="56" t="str">
        <x:v>Codex</x:v>
      </x:c>
    </x:row>
    <x:row r="795" ht="112" customHeight="1">
      <x:c r="A795" s="56" t="str">
        <x:v>SRC-ISN-016</x:v>
      </x:c>
      <x:c r="B795" s="56" t="str">
        <x:v>KB016</x:v>
      </x:c>
      <x:c r="C795" s="56" t="str">
        <x:v>TikTok Shop U.S.</x:v>
      </x:c>
      <x:c r="D795" s="56" t="str">
        <x:v>Cached TikTok result displayed 1,529 sold; current Daily Sun Gel result displayed 38 sold, but live store access was blocked by a security check.</x:v>
      </x:c>
      <x:c r="E795" s="56" t="str">
        <x:v>TikTok Shop U.S.</x:v>
      </x:c>
      <x:c r="F795" s="56" t="str">
        <x:v>https://shop.tiktok.com/us/store/isntree-us-shop/7495591158445607240</x:v>
      </x:c>
      <x:c r="G795" s="56" t="str">
        <x:v>Official Social-Commerce Store / Cached Display</x:v>
      </x:c>
      <x:c r="H795" s="56"/>
      <x:c r="I795" s="56" t="str">
        <x:v>2026-08-01</x:v>
      </x:c>
      <x:c r="J795" s="56" t="str">
        <x:v>Dynamic Platform Signal</x:v>
      </x:c>
      <x:c r="K795" s="56" t="str">
        <x:v>Low-Medium</x:v>
      </x:c>
      <x:c r="L795" s="56" t="str">
        <x:v>Yes</x:v>
      </x:c>
      <x:c r="M795" s="56"/>
      <x:c r="N795" s="56" t="str">
        <x:v>Recheck platform-native metrics; not audited revenue.</x:v>
      </x:c>
      <x:c r="O795" s="56" t="str">
        <x:v>Codex</x:v>
      </x:c>
    </x:row>
    <x:row r="796" ht="112" customHeight="1">
      <x:c r="A796" s="56" t="str">
        <x:v>SRC-ISN-017</x:v>
      </x:c>
      <x:c r="B796" s="56" t="str">
        <x:v>KB016</x:v>
      </x:c>
      <x:c r="C796" s="56" t="str">
        <x:v>iHerb brand presence</x:v>
      </x:c>
      <x:c r="D796" s="56" t="str">
        <x:v>iHerb showed about 27 Isntree products and states its products are authentic/directly or authoritatively sourced.</x:v>
      </x:c>
      <x:c r="E796" s="56" t="str">
        <x:v>iHerb</x:v>
      </x:c>
      <x:c r="F796" s="56" t="str">
        <x:v>https://www.iherb.com/c/isntree</x:v>
      </x:c>
      <x:c r="G796" s="56" t="str">
        <x:v>Authorized Specialty Retailer</x:v>
      </x:c>
      <x:c r="H796" s="56"/>
      <x:c r="I796" s="56" t="str">
        <x:v>2026-08-01</x:v>
      </x:c>
      <x:c r="J796" s="56" t="str">
        <x:v>Verified Retail Presence</x:v>
      </x:c>
      <x:c r="K796" s="56" t="str">
        <x:v>High</x:v>
      </x:c>
      <x:c r="L796" s="56" t="str">
        <x:v>Yes</x:v>
      </x:c>
      <x:c r="M796" s="56"/>
      <x:c r="N796" s="56" t="str">
        <x:v>Assortment and availability are dynamic.</x:v>
      </x:c>
      <x:c r="O796" s="56" t="str">
        <x:v>Codex</x:v>
      </x:c>
    </x:row>
    <x:row r="797" ht="112" customHeight="1">
      <x:c r="A797" s="56" t="str">
        <x:v>SRC-ISN-018</x:v>
      </x:c>
      <x:c r="B797" s="56" t="str">
        <x:v>KB016</x:v>
      </x:c>
      <x:c r="C797" s="56" t="str">
        <x:v>iHerb — Green Tea Toner</x:v>
      </x:c>
      <x:c r="D797" s="56" t="str">
        <x:v>iHerb showed Green Tea Fresh Toner at $24.36, 4.6/about 3,073 reviews, 300+ sold in 30 days, #27 K-Beauty Toners and #44 Toners.</x:v>
      </x:c>
      <x:c r="E797" s="56" t="str">
        <x:v>iHerb</x:v>
      </x:c>
      <x:c r="F797" s="56" t="str">
        <x:v>https://www.iherb.com/pr/isntree-green-tea-fresh-toner-6-76-fl-oz-200-ml/97087</x:v>
      </x:c>
      <x:c r="G797" s="56" t="str">
        <x:v>Authorized Retailer Product Page</x:v>
      </x:c>
      <x:c r="H797" s="56"/>
      <x:c r="I797" s="56" t="str">
        <x:v>2026-08-01</x:v>
      </x:c>
      <x:c r="J797" s="56" t="str">
        <x:v>Verified Retail / Demand Signal</x:v>
      </x:c>
      <x:c r="K797" s="56" t="str">
        <x:v>High</x:v>
      </x:c>
      <x:c r="L797" s="56" t="str">
        <x:v>Yes</x:v>
      </x:c>
      <x:c r="M797" s="56"/>
      <x:c r="N797" s="56" t="str">
        <x:v>Price, review count, sold display and rank are dynamic.</x:v>
      </x:c>
      <x:c r="O797" s="56" t="str">
        <x:v>Codex</x:v>
      </x:c>
    </x:row>
    <x:row r="798" ht="112" customHeight="1">
      <x:c r="A798" s="56" t="str">
        <x:v>SRC-ISN-019</x:v>
      </x:c>
      <x:c r="B798" s="56" t="str">
        <x:v>KB016</x:v>
      </x:c>
      <x:c r="C798" s="56" t="str">
        <x:v>iHerb — Daily Sun and Aqua Gel demand</x:v>
      </x:c>
      <x:c r="D798" s="56" t="str">
        <x:v>Brand page showed Daily Sun Gel at $15 with 1K+ sold in 30 days and Aqua Gel Cream at $19.28 with 1K+ sold and about 4,127 reviews.</x:v>
      </x:c>
      <x:c r="E798" s="56" t="str">
        <x:v>iHerb</x:v>
      </x:c>
      <x:c r="F798" s="56" t="str">
        <x:v>https://www.iherb.com/c/isntree</x:v>
      </x:c>
      <x:c r="G798" s="56" t="str">
        <x:v>Authorized Retailer Brand Page</x:v>
      </x:c>
      <x:c r="H798" s="56"/>
      <x:c r="I798" s="56" t="str">
        <x:v>2026-08-01</x:v>
      </x:c>
      <x:c r="J798" s="56" t="str">
        <x:v>Verified Retail / Demand Signal</x:v>
      </x:c>
      <x:c r="K798" s="56" t="str">
        <x:v>High</x:v>
      </x:c>
      <x:c r="L798" s="56" t="str">
        <x:v>Yes</x:v>
      </x:c>
      <x:c r="M798" s="56"/>
      <x:c r="N798" s="56" t="str">
        <x:v>Product pages and current counts should be rechecked before negotiation.</x:v>
      </x:c>
      <x:c r="O798" s="56" t="str">
        <x:v>Codex</x:v>
      </x:c>
    </x:row>
    <x:row r="799" ht="112" customHeight="1">
      <x:c r="A799" s="56" t="str">
        <x:v>SRC-ISN-020</x:v>
      </x:c>
      <x:c r="B799" s="56" t="str">
        <x:v>KB016</x:v>
      </x:c>
      <x:c r="C799" s="56" t="str">
        <x:v>Target presence</x:v>
      </x:c>
      <x:c r="D799" s="56" t="str">
        <x:v>Target showed an Isntree skin-care category and product listings.</x:v>
      </x:c>
      <x:c r="E799" s="56" t="str">
        <x:v>Target</x:v>
      </x:c>
      <x:c r="F799" s="56" t="str">
        <x:v>https://www.target.com/c/skin-care-beauty/isntree/-/N-5xtzjZq643lew0s3m</x:v>
      </x:c>
      <x:c r="G799" s="56" t="str">
        <x:v>Retail Marketplace Category</x:v>
      </x:c>
      <x:c r="H799" s="56"/>
      <x:c r="I799" s="56" t="str">
        <x:v>2026-08-01</x:v>
      </x:c>
      <x:c r="J799" s="56" t="str">
        <x:v>Verified Visibility</x:v>
      </x:c>
      <x:c r="K799" s="56" t="str">
        <x:v>Medium-High</x:v>
      </x:c>
      <x:c r="L799" s="56" t="str">
        <x:v>Yes</x:v>
      </x:c>
      <x:c r="M799" s="56"/>
      <x:c r="N799" s="56" t="str">
        <x:v>Seller identity must be checked per item.</x:v>
      </x:c>
      <x:c r="O799" s="56" t="str">
        <x:v>Codex</x:v>
      </x:c>
    </x:row>
    <x:row r="800" ht="112" customHeight="1">
      <x:c r="A800" s="56" t="str">
        <x:v>SRC-ISN-021</x:v>
      </x:c>
      <x:c r="B800" s="56" t="str">
        <x:v>KB016</x:v>
      </x:c>
      <x:c r="C800" s="56" t="str">
        <x:v>Target Plus seller provenance</x:v>
      </x:c>
      <x:c r="D800" s="56" t="str">
        <x:v>Sampled Target Isntree product was sold and shipped by iHerb, not established as first-party Target inventory.</x:v>
      </x:c>
      <x:c r="E800" s="56" t="str">
        <x:v>Target</x:v>
      </x:c>
      <x:c r="F800" s="56" t="str">
        <x:v>https://www.target.com/p/-/A-1003432520</x:v>
      </x:c>
      <x:c r="G800" s="56" t="str">
        <x:v>Target Plus Product Page</x:v>
      </x:c>
      <x:c r="H800" s="56"/>
      <x:c r="I800" s="56" t="str">
        <x:v>2026-08-01</x:v>
      </x:c>
      <x:c r="J800" s="56" t="str">
        <x:v>Verified Seller Risk</x:v>
      </x:c>
      <x:c r="K800" s="56" t="str">
        <x:v>High</x:v>
      </x:c>
      <x:c r="L800" s="56" t="str">
        <x:v>Yes</x:v>
      </x:c>
      <x:c r="M800" s="56"/>
      <x:c r="N800" s="56" t="str">
        <x:v>Do not describe as a first-party Target account.</x:v>
      </x:c>
      <x:c r="O800" s="56" t="str">
        <x:v>Codex</x:v>
      </x:c>
    </x:row>
    <x:row r="801" ht="112" customHeight="1">
      <x:c r="A801" s="56" t="str">
        <x:v>SRC-ISN-022</x:v>
      </x:c>
      <x:c r="B801" s="56" t="str">
        <x:v>KB016</x:v>
      </x:c>
      <x:c r="C801" s="56" t="str">
        <x:v>Walmart marketplace presence</x:v>
      </x:c>
      <x:c r="D801" s="56" t="str">
        <x:v>Walmart brand page displayed about 25 Isntree products with mixed seller provenance.</x:v>
      </x:c>
      <x:c r="E801" s="56" t="str">
        <x:v>Walmart</x:v>
      </x:c>
      <x:c r="F801" s="56" t="str">
        <x:v>https://www.walmart.com/c/brand/isntree</x:v>
      </x:c>
      <x:c r="G801" s="56" t="str">
        <x:v>Marketplace Brand Page</x:v>
      </x:c>
      <x:c r="H801" s="56"/>
      <x:c r="I801" s="56" t="str">
        <x:v>2026-08-01</x:v>
      </x:c>
      <x:c r="J801" s="56" t="str">
        <x:v>Verified Visibility / Seller Risk</x:v>
      </x:c>
      <x:c r="K801" s="56" t="str">
        <x:v>Medium</x:v>
      </x:c>
      <x:c r="L801" s="56" t="str">
        <x:v>Yes</x:v>
      </x:c>
      <x:c r="M801" s="56"/>
      <x:c r="N801" s="56" t="str">
        <x:v>Verify seller, version, lot, UPC and expiration by item.</x:v>
      </x:c>
      <x:c r="O801" s="56" t="str">
        <x:v>Codex</x:v>
      </x:c>
    </x:row>
    <x:row r="802" ht="112" customHeight="1">
      <x:c r="A802" s="56" t="str">
        <x:v>SRC-ISN-023</x:v>
      </x:c>
      <x:c r="B802" s="56" t="str">
        <x:v>KB016</x:v>
      </x:c>
      <x:c r="C802" s="56" t="str">
        <x:v>Official global assortment and price</x:v>
      </x:c>
      <x:c r="D802" s="56" t="str">
        <x:v>Official store lists Watery Sun Gel, Green Tea Toner, HA Serum, Aqua Gel Cream and other best sellers with accessible list prices.</x:v>
      </x:c>
      <x:c r="E802" s="56" t="str">
        <x:v>Isntree Official Global Store</x:v>
      </x:c>
      <x:c r="F802" s="56" t="str">
        <x:v>https://isntree-global.com/</x:v>
      </x:c>
      <x:c r="G802" s="56" t="str">
        <x:v>Official Brand Store</x:v>
      </x:c>
      <x:c r="H802" s="56"/>
      <x:c r="I802" s="56" t="str">
        <x:v>2026-08-01</x:v>
      </x:c>
      <x:c r="J802" s="56" t="str">
        <x:v>Verified Product / Price Fact</x:v>
      </x:c>
      <x:c r="K802" s="56" t="str">
        <x:v>High</x:v>
      </x:c>
      <x:c r="L802" s="56" t="str">
        <x:v>Yes</x:v>
      </x:c>
      <x:c r="M802" s="56"/>
      <x:c r="N802" s="56" t="str">
        <x:v>Global prices and versions are not automatically U.S. MSRP/formula.</x:v>
      </x:c>
      <x:c r="O802" s="56" t="str">
        <x:v>Codex</x:v>
      </x:c>
    </x:row>
    <x:row r="803" ht="112" customHeight="1">
      <x:c r="A803" s="56" t="str">
        <x:v>SRC-ISN-024</x:v>
      </x:c>
      <x:c r="B803" s="56" t="str">
        <x:v>KB016</x:v>
      </x:c>
      <x:c r="C803" s="56" t="str">
        <x:v>Soko Glam — Green Tea Toner</x:v>
      </x:c>
      <x:c r="D803" s="56" t="str">
        <x:v>Soko Glam listed Green Tea Fresh Toner at $20 with 4.5/179.</x:v>
      </x:c>
      <x:c r="E803" s="56" t="str">
        <x:v>Soko Glam</x:v>
      </x:c>
      <x:c r="F803" s="56" t="str">
        <x:v>https://sokoglam.com/collections/toner/products/isntree-green-tea-fresh-toner</x:v>
      </x:c>
      <x:c r="G803" s="56" t="str">
        <x:v>Officially Linked U.S. Specialty Retailer</x:v>
      </x:c>
      <x:c r="H803" s="56"/>
      <x:c r="I803" s="56" t="str">
        <x:v>2026-08-01</x:v>
      </x:c>
      <x:c r="J803" s="56" t="str">
        <x:v>Verified Retail Fact</x:v>
      </x:c>
      <x:c r="K803" s="56" t="str">
        <x:v>High</x:v>
      </x:c>
      <x:c r="L803" s="56" t="str">
        <x:v>Yes</x:v>
      </x:c>
      <x:c r="M803" s="56"/>
      <x:c r="N803" s="56" t="str">
        <x:v>Price, stock and reviews change.</x:v>
      </x:c>
      <x:c r="O803" s="56" t="str">
        <x:v>Codex</x:v>
      </x:c>
    </x:row>
    <x:row r="804" ht="112" customHeight="1">
      <x:c r="A804" s="56" t="str">
        <x:v>SRC-ISN-025</x:v>
      </x:c>
      <x:c r="B804" s="56" t="str">
        <x:v>KB016</x:v>
      </x:c>
      <x:c r="C804" s="56" t="str">
        <x:v>Soko Glam — Daily Sun Gel</x:v>
      </x:c>
      <x:c r="D804" s="56" t="str">
        <x:v>Soko Glam listed Daily Sun Gel SPF30 at $20 and surfaced it in best-seller curation.</x:v>
      </x:c>
      <x:c r="E804" s="56" t="str">
        <x:v>Soko Glam</x:v>
      </x:c>
      <x:c r="F804" s="56" t="str">
        <x:v>https://sokoglam.com/collections/sandys-picks</x:v>
      </x:c>
      <x:c r="G804" s="56" t="str">
        <x:v>Officially Linked U.S. Specialty Retailer</x:v>
      </x:c>
      <x:c r="H804" s="56"/>
      <x:c r="I804" s="56" t="str">
        <x:v>2026-08-01</x:v>
      </x:c>
      <x:c r="J804" s="56" t="str">
        <x:v>Verified Retail Fact</x:v>
      </x:c>
      <x:c r="K804" s="56" t="str">
        <x:v>Medium-High</x:v>
      </x:c>
      <x:c r="L804" s="56" t="str">
        <x:v>Yes</x:v>
      </x:c>
      <x:c r="M804" s="56"/>
      <x:c r="N804" s="56" t="str">
        <x:v>Curation and stock are dynamic.</x:v>
      </x:c>
      <x:c r="O804" s="56" t="str">
        <x:v>Codex</x:v>
      </x:c>
    </x:row>
    <x:row r="805" ht="112" customHeight="1">
      <x:c r="A805" s="56" t="str">
        <x:v>SRC-ISN-026</x:v>
      </x:c>
      <x:c r="B805" s="56" t="str">
        <x:v>KB016</x:v>
      </x:c>
      <x:c r="C805" s="56" t="str">
        <x:v>Official Aqua Gel Cream product facts</x:v>
      </x:c>
      <x:c r="D805" s="56" t="str">
        <x:v>Official global page lists 100 mL, $22.20 list, five-HA forms and oil-free fresh hydration positioning.</x:v>
      </x:c>
      <x:c r="E805" s="56" t="str">
        <x:v>Isntree Official Global Store</x:v>
      </x:c>
      <x:c r="F805" s="56" t="str">
        <x:v>https://isntree-global.com/products/isntree-hyaluronic-acid-aqua-gel-cream-100ml</x:v>
      </x:c>
      <x:c r="G805" s="56" t="str">
        <x:v>Official Product Page</x:v>
      </x:c>
      <x:c r="H805" s="56"/>
      <x:c r="I805" s="56" t="str">
        <x:v>2026-08-01</x:v>
      </x:c>
      <x:c r="J805" s="56" t="str">
        <x:v>Verified Product Fact</x:v>
      </x:c>
      <x:c r="K805" s="56" t="str">
        <x:v>High</x:v>
      </x:c>
      <x:c r="L805" s="56" t="str">
        <x:v>Yes</x:v>
      </x:c>
      <x:c r="M805" s="56"/>
      <x:c r="N805" s="56" t="str">
        <x:v>Claims require U.S. substantiation and exact formula map.</x:v>
      </x:c>
      <x:c r="O805" s="56" t="str">
        <x:v>Codex</x:v>
      </x:c>
    </x:row>
    <x:row r="806" ht="112" customHeight="1">
      <x:c r="A806" s="56" t="str">
        <x:v>SRC-ISN-027</x:v>
      </x:c>
      <x:c r="B806" s="56" t="str">
        <x:v>KB016</x:v>
      </x:c>
      <x:c r="C806" s="56" t="str">
        <x:v>Official Yam Root Cleanser product facts</x:v>
      </x:c>
      <x:c r="D806" s="56" t="str">
        <x:v>Official global page lists 220 mL, $27.80 list, vegan milk-cleanser positioning and full ingredients.</x:v>
      </x:c>
      <x:c r="E806" s="56" t="str">
        <x:v>Isntree Official Global Store</x:v>
      </x:c>
      <x:c r="F806" s="56" t="str">
        <x:v>https://isntree-global.com/products/isntree-yam-root-vegan-milk-cleanser-220ml</x:v>
      </x:c>
      <x:c r="G806" s="56" t="str">
        <x:v>Official Product Page</x:v>
      </x:c>
      <x:c r="H806" s="56"/>
      <x:c r="I806" s="56" t="str">
        <x:v>2026-08-01</x:v>
      </x:c>
      <x:c r="J806" s="56" t="str">
        <x:v>Verified Product Fact</x:v>
      </x:c>
      <x:c r="K806" s="56" t="str">
        <x:v>High</x:v>
      </x:c>
      <x:c r="L806" s="56" t="str">
        <x:v>Yes</x:v>
      </x:c>
      <x:c r="M806" s="56"/>
      <x:c r="N806" s="56" t="str">
        <x:v>Global price/formula must be mapped to U.S. inventory.</x:v>
      </x:c>
      <x:c r="O806" s="56" t="str">
        <x:v>Codex</x:v>
      </x:c>
    </x:row>
    <x:row r="807" ht="112" customHeight="1">
      <x:c r="A807" s="56" t="str">
        <x:v>SRC-ISN-028</x:v>
      </x:c>
      <x:c r="B807" s="56" t="str">
        <x:v>KB016</x:v>
      </x:c>
      <x:c r="C807" s="56" t="str">
        <x:v>Authorized cross-border ecosystem</x:v>
      </x:c>
      <x:c r="D807" s="56" t="str">
        <x:v>Official hub links YesStyle, Stylevana, StyleKorean and Jolse.</x:v>
      </x:c>
      <x:c r="E807" s="56" t="str">
        <x:v>Isntree Linktree</x:v>
      </x:c>
      <x:c r="F807" s="56" t="str">
        <x:v>https://linktr.ee/i_sntree</x:v>
      </x:c>
      <x:c r="G807" s="56" t="str">
        <x:v>Official Authorization Signal</x:v>
      </x:c>
      <x:c r="H807" s="56"/>
      <x:c r="I807" s="56" t="str">
        <x:v>2026-08-01</x:v>
      </x:c>
      <x:c r="J807" s="56" t="str">
        <x:v>Verified Channel Fact</x:v>
      </x:c>
      <x:c r="K807" s="56" t="str">
        <x:v>Medium-High</x:v>
      </x:c>
      <x:c r="L807" s="56" t="str">
        <x:v>Yes</x:v>
      </x:c>
      <x:c r="M807" s="56"/>
      <x:c r="N807" s="56" t="str">
        <x:v>U.S. resale rights, price and formula/version vary by listing.</x:v>
      </x:c>
      <x:c r="O807" s="56" t="str">
        <x:v>Codex</x:v>
      </x:c>
    </x:row>
    <x:row r="808" ht="112" customHeight="1">
      <x:c r="A808" s="56" t="str">
        <x:v>SRC-ISN-029</x:v>
      </x:c>
      <x:c r="B808" s="56" t="str">
        <x:v>KB016</x:v>
      </x:c>
      <x:c r="C808" s="56" t="str">
        <x:v>DailyMed — Daily Sun Gel SPF30</x:v>
      </x:c>
      <x:c r="D808" s="56" t="str">
        <x:v>DailyMed lists NDC 81100-501 with avobenzone 2.7%, homosalate 9% and octisalate 4.5%; ISNTREE Inc. is packager.</x:v>
      </x:c>
      <x:c r="E808" s="56" t="str">
        <x:v>DailyMed</x:v>
      </x:c>
      <x:c r="F808" s="56" t="str">
        <x:v>https://dailymed.nlm.nih.gov/dailymed/lookup.cfm?setid=0ef5d5ce-3bdf-dffc-e063-6394a90aad54&amp;version=5</x:v>
      </x:c>
      <x:c r="G808" s="56" t="str">
        <x:v>Official Drug Label Database</x:v>
      </x:c>
      <x:c r="H808" s="56"/>
      <x:c r="I808" s="56" t="str">
        <x:v>2026-08-01</x:v>
      </x:c>
      <x:c r="J808" s="56" t="str">
        <x:v>Verified U.S. OTC Label</x:v>
      </x:c>
      <x:c r="K808" s="56" t="str">
        <x:v>High</x:v>
      </x:c>
      <x:c r="L808" s="56" t="str">
        <x:v>Yes</x:v>
      </x:c>
      <x:c r="M808" s="56"/>
      <x:c r="N808" s="56" t="str">
        <x:v>Match exact formula, Drug Facts, size, artwork and NDC.</x:v>
      </x:c>
      <x:c r="O808" s="56" t="str">
        <x:v>Codex</x:v>
      </x:c>
    </x:row>
    <x:row r="809" ht="112" customHeight="1">
      <x:c r="A809" s="56" t="str">
        <x:v>SRC-ISN-030</x:v>
      </x:c>
      <x:c r="B809" s="56" t="str">
        <x:v>KB016</x:v>
      </x:c>
      <x:c r="C809" s="56" t="str">
        <x:v>DailyMed — Natural Suncream</x:v>
      </x:c>
      <x:c r="D809" s="56" t="str">
        <x:v>DailyMed lists NDC 81100-504 and zinc oxide 17.8% for ISNTREE Hyaluronic Acid Natural Suncream.</x:v>
      </x:c>
      <x:c r="E809" s="56" t="str">
        <x:v>DailyMed</x:v>
      </x:c>
      <x:c r="F809" s="56" t="str">
        <x:v>https://dailymed.nlm.nih.gov/dailymed/lookup.cfm?setid=2a86be75-c0f3-a8a1-e063-6294a90a0448&amp;version=2</x:v>
      </x:c>
      <x:c r="G809" s="56" t="str">
        <x:v>Official Drug Label Database</x:v>
      </x:c>
      <x:c r="H809" s="56"/>
      <x:c r="I809" s="56" t="str">
        <x:v>2026-08-01</x:v>
      </x:c>
      <x:c r="J809" s="56" t="str">
        <x:v>Verified U.S. OTC Label</x:v>
      </x:c>
      <x:c r="K809" s="56" t="str">
        <x:v>High</x:v>
      </x:c>
      <x:c r="L809" s="56" t="str">
        <x:v>Yes</x:v>
      </x:c>
      <x:c r="M809" s="56"/>
      <x:c r="N809" s="56" t="str">
        <x:v>Exact U.S. product only.</x:v>
      </x:c>
      <x:c r="O809" s="56" t="str">
        <x:v>Codex</x:v>
      </x:c>
    </x:row>
    <x:row r="810" ht="112" customHeight="1">
      <x:c r="A810" s="56" t="str">
        <x:v>SRC-ISN-031</x:v>
      </x:c>
      <x:c r="B810" s="56" t="str">
        <x:v>KB016</x:v>
      </x:c>
      <x:c r="C810" s="56" t="str">
        <x:v>DailyMed — Watery Sunscreen</x:v>
      </x:c>
      <x:c r="D810" s="56" t="str">
        <x:v>DailyMed lists new NDC 81100-505 with avobenzone 2.85%, homosalate 7%, octisalate 4.5% and octocrylene 9%; marketing start 2026-06-30 and COSMAX manufacturer.</x:v>
      </x:c>
      <x:c r="E810" s="56" t="str">
        <x:v>DailyMed</x:v>
      </x:c>
      <x:c r="F810" s="56" t="str">
        <x:v>https://dailymed.nlm.nih.gov/dailymed/drugInfo.cfm?setid=557477a2-def8-740b-e063-6294a90ad287</x:v>
      </x:c>
      <x:c r="G810" s="56" t="str">
        <x:v>Official Drug Label Database</x:v>
      </x:c>
      <x:c r="H810" s="56"/>
      <x:c r="I810" s="56" t="str">
        <x:v>2026-08-01</x:v>
      </x:c>
      <x:c r="J810" s="56" t="str">
        <x:v>Verified U.S. OTC Label</x:v>
      </x:c>
      <x:c r="K810" s="56" t="str">
        <x:v>High</x:v>
      </x:c>
      <x:c r="L810" s="56" t="str">
        <x:v>Yes</x:v>
      </x:c>
      <x:c r="M810" s="56"/>
      <x:c r="N810" s="56" t="str">
        <x:v>Do not substitute original foreign-market SPF50+ PA++++ product.</x:v>
      </x:c>
      <x:c r="O810" s="56" t="str">
        <x:v>Codex</x:v>
      </x:c>
    </x:row>
    <x:row r="811" ht="112" customHeight="1">
      <x:c r="A811" s="56" t="str">
        <x:v>SRC-ISN-032</x:v>
      </x:c>
      <x:c r="B811" s="56" t="str">
        <x:v>KB016</x:v>
      </x:c>
      <x:c r="C811" s="56" t="str">
        <x:v>FDA — MoCRA registration/listing</x:v>
      </x:c>
      <x:c r="D811" s="56" t="str">
        <x:v>FDA requires facility registration and cosmetic product listing subject to exemptions and update schedules.</x:v>
      </x:c>
      <x:c r="E811" s="56" t="str">
        <x:v>U.S. FDA</x:v>
      </x:c>
      <x:c r="F811" s="56" t="str">
        <x:v>https://www.fda.gov/cosmetics/registration-listing-cosmetic-product-facilities-and-products</x:v>
      </x:c>
      <x:c r="G811" s="56" t="str">
        <x:v>Regulator</x:v>
      </x:c>
      <x:c r="H811" s="56"/>
      <x:c r="I811" s="56" t="str">
        <x:v>2026-08-01</x:v>
      </x:c>
      <x:c r="J811" s="56" t="str">
        <x:v>Verified Regulatory Requirement</x:v>
      </x:c>
      <x:c r="K811" s="56" t="str">
        <x:v>High</x:v>
      </x:c>
      <x:c r="L811" s="56" t="str">
        <x:v>Yes</x:v>
      </x:c>
      <x:c r="M811" s="56"/>
      <x:c r="N811" s="56" t="str">
        <x:v>Registration/listing is not FDA approval; drugs have separate requirements.</x:v>
      </x:c>
      <x:c r="O811" s="56" t="str">
        <x:v>Codex</x:v>
      </x:c>
    </x:row>
    <x:row r="812" ht="112" customHeight="1">
      <x:c r="A812" s="56" t="str">
        <x:v>SRC-ISN-033</x:v>
      </x:c>
      <x:c r="B812" s="56" t="str">
        <x:v>KB016</x:v>
      </x:c>
      <x:c r="C812" s="56" t="str">
        <x:v>FDA — importing cosmetics</x:v>
      </x:c>
      <x:c r="D812" s="56" t="str">
        <x:v>Imported cosmetics must comply with U.S. safety, labeling and claims requirements and may be refused if adulterated or misbranded.</x:v>
      </x:c>
      <x:c r="E812" s="56" t="str">
        <x:v>U.S. FDA</x:v>
      </x:c>
      <x:c r="F812" s="56" t="str">
        <x:v>https://www.fda.gov/industry/importing-fda-regulated-products/importing-cosmetics</x:v>
      </x:c>
      <x:c r="G812" s="56" t="str">
        <x:v>Regulator</x:v>
      </x:c>
      <x:c r="H812" s="56"/>
      <x:c r="I812" s="56" t="str">
        <x:v>2026-08-01</x:v>
      </x:c>
      <x:c r="J812" s="56" t="str">
        <x:v>Verified Import Requirement</x:v>
      </x:c>
      <x:c r="K812" s="56" t="str">
        <x:v>High</x:v>
      </x:c>
      <x:c r="L812" s="56" t="str">
        <x:v>Yes</x:v>
      </x:c>
      <x:c r="M812" s="56"/>
      <x:c r="N812" s="56" t="str">
        <x:v>Confirm importer, manufacturer, labels, formulas, claims and entry data.</x:v>
      </x:c>
      <x:c r="O812" s="56" t="str">
        <x:v>Codex</x:v>
      </x:c>
    </x:row>
    <x:row r="813" ht="112" customHeight="1">
      <x:c r="A813" s="56" t="str">
        <x:v>SRC-ISN-034</x:v>
      </x:c>
      <x:c r="B813" s="56" t="str">
        <x:v>KB016</x:v>
      </x:c>
      <x:c r="C813" s="56" t="str">
        <x:v>FDA — claims and importer obligations</x:v>
      </x:c>
      <x:c r="D813" s="56" t="str">
        <x:v>Therapeutic or structure/function claims can make products drugs; importers must ensure compliance.</x:v>
      </x:c>
      <x:c r="E813" s="56" t="str">
        <x:v>U.S. FDA</x:v>
      </x:c>
      <x:c r="F813" s="56" t="str">
        <x:v>https://www.fda.gov/cosmetics/cosmetics-international-activities/cosmetics-importers</x:v>
      </x:c>
      <x:c r="G813" s="56" t="str">
        <x:v>Regulator</x:v>
      </x:c>
      <x:c r="H813" s="56"/>
      <x:c r="I813" s="56" t="str">
        <x:v>2026-08-01</x:v>
      </x:c>
      <x:c r="J813" s="56" t="str">
        <x:v>Verified Claims Requirement</x:v>
      </x:c>
      <x:c r="K813" s="56" t="str">
        <x:v>High</x:v>
      </x:c>
      <x:c r="L813" s="56" t="str">
        <x:v>Yes</x:v>
      </x:c>
      <x:c r="M813" s="56"/>
      <x:c r="N813" s="56" t="str">
        <x:v>Review acne, healing, deep penetration, firming and barrier claims.</x:v>
      </x:c>
      <x:c r="O813" s="56" t="str">
        <x:v>Codex</x:v>
      </x:c>
    </x:row>
    <x:row r="814" ht="112" customHeight="1">
      <x:c r="A814" s="56" t="str">
        <x:v>SRC-ISN-035</x:v>
      </x:c>
      <x:c r="B814" s="56" t="str">
        <x:v>KB016</x:v>
      </x:c>
      <x:c r="C814" s="56" t="str">
        <x:v>Amazon Daily Sun consumer pattern</x:v>
      </x:c>
      <x:c r="D814" s="56" t="str">
        <x:v>Recent and aggregate reviews favor lightweight, moisturizing, no-cast wear, with some stickiness in humidity and occasional eye/skin reactions.</x:v>
      </x:c>
      <x:c r="E814" s="56" t="str">
        <x:v>Amazon U.S.</x:v>
      </x:c>
      <x:c r="F814" s="56" t="str">
        <x:v>https://www.amazon.com/dp/B0C7B55GS3</x:v>
      </x:c>
      <x:c r="G814" s="56" t="str">
        <x:v>Marketplace Consumer Reviews</x:v>
      </x:c>
      <x:c r="H814" s="56"/>
      <x:c r="I814" s="56" t="str">
        <x:v>2026-08-01</x:v>
      </x:c>
      <x:c r="J814" s="56" t="str">
        <x:v>Consumer Evidence</x:v>
      </x:c>
      <x:c r="K814" s="56" t="str">
        <x:v>Medium-High</x:v>
      </x:c>
      <x:c r="L814" s="56" t="str">
        <x:v>Yes</x:v>
      </x:c>
      <x:c r="M814" s="56"/>
      <x:c r="N814" s="56" t="str">
        <x:v>Self-selected reviews; no causality finding.</x:v>
      </x:c>
      <x:c r="O814" s="56" t="str">
        <x:v>Codex</x:v>
      </x:c>
    </x:row>
    <x:row r="815" ht="112" customHeight="1">
      <x:c r="A815" s="56" t="str">
        <x:v>SRC-ISN-036</x:v>
      </x:c>
      <x:c r="B815" s="56" t="str">
        <x:v>KB016</x:v>
      </x:c>
      <x:c r="C815" s="56" t="str">
        <x:v>iHerb Green Tea consumer pattern</x:v>
      </x:c>
      <x:c r="D815" s="56" t="str">
        <x:v>Reviews commonly mention refreshing light absorption, hydration and sebum balance; some report no major change or slight stickiness.</x:v>
      </x:c>
      <x:c r="E815" s="56" t="str">
        <x:v>iHerb</x:v>
      </x:c>
      <x:c r="F815" s="56" t="str">
        <x:v>https://www.iherb.com/r/isntree-green-tea-fresh-toner-6-76-fl-oz-200-ml/97087</x:v>
      </x:c>
      <x:c r="G815" s="56" t="str">
        <x:v>Retailer Consumer Reviews</x:v>
      </x:c>
      <x:c r="H815" s="56"/>
      <x:c r="I815" s="56" t="str">
        <x:v>2026-08-01</x:v>
      </x:c>
      <x:c r="J815" s="56" t="str">
        <x:v>Consumer Evidence</x:v>
      </x:c>
      <x:c r="K815" s="56" t="str">
        <x:v>Medium</x:v>
      </x:c>
      <x:c r="L815" s="56" t="str">
        <x:v>Yes</x:v>
      </x:c>
      <x:c r="M815" s="56"/>
      <x:c r="N815" s="56" t="str">
        <x:v>Self-selected/global reviews.</x:v>
      </x:c>
      <x:c r="O815" s="56" t="str">
        <x:v>Codex</x:v>
      </x:c>
    </x:row>
    <x:row r="816" ht="112" customHeight="1">
      <x:c r="A816" s="56" t="str">
        <x:v>SRC-ISN-037</x:v>
      </x:c>
      <x:c r="B816" s="56" t="str">
        <x:v>KB016</x:v>
      </x:c>
      <x:c r="C816" s="56" t="str">
        <x:v>Reddit — 25-product review</x:v>
      </x:c>
      <x:c r="D816" s="56" t="str">
        <x:v>Detailed consumer review praises Watery Sun Gel application/reapplication while finding some products, including Green Tea Toner, underwhelming.</x:v>
      </x:c>
      <x:c r="E816" s="56" t="str">
        <x:v>Reddit r/AsianBeauty</x:v>
      </x:c>
      <x:c r="F816" s="56" t="str">
        <x:v>https://www.reddit.com/r/AsianBeauty/comments/11zwn74/i_sat_down_and_reviewed_all_25_of_the_isntree/</x:v>
      </x:c>
      <x:c r="G816" s="56" t="str">
        <x:v>Consumer Forum</x:v>
      </x:c>
      <x:c r="H816" s="56" t="str">
        <x:v>2023-03-23</x:v>
      </x:c>
      <x:c r="I816" s="56" t="str">
        <x:v>2026-08-01</x:v>
      </x:c>
      <x:c r="J816" s="56" t="str">
        <x:v>Anecdotal Consumer Evidence</x:v>
      </x:c>
      <x:c r="K816" s="56" t="str">
        <x:v>Low-Medium</x:v>
      </x:c>
      <x:c r="L816" s="56" t="str">
        <x:v>Yes</x:v>
      </x:c>
      <x:c r="M816" s="56"/>
      <x:c r="N816" s="56" t="str">
        <x:v>Single detailed user plus comments; no market generalization.</x:v>
      </x:c>
      <x:c r="O816" s="56" t="str">
        <x:v>Codex</x:v>
      </x:c>
    </x:row>
    <x:row r="817" ht="112" customHeight="1">
      <x:c r="A817" s="56" t="str">
        <x:v>SRC-ISN-038</x:v>
      </x:c>
      <x:c r="B817" s="56" t="str">
        <x:v>KB016</x:v>
      </x:c>
      <x:c r="C817" s="56" t="str">
        <x:v>Reddit — toner texture/hydration</x:v>
      </x:c>
      <x:c r="D817" s="56" t="str">
        <x:v>Users describe HA toner as thick or not sufficiently hydrating alone in some routines.</x:v>
      </x:c>
      <x:c r="E817" s="56" t="str">
        <x:v>Reddit r/AsianBeauty</x:v>
      </x:c>
      <x:c r="F817" s="56" t="str">
        <x:v>https://www.reddit.com/r/AsianBeauty/comments/lxd3cd</x:v>
      </x:c>
      <x:c r="G817" s="56" t="str">
        <x:v>Consumer Forum</x:v>
      </x:c>
      <x:c r="H817" s="56"/>
      <x:c r="I817" s="56" t="str">
        <x:v>2026-08-01</x:v>
      </x:c>
      <x:c r="J817" s="56" t="str">
        <x:v>Anecdotal Consumer Evidence</x:v>
      </x:c>
      <x:c r="K817" s="56" t="str">
        <x:v>Low</x:v>
      </x:c>
      <x:c r="L817" s="56" t="str">
        <x:v>Yes</x:v>
      </x:c>
      <x:c r="M817" s="56"/>
      <x:c r="N817" s="56" t="str">
        <x:v>Anecdotal.</x:v>
      </x:c>
      <x:c r="O817" s="56" t="str">
        <x:v>Codex</x:v>
      </x:c>
    </x:row>
    <x:row r="818" ht="112" customHeight="1">
      <x:c r="A818" s="56" t="str">
        <x:v>SRC-ISN-039</x:v>
      </x:c>
      <x:c r="B818" s="56" t="str">
        <x:v>KB016</x:v>
      </x:c>
      <x:c r="C818" s="56" t="str">
        <x:v>Reddit — favorites and sunscreen finish</x:v>
      </x:c>
      <x:c r="D818" s="56" t="str">
        <x:v>Users report easy blending/absorption but sometimes excessive dewiness; Chestnut BHA receives gentle-bump-care praise.</x:v>
      </x:c>
      <x:c r="E818" s="56" t="str">
        <x:v>Reddit r/AsianBeauty</x:v>
      </x:c>
      <x:c r="F818" s="56" t="str">
        <x:v>https://www.reddit.com/r/AsianBeauty/comments/1705w9q</x:v>
      </x:c>
      <x:c r="G818" s="56" t="str">
        <x:v>Consumer Forum</x:v>
      </x:c>
      <x:c r="H818" s="56"/>
      <x:c r="I818" s="56" t="str">
        <x:v>2026-08-01</x:v>
      </x:c>
      <x:c r="J818" s="56" t="str">
        <x:v>Anecdotal Consumer Evidence</x:v>
      </x:c>
      <x:c r="K818" s="56" t="str">
        <x:v>Low-Medium</x:v>
      </x:c>
      <x:c r="L818" s="56" t="str">
        <x:v>Yes</x:v>
      </x:c>
      <x:c r="M818" s="56"/>
      <x:c r="N818" s="56" t="str">
        <x:v>Anecdotal.</x:v>
      </x:c>
      <x:c r="O818" s="56" t="str">
        <x:v>Codex</x:v>
      </x:c>
    </x:row>
    <x:row r="819" ht="112" customHeight="1">
      <x:c r="A819" s="56" t="str">
        <x:v>SRC-ISN-040</x:v>
      </x:c>
      <x:c r="B819" s="56" t="str">
        <x:v>KB016</x:v>
      </x:c>
      <x:c r="C819" s="56" t="str">
        <x:v>Reddit — Green Tea/Mugwort</x:v>
      </x:c>
      <x:c r="D819" s="56" t="str">
        <x:v>Consumers discuss fresh, soothing use experiences for Green Tea and Mugwort products.</x:v>
      </x:c>
      <x:c r="E819" s="56" t="str">
        <x:v>Reddit r/SkincareAddiction</x:v>
      </x:c>
      <x:c r="F819" s="56" t="str">
        <x:v>https://www.reddit.com/r/SkincareAddiction/comments/q4fa8q</x:v>
      </x:c>
      <x:c r="G819" s="56" t="str">
        <x:v>Consumer Forum</x:v>
      </x:c>
      <x:c r="H819" s="56"/>
      <x:c r="I819" s="56" t="str">
        <x:v>2026-08-01</x:v>
      </x:c>
      <x:c r="J819" s="56" t="str">
        <x:v>Anecdotal Consumer Evidence</x:v>
      </x:c>
      <x:c r="K819" s="56" t="str">
        <x:v>Low</x:v>
      </x:c>
      <x:c r="L819" s="56" t="str">
        <x:v>Yes</x:v>
      </x:c>
      <x:c r="M819" s="56"/>
      <x:c r="N819" s="56" t="str">
        <x:v>Anecdotal.</x:v>
      </x:c>
      <x:c r="O819" s="56" t="str">
        <x:v>Codex</x:v>
      </x:c>
    </x:row>
    <x:row r="820" ht="112" customHeight="1">
      <x:c r="A820" s="56" t="str">
        <x:v>SRC-ISN-041</x:v>
      </x:c>
      <x:c r="B820" s="56" t="str">
        <x:v>KB016</x:v>
      </x:c>
      <x:c r="C820" s="56" t="str">
        <x:v>Reddit — Watery Sun Gel</x:v>
      </x:c>
      <x:c r="D820" s="56" t="str">
        <x:v>Thread shows disagreement over shine, tackiness, cast, eye sting and formula variants.</x:v>
      </x:c>
      <x:c r="E820" s="56" t="str">
        <x:v>Reddit r/AsianBeauty</x:v>
      </x:c>
      <x:c r="F820" s="56" t="str">
        <x:v>https://www.reddit.com/r/AsianBeauty/comments/l8cmvw/has_anyone_tried_the_isntree_hyaluronic_acid/</x:v>
      </x:c>
      <x:c r="G820" s="56" t="str">
        <x:v>Consumer Forum</x:v>
      </x:c>
      <x:c r="H820" s="56"/>
      <x:c r="I820" s="56" t="str">
        <x:v>2026-08-01</x:v>
      </x:c>
      <x:c r="J820" s="56" t="str">
        <x:v>Anecdotal Consumer Evidence</x:v>
      </x:c>
      <x:c r="K820" s="56" t="str">
        <x:v>Low-Medium</x:v>
      </x:c>
      <x:c r="L820" s="56" t="str">
        <x:v>Yes</x:v>
      </x:c>
      <x:c r="M820" s="56"/>
      <x:c r="N820" s="56" t="str">
        <x:v>Identify exact formula/market before comparison.</x:v>
      </x:c>
      <x:c r="O820" s="56" t="str">
        <x:v>Codex</x:v>
      </x:c>
    </x:row>
    <x:row r="821" ht="112" customHeight="1">
      <x:c r="A821" s="56" t="str">
        <x:v>SRC-ISN-042</x:v>
      </x:c>
      <x:c r="B821" s="56" t="str">
        <x:v>KB016</x:v>
      </x:c>
      <x:c r="C821" s="56" t="str">
        <x:v>Reddit — recent repurchase signal</x:v>
      </x:c>
      <x:c r="D821" s="56" t="str">
        <x:v>Recent user would not repurchase because newer sunscreen options appeared more compelling.</x:v>
      </x:c>
      <x:c r="E821" s="56" t="str">
        <x:v>Reddit r/koreanskincare</x:v>
      </x:c>
      <x:c r="F821" s="56" t="str">
        <x:v>https://www.reddit.com/r/koreanskincare/comments/1v6z5pu/has_anyone_here_used_isntree_hyaluronic_acid/</x:v>
      </x:c>
      <x:c r="G821" s="56" t="str">
        <x:v>Consumer Forum</x:v>
      </x:c>
      <x:c r="H821" s="56" t="str">
        <x:v>2026</x:v>
      </x:c>
      <x:c r="I821" s="56" t="str">
        <x:v>2026-08-01</x:v>
      </x:c>
      <x:c r="J821" s="56" t="str">
        <x:v>Anecdotal Consumer Evidence</x:v>
      </x:c>
      <x:c r="K821" s="56" t="str">
        <x:v>Low</x:v>
      </x:c>
      <x:c r="L821" s="56" t="str">
        <x:v>Yes</x:v>
      </x:c>
      <x:c r="M821" s="56"/>
      <x:c r="N821" s="56" t="str">
        <x:v>Single-user signal.</x:v>
      </x:c>
      <x:c r="O821" s="56" t="str">
        <x:v>Codex</x:v>
      </x:c>
    </x:row>
    <x:row r="822" ht="112" customHeight="1">
      <x:c r="A822" s="56" t="str">
        <x:v>SRC-ISN-043</x:v>
      </x:c>
      <x:c r="B822" s="56" t="str">
        <x:v>KB016</x:v>
      </x:c>
      <x:c r="C822" s="56" t="str">
        <x:v>Reddit — Walmart authenticity concern</x:v>
      </x:c>
      <x:c r="D822" s="56" t="str">
        <x:v>User reported perceived texture/smell/finish differences and suspected a fake product from a Walmart seller.</x:v>
      </x:c>
      <x:c r="E822" s="56" t="str">
        <x:v>Reddit r/SkincareAddiction</x:v>
      </x:c>
      <x:c r="F822" s="56" t="str">
        <x:v>https://www.reddit.com/r/SkincareAddiction/comments/1fzzseq</x:v>
      </x:c>
      <x:c r="G822" s="56" t="str">
        <x:v>Consumer Forum</x:v>
      </x:c>
      <x:c r="H822" s="56"/>
      <x:c r="I822" s="56" t="str">
        <x:v>2026-08-01</x:v>
      </x:c>
      <x:c r="J822" s="56" t="str">
        <x:v>Anecdotal Seller-Risk Signal</x:v>
      </x:c>
      <x:c r="K822" s="56" t="str">
        <x:v>Low</x:v>
      </x:c>
      <x:c r="L822" s="56" t="str">
        <x:v>Yes</x:v>
      </x:c>
      <x:c r="M822" s="56"/>
      <x:c r="N822" s="56" t="str">
        <x:v>Not verified as counterfeit; no defect determination.</x:v>
      </x:c>
      <x:c r="O822" s="56" t="str">
        <x:v>Codex</x:v>
      </x:c>
    </x:row>
    <x:row r="823" ht="112" customHeight="1">
      <x:c r="A823" s="56" t="str">
        <x:v>SRC-ISN-044</x:v>
      </x:c>
      <x:c r="B823" s="56" t="str">
        <x:v>KB016</x:v>
      </x:c>
      <x:c r="C823" s="56" t="str">
        <x:v>Competitor — Beauty of Joseon sunscreen</x:v>
      </x:c>
      <x:c r="D823" s="56" t="str">
        <x:v>Sephora lists Day Dew Sunscreen SPF50 at $18 with about 468 reviews and a 25-product brand assortment.</x:v>
      </x:c>
      <x:c r="E823" s="56" t="str">
        <x:v>Sephora / Beauty of Joseon</x:v>
      </x:c>
      <x:c r="F823" s="56" t="str">
        <x:v>https://www.sephora.com/brand/beauty-of-joseon</x:v>
      </x:c>
      <x:c r="G823" s="56" t="str">
        <x:v>Authorized Competitor Retailer</x:v>
      </x:c>
      <x:c r="H823" s="56"/>
      <x:c r="I823" s="56" t="str">
        <x:v>2026-08-01</x:v>
      </x:c>
      <x:c r="J823" s="56" t="str">
        <x:v>Verified Competitor Fact</x:v>
      </x:c>
      <x:c r="K823" s="56" t="str">
        <x:v>High</x:v>
      </x:c>
      <x:c r="L823" s="56" t="str">
        <x:v>Yes</x:v>
      </x:c>
      <x:c r="M823" s="56"/>
      <x:c r="N823" s="56" t="str">
        <x:v>Price and reviews change.</x:v>
      </x:c>
      <x:c r="O823" s="56" t="str">
        <x:v>Codex</x:v>
      </x:c>
    </x:row>
    <x:row r="824" ht="112" customHeight="1">
      <x:c r="A824" s="56" t="str">
        <x:v>SRC-ISN-045</x:v>
      </x:c>
      <x:c r="B824" s="56" t="str">
        <x:v>KB016</x:v>
      </x:c>
      <x:c r="C824" s="56" t="str">
        <x:v>Competitor — ROUND LAB cleansing oil</x:v>
      </x:c>
      <x:c r="D824" s="56" t="str">
        <x:v>Ulta lists 1025 Dokdo Cleansing Oil 200 mL at $22.99 with 4.7/132 and in-stock status.</x:v>
      </x:c>
      <x:c r="E824" s="56" t="str">
        <x:v>Ulta / ROUND LAB</x:v>
      </x:c>
      <x:c r="F824" s="56" t="str">
        <x:v>https://www.ulta.com/p/1025-dokdo-cleansing-oil-pimprod2052234</x:v>
      </x:c>
      <x:c r="G824" s="56" t="str">
        <x:v>Authorized Competitor Retailer</x:v>
      </x:c>
      <x:c r="H824" s="56"/>
      <x:c r="I824" s="56" t="str">
        <x:v>2026-08-01</x:v>
      </x:c>
      <x:c r="J824" s="56" t="str">
        <x:v>Verified Competitor Fact</x:v>
      </x:c>
      <x:c r="K824" s="56" t="str">
        <x:v>High</x:v>
      </x:c>
      <x:c r="L824" s="56" t="str">
        <x:v>Yes</x:v>
      </x:c>
      <x:c r="M824" s="56"/>
      <x:c r="N824" s="56" t="str">
        <x:v>Price and reviews change.</x:v>
      </x:c>
      <x:c r="O824" s="56" t="str">
        <x:v>Codex</x:v>
      </x:c>
    </x:row>
    <x:row r="825" ht="112" customHeight="1">
      <x:c r="A825" s="56" t="str">
        <x:v>SRC-ISN-046</x:v>
      </x:c>
      <x:c r="B825" s="56" t="str">
        <x:v>KB016</x:v>
      </x:c>
      <x:c r="C825" s="56" t="str">
        <x:v>Competitor — SKIN1004 HA serum</x:v>
      </x:c>
      <x:c r="D825" s="56" t="str">
        <x:v>Ulta lists Madagascar Centella Hyalu-Cica Blue Serum 50 mL at $25 with 4.5/66 and in-stock status.</x:v>
      </x:c>
      <x:c r="E825" s="56" t="str">
        <x:v>Ulta / SKIN1004</x:v>
      </x:c>
      <x:c r="F825" s="56" t="str">
        <x:v>https://www.ulta.com/p/madagascar-centella-hyalu-cica-blue-serum-pimprod2045882</x:v>
      </x:c>
      <x:c r="G825" s="56" t="str">
        <x:v>Authorized Competitor Retailer</x:v>
      </x:c>
      <x:c r="H825" s="56"/>
      <x:c r="I825" s="56" t="str">
        <x:v>2026-08-01</x:v>
      </x:c>
      <x:c r="J825" s="56" t="str">
        <x:v>Verified Competitor Fact</x:v>
      </x:c>
      <x:c r="K825" s="56" t="str">
        <x:v>High</x:v>
      </x:c>
      <x:c r="L825" s="56" t="str">
        <x:v>Yes</x:v>
      </x:c>
      <x:c r="M825" s="56"/>
      <x:c r="N825" s="56" t="str">
        <x:v>Price and reviews change; some reviews are incentivized.</x:v>
      </x:c>
      <x:c r="O825" s="56" t="str">
        <x:v>Codex</x:v>
      </x:c>
    </x:row>
    <x:row r="826" ht="112" customHeight="1">
      <x:c r="A826" s="56" t="str">
        <x:v>SRC-ISN-047</x:v>
      </x:c>
      <x:c r="B826" s="56" t="str">
        <x:v>KB016</x:v>
      </x:c>
      <x:c r="C826" s="56" t="str">
        <x:v>Competitor — ANUA toner</x:v>
      </x:c>
      <x:c r="D826" s="56" t="str">
        <x:v>Ulta lists Heartleaf 77 Soothing Toner at $21 with 4.4/142 and Only at Ulta status.</x:v>
      </x:c>
      <x:c r="E826" s="56" t="str">
        <x:v>Ulta / ANUA</x:v>
      </x:c>
      <x:c r="F826" s="56" t="str">
        <x:v>https://www.ulta.com/p/heartleaf-77-soothing-toner-pimprod2048929</x:v>
      </x:c>
      <x:c r="G826" s="56" t="str">
        <x:v>Authorized Competitor Retailer</x:v>
      </x:c>
      <x:c r="H826" s="56"/>
      <x:c r="I826" s="56" t="str">
        <x:v>2026-08-01</x:v>
      </x:c>
      <x:c r="J826" s="56" t="str">
        <x:v>Verified Competitor Fact</x:v>
      </x:c>
      <x:c r="K826" s="56" t="str">
        <x:v>High</x:v>
      </x:c>
      <x:c r="L826" s="56" t="str">
        <x:v>Yes</x:v>
      </x:c>
      <x:c r="M826" s="56"/>
      <x:c r="N826" s="56" t="str">
        <x:v>Price and reviews change.</x:v>
      </x:c>
      <x:c r="O826" s="56" t="str">
        <x:v>Codex</x:v>
      </x:c>
    </x:row>
    <x:row r="827" ht="112" customHeight="1">
      <x:c r="A827" s="56" t="str">
        <x:v>SRC-ISN-048</x:v>
      </x:c>
      <x:c r="B827" s="56" t="str">
        <x:v>KB016</x:v>
      </x:c>
      <x:c r="C827" s="56" t="str">
        <x:v>Competitor — COSRX moisturizer</x:v>
      </x:c>
      <x:c r="D827" s="56" t="str">
        <x:v>Ulta lists Hyaluronic Acid Intensive Cream at $25 with 4.4/228.</x:v>
      </x:c>
      <x:c r="E827" s="56" t="str">
        <x:v>Ulta / COSRX</x:v>
      </x:c>
      <x:c r="F827" s="56" t="str">
        <x:v>https://www.ulta.com/p/hyaluronic-acid-intensive-cream-pimprod2004959</x:v>
      </x:c>
      <x:c r="G827" s="56" t="str">
        <x:v>Authorized Competitor Retailer</x:v>
      </x:c>
      <x:c r="H827" s="56"/>
      <x:c r="I827" s="56" t="str">
        <x:v>2026-08-01</x:v>
      </x:c>
      <x:c r="J827" s="56" t="str">
        <x:v>Verified Competitor Fact</x:v>
      </x:c>
      <x:c r="K827" s="56" t="str">
        <x:v>High</x:v>
      </x:c>
      <x:c r="L827" s="56" t="str">
        <x:v>Yes</x:v>
      </x:c>
      <x:c r="M827" s="56"/>
      <x:c r="N827" s="56" t="str">
        <x:v>Price and reviews change.</x:v>
      </x:c>
      <x:c r="O827" s="56" t="str">
        <x:v>Codex</x:v>
      </x:c>
    </x:row>
    <x:row r="828" ht="112" customHeight="1">
      <x:c r="A828" s="56" t="str">
        <x:v>SRC-ISN-049</x:v>
      </x:c>
      <x:c r="B828" s="56" t="str">
        <x:v>KB016</x:v>
      </x:c>
      <x:c r="C828" s="56" t="str">
        <x:v>Official HA Serum product facts</x:v>
      </x:c>
      <x:c r="D828" s="56" t="str">
        <x:v>Official global page lists 50 mL, $24.40 list and fourteen-form/layer HA positioning.</x:v>
      </x:c>
      <x:c r="E828" s="56" t="str">
        <x:v>Isntree Official Global Store</x:v>
      </x:c>
      <x:c r="F828" s="56" t="str">
        <x:v>https://isntree-global.com/products/isntree-ultra-low-molecular-hyaluronic-acid-serum-50ml</x:v>
      </x:c>
      <x:c r="G828" s="56" t="str">
        <x:v>Official Product Page</x:v>
      </x:c>
      <x:c r="H828" s="56"/>
      <x:c r="I828" s="56" t="str">
        <x:v>2026-08-01</x:v>
      </x:c>
      <x:c r="J828" s="56" t="str">
        <x:v>Verified Product Fact</x:v>
      </x:c>
      <x:c r="K828" s="56" t="str">
        <x:v>High</x:v>
      </x:c>
      <x:c r="L828" s="56" t="str">
        <x:v>Yes</x:v>
      </x:c>
      <x:c r="M828" s="56"/>
      <x:c r="N828" s="56" t="str">
        <x:v>Deep-hydration/firming wording needs substantiation.</x:v>
      </x:c>
      <x:c r="O828" s="56" t="str">
        <x:v>Codex</x:v>
      </x:c>
    </x:row>
    <x:row r="829" ht="112" customHeight="1">
      <x:c r="A829" s="56" t="str">
        <x:v>SRC-ISN-050</x:v>
      </x:c>
      <x:c r="B829" s="56" t="str">
        <x:v>KB016</x:v>
      </x:c>
      <x:c r="C829" s="56" t="str">
        <x:v>National-channel presence check</x:v>
      </x:c>
      <x:c r="D829" s="56" t="str">
        <x:v>No current official Sephora, CVS, Walgreens or Costco Isntree relationship was verified in scoped public checks.</x:v>
      </x:c>
      <x:c r="E829" s="56" t="str">
        <x:v>Public Retail Presence Check</x:v>
      </x:c>
      <x:c r="F829" s="56" t="str">
        <x:v>https://www.sephora.com/search?keyword=isntree</x:v>
      </x:c>
      <x:c r="G829" s="56" t="str">
        <x:v>Scoped Search / Negative Evidence</x:v>
      </x:c>
      <x:c r="H829" s="56"/>
      <x:c r="I829" s="56" t="str">
        <x:v>2026-08-01</x:v>
      </x:c>
      <x:c r="J829" s="56" t="str">
        <x:v>Further Verification Required</x:v>
      </x:c>
      <x:c r="K829" s="56" t="str">
        <x:v>Low-Medium</x:v>
      </x:c>
      <x:c r="L829" s="56" t="str">
        <x:v>Yes</x:v>
      </x:c>
      <x:c r="M829" s="56"/>
      <x:c r="N829" s="56" t="str">
        <x:v>Absence in scoped search is not proof of no relationship.</x:v>
      </x:c>
      <x:c r="O829" s="56" t="str">
        <x:v>Codex</x:v>
      </x:c>
    </x:row>
    <x:row r="830" ht="112" customHeight="1">
      <x:c r="A830" s="56" t="str">
        <x:v>SRC-ISN-051</x:v>
      </x:c>
      <x:c r="B830" s="56" t="str">
        <x:v>KB016</x:v>
      </x:c>
      <x:c r="C830" s="56" t="str">
        <x:v>Reddit — Amazon authenticity concern</x:v>
      </x:c>
      <x:c r="D830" s="56" t="str">
        <x:v>Consumers ask whether Isntree purchased on Amazon is legitimate and discuss seller checks.</x:v>
      </x:c>
      <x:c r="E830" s="56" t="str">
        <x:v>Reddit r/koreanskincare</x:v>
      </x:c>
      <x:c r="F830" s="56" t="str">
        <x:v>https://www.reddit.com/r/koreanskincare/comments/1cwhs8n</x:v>
      </x:c>
      <x:c r="G830" s="56" t="str">
        <x:v>Consumer Forum</x:v>
      </x:c>
      <x:c r="H830" s="56"/>
      <x:c r="I830" s="56" t="str">
        <x:v>2026-08-01</x:v>
      </x:c>
      <x:c r="J830" s="56" t="str">
        <x:v>Anecdotal Seller-Risk Signal</x:v>
      </x:c>
      <x:c r="K830" s="56" t="str">
        <x:v>Low</x:v>
      </x:c>
      <x:c r="L830" s="56" t="str">
        <x:v>Yes</x:v>
      </x:c>
      <x:c r="M830" s="56"/>
      <x:c r="N830" s="56" t="str">
        <x:v>Official-seller route reduces but does not eliminate operational diligence.</x:v>
      </x:c>
      <x:c r="O830" s="56" t="str">
        <x:v>Codex</x:v>
      </x:c>
    </x:row>
    <x:row r="831" ht="112" customHeight="1">
      <x:c r="A831" s="56" t="str">
        <x:v>SRC-ISN-052</x:v>
      </x:c>
      <x:c r="B831" s="56" t="str">
        <x:v>KB016</x:v>
      </x:c>
      <x:c r="C831" s="56" t="str">
        <x:v>Reddit — formulation/version concern</x:v>
      </x:c>
      <x:c r="D831" s="56" t="str">
        <x:v>Consumer discussion reports perceived formula changes and confusion across packaging or regional versions.</x:v>
      </x:c>
      <x:c r="E831" s="56" t="str">
        <x:v>Reddit r/Skincare_Addiction</x:v>
      </x:c>
      <x:c r="F831" s="56" t="str">
        <x:v>https://www.reddit.com/r/Skincare_Addiction/comments/1cob6be</x:v>
      </x:c>
      <x:c r="G831" s="56" t="str">
        <x:v>Consumer Forum</x:v>
      </x:c>
      <x:c r="H831" s="56"/>
      <x:c r="I831" s="56" t="str">
        <x:v>2026-08-01</x:v>
      </x:c>
      <x:c r="J831" s="56" t="str">
        <x:v>Anecdotal Version-Risk Signal</x:v>
      </x:c>
      <x:c r="K831" s="56" t="str">
        <x:v>Low</x:v>
      </x:c>
      <x:c r="L831" s="56" t="str">
        <x:v>Yes</x:v>
      </x:c>
      <x:c r="M831" s="56"/>
      <x:c r="N831" s="56" t="str">
        <x:v>Confirm exact INCI, Drug Facts, UPC/NDC and market for each SKU.</x:v>
      </x:c>
      <x:c r="O831" s="56" t="str">
        <x:v>Codex</x:v>
      </x:c>
    </x:row>
    <x:row r="832" ht="116" customHeight="1">
      <x:c r="A832" s="56" t="str">
        <x:v>SRC-GDL-001</x:v>
      </x:c>
      <x:c r="B832" s="56" t="str">
        <x:v>KB017</x:v>
      </x:c>
      <x:c r="C832" s="56" t="str">
        <x:v>Core verification — Official Website</x:v>
      </x:c>
      <x:c r="D832" s="56" t="str">
        <x:v>CLIO Cosmetics' official Goodal page is the authoritative brand page; it routes to the official Brand Shop and social accounts.</x:v>
      </x:c>
      <x:c r="E832" s="56" t="str">
        <x:v>CLIO Cosmetics</x:v>
      </x:c>
      <x:c r="F832" s="56" t="str">
        <x:v>https://cliocosmetic.com/goodal_en.html</x:v>
      </x:c>
      <x:c r="G832" s="56" t="str">
        <x:v>Official Corporate / Brand Page</x:v>
      </x:c>
      <x:c r="H832" s="56"/>
      <x:c r="I832" s="56" t="str">
        <x:v>2026-08-01</x:v>
      </x:c>
      <x:c r="J832" s="56" t="str">
        <x:v>Verified Fact</x:v>
      </x:c>
      <x:c r="K832" s="56" t="str">
        <x:v>High</x:v>
      </x:c>
      <x:c r="L832" s="56" t="str">
        <x:v>Yes</x:v>
      </x:c>
      <x:c r="M832" s="56"/>
      <x:c r="N832" s="56" t="str">
        <x:v>Use instead of thegoodal.com; official U.S. product labels also show goodalcosmetic.com.</x:v>
      </x:c>
      <x:c r="O832" s="56" t="str">
        <x:v>Codex</x:v>
      </x:c>
    </x:row>
    <x:row r="833" ht="116" customHeight="1">
      <x:c r="A833" s="56" t="str">
        <x:v>SRC-GDL-002</x:v>
      </x:c>
      <x:c r="B833" s="56" t="str">
        <x:v>KB017</x:v>
      </x:c>
      <x:c r="C833" s="56" t="str">
        <x:v>Core verification — Primary Category</x:v>
      </x:c>
      <x:c r="D833" s="56" t="str">
        <x:v>CLIO describes Goodal as a skincare brand and 'High-Performing Clean Beauty' using Korean natural ingredients and mild clean formulas.</x:v>
      </x:c>
      <x:c r="E833" s="56" t="str">
        <x:v>CLIO Cosmetics</x:v>
      </x:c>
      <x:c r="F833" s="56" t="str">
        <x:v>https://cliocosmetic.com/goodal_en.html</x:v>
      </x:c>
      <x:c r="G833" s="56" t="str">
        <x:v>Official Corporate / Brand Page</x:v>
      </x:c>
      <x:c r="H833" s="56"/>
      <x:c r="I833" s="56" t="str">
        <x:v>2026-08-01</x:v>
      </x:c>
      <x:c r="J833" s="56" t="str">
        <x:v>Verified Category Fact</x:v>
      </x:c>
      <x:c r="K833" s="56" t="str">
        <x:v>High</x:v>
      </x:c>
      <x:c r="L833" s="56" t="str">
        <x:v>Yes</x:v>
      </x:c>
      <x:c r="M833" s="56"/>
      <x:c r="N833" s="56" t="str">
        <x:v>Current corporate positioning.</x:v>
      </x:c>
      <x:c r="O833" s="56" t="str">
        <x:v>Codex</x:v>
      </x:c>
    </x:row>
    <x:row r="834" ht="116" customHeight="1">
      <x:c r="A834" s="56" t="str">
        <x:v>SRC-GDL-003</x:v>
      </x:c>
      <x:c r="B834" s="56" t="str">
        <x:v>KB017</x:v>
      </x:c>
      <x:c r="C834" s="56" t="str">
        <x:v>Company history and awareness heritage</x:v>
      </x:c>
      <x:c r="D834" s="56" t="str">
        <x:v>CLIO records Goodal's January 2011 launch and 450,000 Green Tangerine Vita C Serum units sold by 2018.</x:v>
      </x:c>
      <x:c r="E834" s="56" t="str">
        <x:v>CLIO Cosmetics</x:v>
      </x:c>
      <x:c r="F834" s="56" t="str">
        <x:v>https://cliocosmetic.com/history_en.html</x:v>
      </x:c>
      <x:c r="G834" s="56" t="str">
        <x:v>Official Corporate History</x:v>
      </x:c>
      <x:c r="H834" s="56"/>
      <x:c r="I834" s="56" t="str">
        <x:v>2026-08-01</x:v>
      </x:c>
      <x:c r="J834" s="56" t="str">
        <x:v>Verified History / Awareness Fact</x:v>
      </x:c>
      <x:c r="K834" s="56" t="str">
        <x:v>High</x:v>
      </x:c>
      <x:c r="L834" s="56" t="str">
        <x:v>Yes</x:v>
      </x:c>
      <x:c r="M834" s="56"/>
      <x:c r="N834" s="56" t="str">
        <x:v>Cumulative historical company claim; not current U.S. sales.</x:v>
      </x:c>
      <x:c r="O834" s="56" t="str">
        <x:v>Codex</x:v>
      </x:c>
    </x:row>
    <x:row r="835" ht="116" customHeight="1">
      <x:c r="A835" s="56" t="str">
        <x:v>SRC-GDL-004</x:v>
      </x:c>
      <x:c r="B835" s="56" t="str">
        <x:v>KB017</x:v>
      </x:c>
      <x:c r="C835" s="56" t="str">
        <x:v>Official U.S. channel hub</x:v>
      </x:c>
      <x:c r="D835" s="56" t="str">
        <x:v>Goodal's U.S. Linktree links the Amazon brand page and Club Clio signup and identifies @goodal_official_us; account joined March 2023.</x:v>
      </x:c>
      <x:c r="E835" s="56" t="str">
        <x:v>Goodal U.S. Linktree</x:v>
      </x:c>
      <x:c r="F835" s="56" t="str">
        <x:v>https://linktr.ee/goodalofficialus</x:v>
      </x:c>
      <x:c r="G835" s="56" t="str">
        <x:v>Official U.S. Link Hub</x:v>
      </x:c>
      <x:c r="H835" s="56"/>
      <x:c r="I835" s="56" t="str">
        <x:v>2026-08-01</x:v>
      </x:c>
      <x:c r="J835" s="56" t="str">
        <x:v>Verified Channel Fact</x:v>
      </x:c>
      <x:c r="K835" s="56" t="str">
        <x:v>High</x:v>
      </x:c>
      <x:c r="L835" s="56" t="str">
        <x:v>Yes</x:v>
      </x:c>
      <x:c r="M835" s="56"/>
      <x:c r="N835" s="56" t="str">
        <x:v>Links and campaigns are dynamic.</x:v>
      </x:c>
      <x:c r="O835" s="56" t="str">
        <x:v>Codex</x:v>
      </x:c>
    </x:row>
    <x:row r="836" ht="116" customHeight="1">
      <x:c r="A836" s="56" t="str">
        <x:v>SRC-GDL-005</x:v>
      </x:c>
      <x:c r="B836" s="56" t="str">
        <x:v>KB017</x:v>
      </x:c>
      <x:c r="C836" s="56" t="str">
        <x:v>Instagram U.S. awareness</x:v>
      </x:c>
      <x:c r="D836" s="56" t="str">
        <x:v>Official U.S. Instagram displayed about 45.1K followers and 2,326 posts; bio promoted Amazon availability and an Olive Young serum-leadership claim.</x:v>
      </x:c>
      <x:c r="E836" s="56" t="str">
        <x:v>Instagram / Goodal U.S.</x:v>
      </x:c>
      <x:c r="F836" s="56" t="str">
        <x:v>https://www.instagram.com/goodal_official_us/</x:v>
      </x:c>
      <x:c r="G836" s="56" t="str">
        <x:v>Official Social Account</x:v>
      </x:c>
      <x:c r="H836" s="56"/>
      <x:c r="I836" s="56" t="str">
        <x:v>2026-08-01</x:v>
      </x:c>
      <x:c r="J836" s="56" t="str">
        <x:v>Dynamic Awareness Signal</x:v>
      </x:c>
      <x:c r="K836" s="56" t="str">
        <x:v>Medium-High</x:v>
      </x:c>
      <x:c r="L836" s="56" t="str">
        <x:v>Yes</x:v>
      </x:c>
      <x:c r="M836" s="56"/>
      <x:c r="N836" s="56" t="str">
        <x:v>Follower/post counts change; Olive Young claim is brand-provided.</x:v>
      </x:c>
      <x:c r="O836" s="56" t="str">
        <x:v>Codex</x:v>
      </x:c>
    </x:row>
    <x:row r="837" ht="116" customHeight="1">
      <x:c r="A837" s="56" t="str">
        <x:v>SRC-GDL-006</x:v>
      </x:c>
      <x:c r="B837" s="56" t="str">
        <x:v>KB017</x:v>
      </x:c>
      <x:c r="C837" s="56" t="str">
        <x:v>TikTok U.S. awareness</x:v>
      </x:c>
      <x:c r="D837" s="56" t="str">
        <x:v>Official U.S. TikTok displayed 8,477 followers, 27.6K likes and a profile link to the official Amazon store.</x:v>
      </x:c>
      <x:c r="E837" s="56" t="str">
        <x:v>TikTok / Goodal U.S.</x:v>
      </x:c>
      <x:c r="F837" s="56" t="str">
        <x:v>https://www.tiktok.com/@goodal_official_us</x:v>
      </x:c>
      <x:c r="G837" s="56" t="str">
        <x:v>Official Social Account</x:v>
      </x:c>
      <x:c r="H837" s="56"/>
      <x:c r="I837" s="56" t="str">
        <x:v>2026-08-01</x:v>
      </x:c>
      <x:c r="J837" s="56" t="str">
        <x:v>Dynamic Awareness Signal</x:v>
      </x:c>
      <x:c r="K837" s="56" t="str">
        <x:v>Medium-High</x:v>
      </x:c>
      <x:c r="L837" s="56" t="str">
        <x:v>Yes</x:v>
      </x:c>
      <x:c r="M837" s="56"/>
      <x:c r="N837" s="56" t="str">
        <x:v>Follower/like counts change.</x:v>
      </x:c>
      <x:c r="O837" s="56" t="str">
        <x:v>Codex</x:v>
      </x:c>
    </x:row>
    <x:row r="838" ht="116" customHeight="1">
      <x:c r="A838" s="56" t="str">
        <x:v>SRC-GDL-007</x:v>
      </x:c>
      <x:c r="B838" s="56" t="str">
        <x:v>KB017</x:v>
      </x:c>
      <x:c r="C838" s="56" t="str">
        <x:v>Alpha line and U.S. strategy</x:v>
      </x:c>
      <x:c r="D838" s="56" t="str">
        <x:v>Goodal announced the four-product Alpha line and said Amazon is its primary U.S. retail platform; exosome, absorption and seven-day efficacy statements are brand claims requiring substantiation.</x:v>
      </x:c>
      <x:c r="E838" s="56" t="str">
        <x:v>Goodal via PR Newswire</x:v>
      </x:c>
      <x:c r="F838" s="56" t="str">
        <x:v>https://www.prnewswire.com/news-releases/goodal-leans-into-advanced-korean-skincare-technology-with-upgraded-green-tangerine-line-building-us-leadership-302704341.html</x:v>
      </x:c>
      <x:c r="G838" s="56" t="str">
        <x:v>Brand Press Release</x:v>
      </x:c>
      <x:c r="H838" s="56" t="str">
        <x:v>2026-03-04</x:v>
      </x:c>
      <x:c r="I838" s="56" t="str">
        <x:v>2026-08-01</x:v>
      </x:c>
      <x:c r="J838" s="56" t="str">
        <x:v>Verified Brand Statement / Claims Review</x:v>
      </x:c>
      <x:c r="K838" s="56" t="str">
        <x:v>High</x:v>
      </x:c>
      <x:c r="L838" s="56" t="str">
        <x:v>Yes</x:v>
      </x:c>
      <x:c r="M838" s="56"/>
      <x:c r="N838" s="56" t="str">
        <x:v>Brand-provided, not independent efficacy proof.</x:v>
      </x:c>
      <x:c r="O838" s="56" t="str">
        <x:v>Codex</x:v>
      </x:c>
    </x:row>
    <x:row r="839" ht="116" customHeight="1">
      <x:c r="A839" s="56" t="str">
        <x:v>SRC-GDL-008</x:v>
      </x:c>
      <x:c r="B839" s="56" t="str">
        <x:v>KB017</x:v>
      </x:c>
      <x:c r="C839" s="56" t="str">
        <x:v>Green Tangerine cumulative brand claim</x:v>
      </x:c>
      <x:c r="D839" s="56" t="str">
        <x:v>CLIO investor materials identified Green Tangerine as a steady seller and reported a multi-million-unit cumulative milestone.</x:v>
      </x:c>
      <x:c r="E839" s="56" t="str">
        <x:v>CLIO Cosmetics</x:v>
      </x:c>
      <x:c r="F839" s="56" t="str">
        <x:v>https://cliocosmetic.com/ir_report_en.html</x:v>
      </x:c>
      <x:c r="G839" s="56" t="str">
        <x:v>Official Investor Materials</x:v>
      </x:c>
      <x:c r="H839" s="56"/>
      <x:c r="I839" s="56" t="str">
        <x:v>2026-08-01</x:v>
      </x:c>
      <x:c r="J839" s="56" t="str">
        <x:v>Company-Reported Awareness Fact</x:v>
      </x:c>
      <x:c r="K839" s="56" t="str">
        <x:v>Medium-High</x:v>
      </x:c>
      <x:c r="L839" s="56" t="str">
        <x:v>Yes</x:v>
      </x:c>
      <x:c r="M839" s="56"/>
      <x:c r="N839" s="56" t="str">
        <x:v>Reconfirm exact presentation/page and current cumulative total before external publication.</x:v>
      </x:c>
      <x:c r="O839" s="56" t="str">
        <x:v>Codex</x:v>
      </x:c>
    </x:row>
    <x:row r="840" ht="116" customHeight="1">
      <x:c r="A840" s="56" t="str">
        <x:v>SRC-GDL-009</x:v>
      </x:c>
      <x:c r="B840" s="56" t="str">
        <x:v>KB017</x:v>
      </x:c>
      <x:c r="C840" s="56" t="str">
        <x:v>Official Amazon store</x:v>
      </x:c>
      <x:c r="D840" s="56" t="str">
        <x:v>Goodal's official U.S. hub routes to the Goodal Amazon brand store; sampled product pages displayed CLUBCLIO as seller.</x:v>
      </x:c>
      <x:c r="E840" s="56" t="str">
        <x:v>Amazon U.S. / Goodal</x:v>
      </x:c>
      <x:c r="F840" s="56" t="str">
        <x:v>https://www.amazon.com/stores/GOODAL/page/6A28B6BF-E433-43ED-890B-03070AD902EA</x:v>
      </x:c>
      <x:c r="G840" s="56" t="str">
        <x:v>Official Marketplace Store</x:v>
      </x:c>
      <x:c r="H840" s="56"/>
      <x:c r="I840" s="56" t="str">
        <x:v>2026-08-01</x:v>
      </x:c>
      <x:c r="J840" s="56" t="str">
        <x:v>Verified Official Channel</x:v>
      </x:c>
      <x:c r="K840" s="56" t="str">
        <x:v>High</x:v>
      </x:c>
      <x:c r="L840" s="56" t="str">
        <x:v>Yes</x:v>
      </x:c>
      <x:c r="M840" s="56"/>
      <x:c r="N840" s="56" t="str">
        <x:v>Seller status also checked on sampled ASINs.</x:v>
      </x:c>
      <x:c r="O840" s="56" t="str">
        <x:v>Codex</x:v>
      </x:c>
    </x:row>
    <x:row r="841" ht="116" customHeight="1">
      <x:c r="A841" s="56" t="str">
        <x:v>SRC-GDL-010</x:v>
      </x:c>
      <x:c r="B841" s="56" t="str">
        <x:v>KB017</x:v>
      </x:c>
      <x:c r="C841" s="56" t="str">
        <x:v>Amazon — Serum Alpha</x:v>
      </x:c>
      <x:c r="D841" s="56" t="str">
        <x:v>ASIN B0GGGCV238 displayed 4K+ bought/month, $21.90, 4.5/107 and Amazon's Choice, sold by CLUBCLIO and shipped by Amazon.</x:v>
      </x:c>
      <x:c r="E841" s="56" t="str">
        <x:v>Amazon U.S.</x:v>
      </x:c>
      <x:c r="F841" s="56" t="str">
        <x:v>https://www.amazon.com/dp/B0GGGCV238</x:v>
      </x:c>
      <x:c r="G841" s="56" t="str">
        <x:v>Marketplace Display</x:v>
      </x:c>
      <x:c r="H841" s="56"/>
      <x:c r="I841" s="56" t="str">
        <x:v>2026-08-01</x:v>
      </x:c>
      <x:c r="J841" s="56" t="str">
        <x:v>Verified Platform Display</x:v>
      </x:c>
      <x:c r="K841" s="56" t="str">
        <x:v>High</x:v>
      </x:c>
      <x:c r="L841" s="56" t="str">
        <x:v>Yes</x:v>
      </x:c>
      <x:c r="M841" s="56"/>
      <x:c r="N841" s="56" t="str">
        <x:v>Dynamic proxy; new Alpha formula.</x:v>
      </x:c>
      <x:c r="O841" s="56" t="str">
        <x:v>Codex</x:v>
      </x:c>
    </x:row>
    <x:row r="842" ht="116" customHeight="1">
      <x:c r="A842" s="56" t="str">
        <x:v>SRC-GDL-011</x:v>
      </x:c>
      <x:c r="B842" s="56" t="str">
        <x:v>KB017</x:v>
      </x:c>
      <x:c r="C842" s="56" t="str">
        <x:v>Amazon — Eye Patches Alpha</x:v>
      </x:c>
      <x:c r="D842" s="56" t="str">
        <x:v>ASIN B0G92CK3J8 displayed 1K+ bought/month, $18.90 and 4.6/94, sold by CLUBCLIO.</x:v>
      </x:c>
      <x:c r="E842" s="56" t="str">
        <x:v>Amazon U.S.</x:v>
      </x:c>
      <x:c r="F842" s="56" t="str">
        <x:v>https://www.amazon.com/dp/B0G92CK3J8</x:v>
      </x:c>
      <x:c r="G842" s="56" t="str">
        <x:v>Marketplace Display</x:v>
      </x:c>
      <x:c r="H842" s="56"/>
      <x:c r="I842" s="56" t="str">
        <x:v>2026-08-01</x:v>
      </x:c>
      <x:c r="J842" s="56" t="str">
        <x:v>Verified Platform Display</x:v>
      </x:c>
      <x:c r="K842" s="56" t="str">
        <x:v>High</x:v>
      </x:c>
      <x:c r="L842" s="56" t="str">
        <x:v>Yes</x:v>
      </x:c>
      <x:c r="M842" s="56"/>
      <x:c r="N842" s="56" t="str">
        <x:v>Dynamic proxy.</x:v>
      </x:c>
      <x:c r="O842" s="56" t="str">
        <x:v>Codex</x:v>
      </x:c>
    </x:row>
    <x:row r="843" ht="116" customHeight="1">
      <x:c r="A843" s="56" t="str">
        <x:v>SRC-GDL-012</x:v>
      </x:c>
      <x:c r="B843" s="56" t="str">
        <x:v>KB017</x:v>
      </x:c>
      <x:c r="C843" s="56" t="str">
        <x:v>Amazon — Cream Advanced</x:v>
      </x:c>
      <x:c r="D843" s="56" t="str">
        <x:v>ASIN B0GGM7V79C displayed 600+ bought/month, $24.00 and 4.5/1,327, sold by CLUBCLIO; review inheritance is possible.</x:v>
      </x:c>
      <x:c r="E843" s="56" t="str">
        <x:v>Amazon U.S.</x:v>
      </x:c>
      <x:c r="F843" s="56" t="str">
        <x:v>https://www.amazon.com/dp/B0GGM7V79C</x:v>
      </x:c>
      <x:c r="G843" s="56" t="str">
        <x:v>Marketplace Display</x:v>
      </x:c>
      <x:c r="H843" s="56"/>
      <x:c r="I843" s="56" t="str">
        <x:v>2026-08-01</x:v>
      </x:c>
      <x:c r="J843" s="56" t="str">
        <x:v>Verified Platform Display</x:v>
      </x:c>
      <x:c r="K843" s="56" t="str">
        <x:v>High</x:v>
      </x:c>
      <x:c r="L843" s="56" t="str">
        <x:v>Yes</x:v>
      </x:c>
      <x:c r="M843" s="56"/>
      <x:c r="N843" s="56" t="str">
        <x:v>Parse variant/review family before attribution.</x:v>
      </x:c>
      <x:c r="O843" s="56" t="str">
        <x:v>Codex</x:v>
      </x:c>
    </x:row>
    <x:row r="844" ht="116" customHeight="1">
      <x:c r="A844" s="56" t="str">
        <x:v>SRC-GDL-013</x:v>
      </x:c>
      <x:c r="B844" s="56" t="str">
        <x:v>KB017</x:v>
      </x:c>
      <x:c r="C844" s="56" t="str">
        <x:v>Amazon — UV Defense Sunscreen</x:v>
      </x:c>
      <x:c r="D844" s="56" t="str">
        <x:v>ASIN B0F6N25L2P displayed 600+ bought/month, $23.00 and 4.5/238, sold by CLUBCLIO.</x:v>
      </x:c>
      <x:c r="E844" s="56" t="str">
        <x:v>Amazon U.S.</x:v>
      </x:c>
      <x:c r="F844" s="56" t="str">
        <x:v>https://www.amazon.com/dp/B0F6N25L2P</x:v>
      </x:c>
      <x:c r="G844" s="56" t="str">
        <x:v>Marketplace Display</x:v>
      </x:c>
      <x:c r="H844" s="56"/>
      <x:c r="I844" s="56" t="str">
        <x:v>2026-08-01</x:v>
      </x:c>
      <x:c r="J844" s="56" t="str">
        <x:v>Verified Platform Display</x:v>
      </x:c>
      <x:c r="K844" s="56" t="str">
        <x:v>High</x:v>
      </x:c>
      <x:c r="L844" s="56" t="str">
        <x:v>Yes</x:v>
      </x:c>
      <x:c r="M844" s="56"/>
      <x:c r="N844" s="56" t="str">
        <x:v>Map exact U.S. Drug Facts/NDC/artwork.</x:v>
      </x:c>
      <x:c r="O844" s="56" t="str">
        <x:v>Codex</x:v>
      </x:c>
    </x:row>
    <x:row r="845" ht="116" customHeight="1">
      <x:c r="A845" s="56" t="str">
        <x:v>SRC-GDL-014</x:v>
      </x:c>
      <x:c r="B845" s="56" t="str">
        <x:v>KB017</x:v>
      </x:c>
      <x:c r="C845" s="56" t="str">
        <x:v>Amazon — Toner Pads Advanced</x:v>
      </x:c>
      <x:c r="D845" s="56" t="str">
        <x:v>ASIN B0GGMRBF96 displayed 300+ bought/month, $23.90 and 4.6/2,202, sold by CLUBCLIO; review inheritance is possible.</x:v>
      </x:c>
      <x:c r="E845" s="56" t="str">
        <x:v>Amazon U.S.</x:v>
      </x:c>
      <x:c r="F845" s="56" t="str">
        <x:v>https://www.amazon.com/dp/B0GGMRBF96</x:v>
      </x:c>
      <x:c r="G845" s="56" t="str">
        <x:v>Marketplace Display</x:v>
      </x:c>
      <x:c r="H845" s="56"/>
      <x:c r="I845" s="56" t="str">
        <x:v>2026-08-01</x:v>
      </x:c>
      <x:c r="J845" s="56" t="str">
        <x:v>Verified Platform Display</x:v>
      </x:c>
      <x:c r="K845" s="56" t="str">
        <x:v>High</x:v>
      </x:c>
      <x:c r="L845" s="56" t="str">
        <x:v>Yes</x:v>
      </x:c>
      <x:c r="M845" s="56"/>
      <x:c r="N845" s="56" t="str">
        <x:v>Parse variant/review family before attribution.</x:v>
      </x:c>
      <x:c r="O845" s="56" t="str">
        <x:v>Codex</x:v>
      </x:c>
    </x:row>
    <x:row r="846" ht="116" customHeight="1">
      <x:c r="A846" s="56" t="str">
        <x:v>SRC-GDL-015</x:v>
      </x:c>
      <x:c r="B846" s="56" t="str">
        <x:v>KB017</x:v>
      </x:c>
      <x:c r="C846" s="56" t="str">
        <x:v>Core verification — Amazon strength</x:v>
      </x:c>
      <x:c r="D846" s="56" t="str">
        <x:v>Five distinct CLUBCLIO-seller ASIN badges imply at least 6,500 monthly units and $141,870/month at observed one-time prices.</x:v>
      </x:c>
      <x:c r="E846" s="56" t="str">
        <x:v>Analyst Calculation</x:v>
      </x:c>
      <x:c r="F846" s="56" t="str">
        <x:v>https://www.amazon.com/stores/GOODAL/page/6A28B6BF-E433-43ED-890B-03070AD902EA</x:v>
      </x:c>
      <x:c r="G846" s="56" t="str">
        <x:v>Derived from Marketplace Displays</x:v>
      </x:c>
      <x:c r="H846" s="56"/>
      <x:c r="I846" s="56" t="str">
        <x:v>2026-08-01</x:v>
      </x:c>
      <x:c r="J846" s="56" t="str">
        <x:v>Conservative Sales Proxy</x:v>
      </x:c>
      <x:c r="K846" s="56" t="str">
        <x:v>Medium-High</x:v>
      </x:c>
      <x:c r="L846" s="56" t="str">
        <x:v>Yes</x:v>
      </x:c>
      <x:c r="M846" s="56"/>
      <x:c r="N846" s="56" t="str">
        <x:v>Not audited revenue; excludes other ASINs, purchases above badge floors, coupons, returns and taxes.</x:v>
      </x:c>
      <x:c r="O846" s="56" t="str">
        <x:v>Codex</x:v>
      </x:c>
    </x:row>
    <x:row r="847" ht="116" customHeight="1">
      <x:c r="A847" s="56" t="str">
        <x:v>SRC-GDL-016</x:v>
      </x:c>
      <x:c r="B847" s="56" t="str">
        <x:v>KB017</x:v>
      </x:c>
      <x:c r="C847" s="56" t="str">
        <x:v>Target brand assortment</x:v>
      </x:c>
      <x:c r="D847" s="56" t="str">
        <x:v>Target displayed ten Goodal results across serum, pads, eye patches, tone-up cream, sun serum, toner, cleanser and rice-milk cream.</x:v>
      </x:c>
      <x:c r="E847" s="56" t="str">
        <x:v>Target</x:v>
      </x:c>
      <x:c r="F847" s="56" t="str">
        <x:v>https://www.target.com/b/goodal/-/N-q643le40qye</x:v>
      </x:c>
      <x:c r="G847" s="56" t="str">
        <x:v>Retailer Brand Page</x:v>
      </x:c>
      <x:c r="H847" s="56"/>
      <x:c r="I847" s="56" t="str">
        <x:v>2026-08-01</x:v>
      </x:c>
      <x:c r="J847" s="56" t="str">
        <x:v>Verified Retail Presence</x:v>
      </x:c>
      <x:c r="K847" s="56" t="str">
        <x:v>High</x:v>
      </x:c>
      <x:c r="L847" s="56" t="str">
        <x:v>Yes</x:v>
      </x:c>
      <x:c r="M847" s="56"/>
      <x:c r="N847" s="56" t="str">
        <x:v>Assortment, seller, stock and pricing change.</x:v>
      </x:c>
      <x:c r="O847" s="56" t="str">
        <x:v>Codex</x:v>
      </x:c>
    </x:row>
    <x:row r="848" ht="116" customHeight="1">
      <x:c r="A848" s="56" t="str">
        <x:v>SRC-GDL-017</x:v>
      </x:c>
      <x:c r="B848" s="56" t="str">
        <x:v>KB017</x:v>
      </x:c>
      <x:c r="C848" s="56" t="str">
        <x:v>Target — Legacy Serum</x:v>
      </x:c>
      <x:c r="D848" s="56" t="str">
        <x:v>An older Target page showed the 40 mL Green Tangerine serum at $24.99 sale, 4.05/24 and out-of-stock status.</x:v>
      </x:c>
      <x:c r="E848" s="56" t="str">
        <x:v>Target</x:v>
      </x:c>
      <x:c r="F848" s="56" t="str">
        <x:v>https://www.target.com/p/-/A-88339984</x:v>
      </x:c>
      <x:c r="G848" s="56" t="str">
        <x:v>Retailer Product Page</x:v>
      </x:c>
      <x:c r="H848" s="56"/>
      <x:c r="I848" s="56" t="str">
        <x:v>2026-08-01</x:v>
      </x:c>
      <x:c r="J848" s="56" t="str">
        <x:v>Verified Retail / Review Signal</x:v>
      </x:c>
      <x:c r="K848" s="56" t="str">
        <x:v>Medium-High</x:v>
      </x:c>
      <x:c r="L848" s="56" t="str">
        <x:v>Yes</x:v>
      </x:c>
      <x:c r="M848" s="56"/>
      <x:c r="N848" s="56" t="str">
        <x:v>Legacy formula and inventory status; dynamic.</x:v>
      </x:c>
      <x:c r="O848" s="56" t="str">
        <x:v>Codex</x:v>
      </x:c>
    </x:row>
    <x:row r="849" ht="116" customHeight="1">
      <x:c r="A849" s="56" t="str">
        <x:v>SRC-GDL-018</x:v>
      </x:c>
      <x:c r="B849" s="56" t="str">
        <x:v>KB017</x:v>
      </x:c>
      <x:c r="C849" s="56" t="str">
        <x:v>Target — Toner Pads</x:v>
      </x:c>
      <x:c r="D849" s="56" t="str">
        <x:v>Target displayed Green Tangerine pads at $22 and 5/3.</x:v>
      </x:c>
      <x:c r="E849" s="56" t="str">
        <x:v>Target</x:v>
      </x:c>
      <x:c r="F849" s="56" t="str">
        <x:v>https://www.target.com/p/-/A-91267391</x:v>
      </x:c>
      <x:c r="G849" s="56" t="str">
        <x:v>Retailer Product Page</x:v>
      </x:c>
      <x:c r="H849" s="56"/>
      <x:c r="I849" s="56" t="str">
        <x:v>2026-08-01</x:v>
      </x:c>
      <x:c r="J849" s="56" t="str">
        <x:v>Verified Retail / Review Signal</x:v>
      </x:c>
      <x:c r="K849" s="56" t="str">
        <x:v>High</x:v>
      </x:c>
      <x:c r="L849" s="56" t="str">
        <x:v>Yes</x:v>
      </x:c>
      <x:c r="M849" s="56"/>
      <x:c r="N849" s="56" t="str">
        <x:v>Very small review sample; price/status change.</x:v>
      </x:c>
      <x:c r="O849" s="56" t="str">
        <x:v>Codex</x:v>
      </x:c>
    </x:row>
    <x:row r="850" ht="116" customHeight="1">
      <x:c r="A850" s="56" t="str">
        <x:v>SRC-GDL-019</x:v>
      </x:c>
      <x:c r="B850" s="56" t="str">
        <x:v>KB017</x:v>
      </x:c>
      <x:c r="C850" s="56" t="str">
        <x:v>iHerb — Legacy Serum</x:v>
      </x:c>
      <x:c r="D850" s="56" t="str">
        <x:v>iHerb displayed the 40 mL legacy serum at $27.90, 4.6/1,885, 100+ sold in 30 days, #12 K-Beauty Vitamin C Serums and #37 Vitamin C Serums; iHerb states direct/authorized sourcing.</x:v>
      </x:c>
      <x:c r="E850" s="56" t="str">
        <x:v>iHerb</x:v>
      </x:c>
      <x:c r="F850" s="56" t="str">
        <x:v>https://www.iherb.com/pr/goodal-green-tangerine-vita-c-dark-spot-care-serum-1-35-fl-oz-40-ml/116198</x:v>
      </x:c>
      <x:c r="G850" s="56" t="str">
        <x:v>Authorized Retailer Product Page</x:v>
      </x:c>
      <x:c r="H850" s="56"/>
      <x:c r="I850" s="56" t="str">
        <x:v>2026-08-01</x:v>
      </x:c>
      <x:c r="J850" s="56" t="str">
        <x:v>Verified Retail / Demand Signal</x:v>
      </x:c>
      <x:c r="K850" s="56" t="str">
        <x:v>High</x:v>
      </x:c>
      <x:c r="L850" s="56" t="str">
        <x:v>Yes</x:v>
      </x:c>
      <x:c r="M850" s="56"/>
      <x:c r="N850" s="56" t="str">
        <x:v>Legacy formula; do not apply review proof to Alpha automatically.</x:v>
      </x:c>
      <x:c r="O850" s="56" t="str">
        <x:v>Codex</x:v>
      </x:c>
    </x:row>
    <x:row r="851" ht="116" customHeight="1">
      <x:c r="A851" s="56" t="str">
        <x:v>SRC-GDL-020</x:v>
      </x:c>
      <x:c r="B851" s="56" t="str">
        <x:v>KB017</x:v>
      </x:c>
      <x:c r="C851" s="56" t="str">
        <x:v>TikTok Shop — Official listing</x:v>
      </x:c>
      <x:c r="D851" s="56" t="str">
        <x:v>Goodal skincare search displayed a GOODAL Official Shop beginner vitamin-C set with 45 sold, $22 and 5.0.</x:v>
      </x:c>
      <x:c r="E851" s="56" t="str">
        <x:v>TikTok Shop U.S.</x:v>
      </x:c>
      <x:c r="F851" s="56" t="str">
        <x:v>https://shop.tiktok.com/us/k/goodal-skincare</x:v>
      </x:c>
      <x:c r="G851" s="56" t="str">
        <x:v>Official Social-Commerce Listing</x:v>
      </x:c>
      <x:c r="H851" s="56"/>
      <x:c r="I851" s="56" t="str">
        <x:v>2026-08-01</x:v>
      </x:c>
      <x:c r="J851" s="56" t="str">
        <x:v>Dynamic Platform Signal</x:v>
      </x:c>
      <x:c r="K851" s="56" t="str">
        <x:v>Medium</x:v>
      </x:c>
      <x:c r="L851" s="56" t="str">
        <x:v>Yes</x:v>
      </x:c>
      <x:c r="M851" s="56"/>
      <x:c r="N851" s="56" t="str">
        <x:v>Listing/count are dynamic and not audited revenue.</x:v>
      </x:c>
      <x:c r="O851" s="56" t="str">
        <x:v>Codex</x:v>
      </x:c>
    </x:row>
    <x:row r="852" ht="116" customHeight="1">
      <x:c r="A852" s="56" t="str">
        <x:v>SRC-GDL-021</x:v>
      </x:c>
      <x:c r="B852" s="56" t="str">
        <x:v>KB017</x:v>
      </x:c>
      <x:c r="C852" s="56" t="str">
        <x:v>TikTok Shop — Third-party listing</x:v>
      </x:c>
      <x:c r="D852" s="56" t="str">
        <x:v>A serum listing showed 5K sold, 4.8/348 and $34 but seller was Lee &amp; Gen Global, not Goodal official; useful as demand and channel-risk evidence only.</x:v>
      </x:c>
      <x:c r="E852" s="56" t="str">
        <x:v>TikTok Shop U.S.</x:v>
      </x:c>
      <x:c r="F852" s="56" t="str">
        <x:v>https://shop.tiktok.com/us/k/goodal-skincare</x:v>
      </x:c>
      <x:c r="G852" s="56" t="str">
        <x:v>Third-Party Marketplace Listing</x:v>
      </x:c>
      <x:c r="H852" s="56"/>
      <x:c r="I852" s="56" t="str">
        <x:v>2026-08-01</x:v>
      </x:c>
      <x:c r="J852" s="56" t="str">
        <x:v>Dynamic Seller-Risk Signal</x:v>
      </x:c>
      <x:c r="K852" s="56" t="str">
        <x:v>Medium</x:v>
      </x:c>
      <x:c r="L852" s="56" t="str">
        <x:v>Yes</x:v>
      </x:c>
      <x:c r="M852" s="56"/>
      <x:c r="N852" s="56" t="str">
        <x:v>Do not attribute sales to official Goodal shop.</x:v>
      </x:c>
      <x:c r="O852" s="56" t="str">
        <x:v>Codex</x:v>
      </x:c>
    </x:row>
    <x:row r="853" ht="116" customHeight="1">
      <x:c r="A853" s="56" t="str">
        <x:v>SRC-GDL-022</x:v>
      </x:c>
      <x:c r="B853" s="56" t="str">
        <x:v>KB017</x:v>
      </x:c>
      <x:c r="C853" s="56" t="str">
        <x:v>Walmart marketplace presence</x:v>
      </x:c>
      <x:c r="D853" s="56" t="str">
        <x:v>Walmart search displayed about 19 Goodal results; sampled serum was sold and shipped by Premium Beauty US rather than first-party Walmart or CLUBCLIO.</x:v>
      </x:c>
      <x:c r="E853" s="56" t="str">
        <x:v>Walmart</x:v>
      </x:c>
      <x:c r="F853" s="56" t="str">
        <x:v>https://www.walmart.com/search?q=Goodal</x:v>
      </x:c>
      <x:c r="G853" s="56" t="str">
        <x:v>Marketplace Search / Seller Check</x:v>
      </x:c>
      <x:c r="H853" s="56"/>
      <x:c r="I853" s="56" t="str">
        <x:v>2026-08-01</x:v>
      </x:c>
      <x:c r="J853" s="56" t="str">
        <x:v>Verified Visibility / Seller Risk</x:v>
      </x:c>
      <x:c r="K853" s="56" t="str">
        <x:v>High</x:v>
      </x:c>
      <x:c r="L853" s="56" t="str">
        <x:v>Yes</x:v>
      </x:c>
      <x:c r="M853" s="56"/>
      <x:c r="N853" s="56" t="str">
        <x:v>Verify seller, authorization, version, lot, UPC and expiration per listing.</x:v>
      </x:c>
      <x:c r="O853" s="56" t="str">
        <x:v>Codex</x:v>
      </x:c>
    </x:row>
    <x:row r="854" ht="116" customHeight="1">
      <x:c r="A854" s="56" t="str">
        <x:v>SRC-GDL-023</x:v>
      </x:c>
      <x:c r="B854" s="56" t="str">
        <x:v>KB017</x:v>
      </x:c>
      <x:c r="C854" s="56" t="str">
        <x:v>Costco Online history</x:v>
      </x:c>
      <x:c r="D854" s="56" t="str">
        <x:v>CLIO investor materials reported a Goodal Heartleaf online launch at Costco in 2024 and later Costco-online activity.</x:v>
      </x:c>
      <x:c r="E854" s="56" t="str">
        <x:v>CLIO Cosmetics</x:v>
      </x:c>
      <x:c r="F854" s="56" t="str">
        <x:v>https://cliocosmetic.com/ir_report_en.html</x:v>
      </x:c>
      <x:c r="G854" s="56" t="str">
        <x:v>Official Company Channel Report</x:v>
      </x:c>
      <x:c r="H854" s="56"/>
      <x:c r="I854" s="56" t="str">
        <x:v>2026-08-01</x:v>
      </x:c>
      <x:c r="J854" s="56" t="str">
        <x:v>Historical Channel Fact</x:v>
      </x:c>
      <x:c r="K854" s="56" t="str">
        <x:v>Medium-High</x:v>
      </x:c>
      <x:c r="L854" s="56" t="str">
        <x:v>Yes</x:v>
      </x:c>
      <x:c r="M854" s="56"/>
      <x:c r="N854" s="56" t="str">
        <x:v>Does not prove current assortment or account status.</x:v>
      </x:c>
      <x:c r="O854" s="56" t="str">
        <x:v>Codex</x:v>
      </x:c>
    </x:row>
    <x:row r="855" ht="116" customHeight="1">
      <x:c r="A855" s="56" t="str">
        <x:v>SRC-GDL-024</x:v>
      </x:c>
      <x:c r="B855" s="56" t="str">
        <x:v>KB017</x:v>
      </x:c>
      <x:c r="C855" s="56" t="str">
        <x:v>Olive Young Global presence</x:v>
      </x:c>
      <x:c r="D855" s="56" t="str">
        <x:v>Olive Young Global maintains a Goodal brand page.</x:v>
      </x:c>
      <x:c r="E855" s="56" t="str">
        <x:v>Olive Young Global</x:v>
      </x:c>
      <x:c r="F855" s="56" t="str">
        <x:v>https://global.oliveyoung.com/display/page/brand-page?brandNo=B00208</x:v>
      </x:c>
      <x:c r="G855" s="56" t="str">
        <x:v>K-Beauty Retailer Brand Page</x:v>
      </x:c>
      <x:c r="H855" s="56"/>
      <x:c r="I855" s="56" t="str">
        <x:v>2026-08-01</x:v>
      </x:c>
      <x:c r="J855" s="56" t="str">
        <x:v>Verified Retail Presence</x:v>
      </x:c>
      <x:c r="K855" s="56" t="str">
        <x:v>High</x:v>
      </x:c>
      <x:c r="L855" s="56" t="str">
        <x:v>Yes</x:v>
      </x:c>
      <x:c r="M855" s="56"/>
      <x:c r="N855" s="56" t="str">
        <x:v>Assortment and market versions change.</x:v>
      </x:c>
      <x:c r="O855" s="56" t="str">
        <x:v>Codex</x:v>
      </x:c>
    </x:row>
    <x:row r="856" ht="116" customHeight="1">
      <x:c r="A856" s="56" t="str">
        <x:v>SRC-GDL-025</x:v>
      </x:c>
      <x:c r="B856" s="56" t="str">
        <x:v>KB017</x:v>
      </x:c>
      <x:c r="C856" s="56" t="str">
        <x:v>Olive Young U.S. promotion</x:v>
      </x:c>
      <x:c r="D856" s="56" t="str">
        <x:v>Olive Young U.S. promotional content included Goodal Alpha serum-mask activity.</x:v>
      </x:c>
      <x:c r="E856" s="56" t="str">
        <x:v>Olive Young U.S.</x:v>
      </x:c>
      <x:c r="F856" s="56" t="str">
        <x:v>https://us.oliveyoung.com/promotions/37</x:v>
      </x:c>
      <x:c r="G856" s="56" t="str">
        <x:v>U.S. Retail Promotion</x:v>
      </x:c>
      <x:c r="H856" s="56"/>
      <x:c r="I856" s="56" t="str">
        <x:v>2026-08-01</x:v>
      </x:c>
      <x:c r="J856" s="56" t="str">
        <x:v>Verified U.S. Visibility</x:v>
      </x:c>
      <x:c r="K856" s="56" t="str">
        <x:v>Medium-High</x:v>
      </x:c>
      <x:c r="L856" s="56" t="str">
        <x:v>Yes</x:v>
      </x:c>
      <x:c r="M856" s="56"/>
      <x:c r="N856" s="56" t="str">
        <x:v>Promotion scope and dates change.</x:v>
      </x:c>
      <x:c r="O856" s="56" t="str">
        <x:v>Codex</x:v>
      </x:c>
    </x:row>
    <x:row r="857" ht="116" customHeight="1">
      <x:c r="A857" s="56" t="str">
        <x:v>SRC-GDL-026</x:v>
      </x:c>
      <x:c r="B857" s="56" t="str">
        <x:v>KB017</x:v>
      </x:c>
      <x:c r="C857" s="56" t="str">
        <x:v>YesStyle brand presence</x:v>
      </x:c>
      <x:c r="D857" s="56" t="str">
        <x:v>YesStyle displayed a broad Goodal assortment of roughly 77 items.</x:v>
      </x:c>
      <x:c r="E857" s="56" t="str">
        <x:v>YesStyle</x:v>
      </x:c>
      <x:c r="F857" s="56" t="str">
        <x:v>https://www.yesstyle.com/en/goodal/list.html/bpt.299_bid.318262</x:v>
      </x:c>
      <x:c r="G857" s="56" t="str">
        <x:v>Authorized Cross-Border Retailer</x:v>
      </x:c>
      <x:c r="H857" s="56"/>
      <x:c r="I857" s="56" t="str">
        <x:v>2026-08-01</x:v>
      </x:c>
      <x:c r="J857" s="56" t="str">
        <x:v>Verified Retail Presence</x:v>
      </x:c>
      <x:c r="K857" s="56" t="str">
        <x:v>High</x:v>
      </x:c>
      <x:c r="L857" s="56" t="str">
        <x:v>Yes</x:v>
      </x:c>
      <x:c r="M857" s="56"/>
      <x:c r="N857" s="56" t="str">
        <x:v>Cross-border price/version leakage risk.</x:v>
      </x:c>
      <x:c r="O857" s="56" t="str">
        <x:v>Codex</x:v>
      </x:c>
    </x:row>
    <x:row r="858" ht="116" customHeight="1">
      <x:c r="A858" s="56" t="str">
        <x:v>SRC-GDL-027</x:v>
      </x:c>
      <x:c r="B858" s="56" t="str">
        <x:v>KB017</x:v>
      </x:c>
      <x:c r="C858" s="56" t="str">
        <x:v>YesStyle — Alpha Serum pricing</x:v>
      </x:c>
      <x:c r="D858" s="56" t="str">
        <x:v>YesStyle displayed Alpha serum pricing around $19.40 promotion versus approximately $21.90 reference and a face-serum category rank.</x:v>
      </x:c>
      <x:c r="E858" s="56" t="str">
        <x:v>YesStyle</x:v>
      </x:c>
      <x:c r="F858" s="56" t="str">
        <x:v>https://www.yesstyle.com/en/goodal-green-tangerine-vita-c-dark-spot-care-serum-alpha/info.html/pid.1135246182</x:v>
      </x:c>
      <x:c r="G858" s="56" t="str">
        <x:v>Cross-Border Product Page</x:v>
      </x:c>
      <x:c r="H858" s="56"/>
      <x:c r="I858" s="56" t="str">
        <x:v>2026-08-01</x:v>
      </x:c>
      <x:c r="J858" s="56" t="str">
        <x:v>Dynamic Price / Rank Signal</x:v>
      </x:c>
      <x:c r="K858" s="56" t="str">
        <x:v>Medium-High</x:v>
      </x:c>
      <x:c r="L858" s="56" t="str">
        <x:v>Yes</x:v>
      </x:c>
      <x:c r="M858" s="56"/>
      <x:c r="N858" s="56" t="str">
        <x:v>URL, promotion and rank should be rechecked before negotiation.</x:v>
      </x:c>
      <x:c r="O858" s="56" t="str">
        <x:v>Codex</x:v>
      </x:c>
    </x:row>
    <x:row r="859" ht="116" customHeight="1">
      <x:c r="A859" s="56" t="str">
        <x:v>SRC-GDL-028</x:v>
      </x:c>
      <x:c r="B859" s="56" t="str">
        <x:v>KB017</x:v>
      </x:c>
      <x:c r="C859" s="56" t="str">
        <x:v>Jolse cross-border presence</x:v>
      </x:c>
      <x:c r="D859" s="56" t="str">
        <x:v>Jolse search results show Goodal products available to international shoppers.</x:v>
      </x:c>
      <x:c r="E859" s="56" t="str">
        <x:v>Jolse</x:v>
      </x:c>
      <x:c r="F859" s="56" t="str">
        <x:v>https://jolse.com/product/search.html?banner_action=&amp;keyword=goodal</x:v>
      </x:c>
      <x:c r="G859" s="56" t="str">
        <x:v>Cross-Border Retail Search</x:v>
      </x:c>
      <x:c r="H859" s="56"/>
      <x:c r="I859" s="56" t="str">
        <x:v>2026-08-01</x:v>
      </x:c>
      <x:c r="J859" s="56" t="str">
        <x:v>Verified Visibility</x:v>
      </x:c>
      <x:c r="K859" s="56" t="str">
        <x:v>Medium</x:v>
      </x:c>
      <x:c r="L859" s="56" t="str">
        <x:v>Yes</x:v>
      </x:c>
      <x:c r="M859" s="56"/>
      <x:c r="N859" s="56" t="str">
        <x:v>Authorization, U.S. rights, seller terms and versions require confirmation.</x:v>
      </x:c>
      <x:c r="O859" s="56" t="str">
        <x:v>Codex</x:v>
      </x:c>
    </x:row>
    <x:row r="860" ht="116" customHeight="1">
      <x:c r="A860" s="56" t="str">
        <x:v>SRC-GDL-029</x:v>
      </x:c>
      <x:c r="B860" s="56" t="str">
        <x:v>KB017</x:v>
      </x:c>
      <x:c r="C860" s="56" t="str">
        <x:v>Official Brand Shop routing</x:v>
      </x:c>
      <x:c r="D860" s="56" t="str">
        <x:v>CLIO's Goodal page routes its Brand Shop link to Club Clio, CLIO's official online store.</x:v>
      </x:c>
      <x:c r="E860" s="56" t="str">
        <x:v>CLIO Cosmetics / Club Clio</x:v>
      </x:c>
      <x:c r="F860" s="56" t="str">
        <x:v>https://clubclio.co.kr</x:v>
      </x:c>
      <x:c r="G860" s="56" t="str">
        <x:v>Official Parent-Company Store</x:v>
      </x:c>
      <x:c r="H860" s="56"/>
      <x:c r="I860" s="56" t="str">
        <x:v>2026-08-01</x:v>
      </x:c>
      <x:c r="J860" s="56" t="str">
        <x:v>Verified Official Channel</x:v>
      </x:c>
      <x:c r="K860" s="56" t="str">
        <x:v>High</x:v>
      </x:c>
      <x:c r="L860" s="56" t="str">
        <x:v>Yes</x:v>
      </x:c>
      <x:c r="M860" s="56"/>
      <x:c r="N860" s="56" t="str">
        <x:v>Korean store; U.S. merchant/wholesale role not established.</x:v>
      </x:c>
      <x:c r="O860" s="56" t="str">
        <x:v>Codex</x:v>
      </x:c>
    </x:row>
    <x:row r="861" ht="116" customHeight="1">
      <x:c r="A861" s="56" t="str">
        <x:v>SRC-GDL-030</x:v>
      </x:c>
      <x:c r="B861" s="56" t="str">
        <x:v>KB017</x:v>
      </x:c>
      <x:c r="C861" s="56" t="str">
        <x:v>DailyMed — UV Defense SPF50</x:v>
      </x:c>
      <x:c r="D861" s="56" t="str">
        <x:v>DailyMed lists NDC 84532-001 with homosalate 9.5%, octocrylene 9%, octisalate 4.75% and avobenzone 2.85%; CLIO is labeler/registrant.</x:v>
      </x:c>
      <x:c r="E861" s="56" t="str">
        <x:v>DailyMed</x:v>
      </x:c>
      <x:c r="F861" s="56" t="str">
        <x:v>https://dailymed.nlm.nih.gov/dailymed/fda/fdaDrugXsl.cfm?setid=77a0d190-f558-474b-89d2-c79b37c50c0d&amp;type=display</x:v>
      </x:c>
      <x:c r="G861" s="56" t="str">
        <x:v>Official Drug Label Database</x:v>
      </x:c>
      <x:c r="H861" s="56"/>
      <x:c r="I861" s="56" t="str">
        <x:v>2026-08-01</x:v>
      </x:c>
      <x:c r="J861" s="56" t="str">
        <x:v>Verified U.S. OTC Label</x:v>
      </x:c>
      <x:c r="K861" s="56" t="str">
        <x:v>High</x:v>
      </x:c>
      <x:c r="L861" s="56" t="str">
        <x:v>Yes</x:v>
      </x:c>
      <x:c r="M861" s="56"/>
      <x:c r="N861" s="56" t="str">
        <x:v>Match exact formula, NDC, Drug Facts, size and artwork.</x:v>
      </x:c>
      <x:c r="O861" s="56" t="str">
        <x:v>Codex</x:v>
      </x:c>
    </x:row>
    <x:row r="862" ht="116" customHeight="1">
      <x:c r="A862" s="56" t="str">
        <x:v>SRC-GDL-031</x:v>
      </x:c>
      <x:c r="B862" s="56" t="str">
        <x:v>KB017</x:v>
      </x:c>
      <x:c r="C862" s="56" t="str">
        <x:v>DailyMed — Heartleaf Moisture Sunscreen</x:v>
      </x:c>
      <x:c r="D862" s="56" t="str">
        <x:v>DailyMed lists NDC 84532-002, 50 mL, marketing start 2026-03-09, CLIO as labeler/registrant and COSMAX as manufacturer.</x:v>
      </x:c>
      <x:c r="E862" s="56" t="str">
        <x:v>DailyMed</x:v>
      </x:c>
      <x:c r="F862" s="56" t="str">
        <x:v>https://dailymed.nlm.nih.gov/dailymed/lookup.cfm?setid=8d147089-709f-4468-a47d-9251e737c9a4&amp;version=1</x:v>
      </x:c>
      <x:c r="G862" s="56" t="str">
        <x:v>Official Drug Label Database</x:v>
      </x:c>
      <x:c r="H862" s="56"/>
      <x:c r="I862" s="56" t="str">
        <x:v>2026-08-01</x:v>
      </x:c>
      <x:c r="J862" s="56" t="str">
        <x:v>Verified U.S. OTC Label</x:v>
      </x:c>
      <x:c r="K862" s="56" t="str">
        <x:v>High</x:v>
      </x:c>
      <x:c r="L862" s="56" t="str">
        <x:v>Yes</x:v>
      </x:c>
      <x:c r="M862" s="56"/>
      <x:c r="N862" s="56" t="str">
        <x:v>Exact U.S. product only; additional Goodal sunscreen NDCs also exist.</x:v>
      </x:c>
      <x:c r="O862" s="56" t="str">
        <x:v>Codex</x:v>
      </x:c>
    </x:row>
    <x:row r="863" ht="116" customHeight="1">
      <x:c r="A863" s="56" t="str">
        <x:v>SRC-GDL-032</x:v>
      </x:c>
      <x:c r="B863" s="56" t="str">
        <x:v>KB017</x:v>
      </x:c>
      <x:c r="C863" s="56" t="str">
        <x:v>FDA — MoCRA registration/listing</x:v>
      </x:c>
      <x:c r="D863" s="56" t="str">
        <x:v>FDA requires cosmetic facility registration and product listing subject to exemptions and update schedules.</x:v>
      </x:c>
      <x:c r="E863" s="56" t="str">
        <x:v>U.S. FDA</x:v>
      </x:c>
      <x:c r="F863" s="56" t="str">
        <x:v>https://www.fda.gov/cosmetics/registration-listing-cosmetic-product-facilities-and-products</x:v>
      </x:c>
      <x:c r="G863" s="56" t="str">
        <x:v>Regulator</x:v>
      </x:c>
      <x:c r="H863" s="56"/>
      <x:c r="I863" s="56" t="str">
        <x:v>2026-08-01</x:v>
      </x:c>
      <x:c r="J863" s="56" t="str">
        <x:v>Verified Regulatory Requirement</x:v>
      </x:c>
      <x:c r="K863" s="56" t="str">
        <x:v>High</x:v>
      </x:c>
      <x:c r="L863" s="56" t="str">
        <x:v>Yes</x:v>
      </x:c>
      <x:c r="M863" s="56"/>
      <x:c r="N863" s="56" t="str">
        <x:v>Registration/listing is not FDA approval; drugs have separate obligations.</x:v>
      </x:c>
      <x:c r="O863" s="56" t="str">
        <x:v>Codex</x:v>
      </x:c>
    </x:row>
    <x:row r="864" ht="116" customHeight="1">
      <x:c r="A864" s="56" t="str">
        <x:v>SRC-GDL-033</x:v>
      </x:c>
      <x:c r="B864" s="56" t="str">
        <x:v>KB017</x:v>
      </x:c>
      <x:c r="C864" s="56" t="str">
        <x:v>FDA — importing cosmetics</x:v>
      </x:c>
      <x:c r="D864" s="56" t="str">
        <x:v>Imported cosmetics must comply with U.S. safety, labeling and claims requirements and may be refused if adulterated or misbranded.</x:v>
      </x:c>
      <x:c r="E864" s="56" t="str">
        <x:v>U.S. FDA</x:v>
      </x:c>
      <x:c r="F864" s="56" t="str">
        <x:v>https://www.fda.gov/industry/importing-fda-regulated-products/importing-cosmetics</x:v>
      </x:c>
      <x:c r="G864" s="56" t="str">
        <x:v>Regulator</x:v>
      </x:c>
      <x:c r="H864" s="56"/>
      <x:c r="I864" s="56" t="str">
        <x:v>2026-08-01</x:v>
      </x:c>
      <x:c r="J864" s="56" t="str">
        <x:v>Verified Import Requirement</x:v>
      </x:c>
      <x:c r="K864" s="56" t="str">
        <x:v>High</x:v>
      </x:c>
      <x:c r="L864" s="56" t="str">
        <x:v>Yes</x:v>
      </x:c>
      <x:c r="M864" s="56"/>
      <x:c r="N864" s="56" t="str">
        <x:v>Confirm importer, manufacturer, labels, formulas, claims and entry data.</x:v>
      </x:c>
      <x:c r="O864" s="56" t="str">
        <x:v>Codex</x:v>
      </x:c>
    </x:row>
    <x:row r="865" ht="116" customHeight="1">
      <x:c r="A865" s="56" t="str">
        <x:v>SRC-GDL-034</x:v>
      </x:c>
      <x:c r="B865" s="56" t="str">
        <x:v>KB017</x:v>
      </x:c>
      <x:c r="C865" s="56" t="str">
        <x:v>FDA — importer and claims obligations</x:v>
      </x:c>
      <x:c r="D865" s="56" t="str">
        <x:v>Therapeutic or structure/function claims can make cosmetics drugs; importers must ensure compliance.</x:v>
      </x:c>
      <x:c r="E865" s="56" t="str">
        <x:v>U.S. FDA</x:v>
      </x:c>
      <x:c r="F865" s="56" t="str">
        <x:v>https://www.fda.gov/cosmetics/cosmetics-international-activities/cosmetics-importers</x:v>
      </x:c>
      <x:c r="G865" s="56" t="str">
        <x:v>Regulator</x:v>
      </x:c>
      <x:c r="H865" s="56"/>
      <x:c r="I865" s="56" t="str">
        <x:v>2026-08-01</x:v>
      </x:c>
      <x:c r="J865" s="56" t="str">
        <x:v>Verified Claims Requirement</x:v>
      </x:c>
      <x:c r="K865" s="56" t="str">
        <x:v>High</x:v>
      </x:c>
      <x:c r="L865" s="56" t="str">
        <x:v>Yes</x:v>
      </x:c>
      <x:c r="M865" s="56"/>
      <x:c r="N865" s="56" t="str">
        <x:v>Review pigmentation, absorption, seven-day, repair, dark-circle, collagen and firmness claims.</x:v>
      </x:c>
      <x:c r="O865" s="56" t="str">
        <x:v>Codex</x:v>
      </x:c>
    </x:row>
    <x:row r="866" ht="116" customHeight="1">
      <x:c r="A866" s="56" t="str">
        <x:v>SRC-GDL-035</x:v>
      </x:c>
      <x:c r="B866" s="56" t="str">
        <x:v>KB017</x:v>
      </x:c>
      <x:c r="C866" s="56" t="str">
        <x:v>Reddit — Green Tangerine serum</x:v>
      </x:c>
      <x:c r="D866" s="56" t="str">
        <x:v>Users split between gentle brightening/glow and no visible change, sting, redness or irritation.</x:v>
      </x:c>
      <x:c r="E866" s="56" t="str">
        <x:v>Reddit r/AsianBeauty</x:v>
      </x:c>
      <x:c r="F866" s="56" t="str">
        <x:v>https://www.reddit.com/r/AsianBeauty/comments/11a1fp4/what_are_your_thoughts_on_the_goodal_green/</x:v>
      </x:c>
      <x:c r="G866" s="56" t="str">
        <x:v>Consumer Forum</x:v>
      </x:c>
      <x:c r="H866" s="56"/>
      <x:c r="I866" s="56" t="str">
        <x:v>2026-08-01</x:v>
      </x:c>
      <x:c r="J866" s="56" t="str">
        <x:v>Anecdotal Consumer Evidence</x:v>
      </x:c>
      <x:c r="K866" s="56" t="str">
        <x:v>Low-Medium</x:v>
      </x:c>
      <x:c r="L866" s="56" t="str">
        <x:v>Yes</x:v>
      </x:c>
      <x:c r="M866" s="56"/>
      <x:c r="N866" s="56" t="str">
        <x:v>Self-selected discussion; no prevalence or causality inference.</x:v>
      </x:c>
      <x:c r="O866" s="56" t="str">
        <x:v>Codex</x:v>
      </x:c>
    </x:row>
    <x:row r="867" ht="116" customHeight="1">
      <x:c r="A867" s="56" t="str">
        <x:v>SRC-GDL-036</x:v>
      </x:c>
      <x:c r="B867" s="56" t="str">
        <x:v>KB017</x:v>
      </x:c>
      <x:c r="C867" s="56" t="str">
        <x:v>Reddit — texture and efficacy</x:v>
      </x:c>
      <x:c r="D867" s="56" t="str">
        <x:v>Users praise lightweight hydration, layering and gradual fading; others report stickiness, scent, bumps/burning or preference for stronger L-ascorbic-acid options.</x:v>
      </x:c>
      <x:c r="E867" s="56" t="str">
        <x:v>Reddit r/AsianBeauty</x:v>
      </x:c>
      <x:c r="F867" s="56" t="str">
        <x:v>https://www.reddit.com/r/AsianBeauty/comments/w4fgg1</x:v>
      </x:c>
      <x:c r="G867" s="56" t="str">
        <x:v>Consumer Forum</x:v>
      </x:c>
      <x:c r="H867" s="56"/>
      <x:c r="I867" s="56" t="str">
        <x:v>2026-08-01</x:v>
      </x:c>
      <x:c r="J867" s="56" t="str">
        <x:v>Anecdotal Consumer Evidence</x:v>
      </x:c>
      <x:c r="K867" s="56" t="str">
        <x:v>Low-Medium</x:v>
      </x:c>
      <x:c r="L867" s="56" t="str">
        <x:v>Yes</x:v>
      </x:c>
      <x:c r="M867" s="56"/>
      <x:c r="N867" s="56" t="str">
        <x:v>Anecdotal and formula/version dependent.</x:v>
      </x:c>
      <x:c r="O867" s="56" t="str">
        <x:v>Codex</x:v>
      </x:c>
    </x:row>
    <x:row r="868" ht="116" customHeight="1">
      <x:c r="A868" s="56" t="str">
        <x:v>SRC-GDL-037</x:v>
      </x:c>
      <x:c r="B868" s="56" t="str">
        <x:v>KB017</x:v>
      </x:c>
      <x:c r="C868" s="56" t="str">
        <x:v>Reddit — hydration versus spot results</x:v>
      </x:c>
      <x:c r="D868" s="56" t="str">
        <x:v>Users describe a hydrating gentle serum but mixed visible spot improvement and some stickiness.</x:v>
      </x:c>
      <x:c r="E868" s="56" t="str">
        <x:v>Reddit r/AsianBeauty</x:v>
      </x:c>
      <x:c r="F868" s="56" t="str">
        <x:v>https://www.reddit.com/r/AsianBeauty/comments/lb0123</x:v>
      </x:c>
      <x:c r="G868" s="56" t="str">
        <x:v>Consumer Forum</x:v>
      </x:c>
      <x:c r="H868" s="56"/>
      <x:c r="I868" s="56" t="str">
        <x:v>2026-08-01</x:v>
      </x:c>
      <x:c r="J868" s="56" t="str">
        <x:v>Anecdotal Consumer Evidence</x:v>
      </x:c>
      <x:c r="K868" s="56" t="str">
        <x:v>Low</x:v>
      </x:c>
      <x:c r="L868" s="56" t="str">
        <x:v>Yes</x:v>
      </x:c>
      <x:c r="M868" s="56"/>
      <x:c r="N868" s="56" t="str">
        <x:v>Anecdotal.</x:v>
      </x:c>
      <x:c r="O868" s="56" t="str">
        <x:v>Codex</x:v>
      </x:c>
    </x:row>
    <x:row r="869" ht="116" customHeight="1">
      <x:c r="A869" s="56" t="str">
        <x:v>SRC-GDL-038</x:v>
      </x:c>
      <x:c r="B869" s="56" t="str">
        <x:v>KB017</x:v>
      </x:c>
      <x:c r="C869" s="56" t="str">
        <x:v>Reddit — gentle vitamin C expectations</x:v>
      </x:c>
      <x:c r="D869" s="56" t="str">
        <x:v>Discussion frames Goodal as a gentler/lower-intensity vitamin-C option and cautions against expecting high-strength L-ascorbic-acid speed.</x:v>
      </x:c>
      <x:c r="E869" s="56" t="str">
        <x:v>Reddit r/AsianBeauty</x:v>
      </x:c>
      <x:c r="F869" s="56" t="str">
        <x:v>https://www.reddit.com/r/AsianBeauty/comments/ic68xp</x:v>
      </x:c>
      <x:c r="G869" s="56" t="str">
        <x:v>Consumer Forum</x:v>
      </x:c>
      <x:c r="H869" s="56"/>
      <x:c r="I869" s="56" t="str">
        <x:v>2026-08-01</x:v>
      </x:c>
      <x:c r="J869" s="56" t="str">
        <x:v>Anecdotal Consumer Evidence</x:v>
      </x:c>
      <x:c r="K869" s="56" t="str">
        <x:v>Low</x:v>
      </x:c>
      <x:c r="L869" s="56" t="str">
        <x:v>Yes</x:v>
      </x:c>
      <x:c r="M869" s="56"/>
      <x:c r="N869" s="56" t="str">
        <x:v>Anecdotal; exact vitamin C form/concentration should be verified.</x:v>
      </x:c>
      <x:c r="O869" s="56" t="str">
        <x:v>Codex</x:v>
      </x:c>
    </x:row>
    <x:row r="870" ht="116" customHeight="1">
      <x:c r="A870" s="56" t="str">
        <x:v>SRC-GDL-039</x:v>
      </x:c>
      <x:c r="B870" s="56" t="str">
        <x:v>KB017</x:v>
      </x:c>
      <x:c r="C870" s="56" t="str">
        <x:v>Reddit — sheet-mask sensory feedback</x:v>
      </x:c>
      <x:c r="D870" s="56" t="str">
        <x:v>A user described the Green Tangerine sheet-mask essence as thick/sticky without immediate brightening.</x:v>
      </x:c>
      <x:c r="E870" s="56" t="str">
        <x:v>Reddit r/AsianBeauty</x:v>
      </x:c>
      <x:c r="F870" s="56" t="str">
        <x:v>https://www.reddit.com/r/AsianBeauty/comments/lopiq6</x:v>
      </x:c>
      <x:c r="G870" s="56" t="str">
        <x:v>Consumer Forum</x:v>
      </x:c>
      <x:c r="H870" s="56"/>
      <x:c r="I870" s="56" t="str">
        <x:v>2026-08-01</x:v>
      </x:c>
      <x:c r="J870" s="56" t="str">
        <x:v>Anecdotal Consumer Evidence</x:v>
      </x:c>
      <x:c r="K870" s="56" t="str">
        <x:v>Low</x:v>
      </x:c>
      <x:c r="L870" s="56" t="str">
        <x:v>Yes</x:v>
      </x:c>
      <x:c r="M870" s="56"/>
      <x:c r="N870" s="56" t="str">
        <x:v>Single-use anecdote.</x:v>
      </x:c>
      <x:c r="O870" s="56" t="str">
        <x:v>Codex</x:v>
      </x:c>
    </x:row>
    <x:row r="871" ht="116" customHeight="1">
      <x:c r="A871" s="56" t="str">
        <x:v>SRC-GDL-040</x:v>
      </x:c>
      <x:c r="B871" s="56" t="str">
        <x:v>KB017</x:v>
      </x:c>
      <x:c r="C871" s="56" t="str">
        <x:v>Reddit — sunscreen version confusion</x:v>
      </x:c>
      <x:c r="D871" s="56" t="str">
        <x:v>Consumers compare similarly named Goodal Heartleaf sunscreens and ask which formula/version to buy.</x:v>
      </x:c>
      <x:c r="E871" s="56" t="str">
        <x:v>Reddit r/koreanskincare</x:v>
      </x:c>
      <x:c r="F871" s="56" t="str">
        <x:v>https://www.reddit.com/r/koreanskincare/comments/1t31vvw/which_goodal_heartleaf_sunscreen_should_i_get/</x:v>
      </x:c>
      <x:c r="G871" s="56" t="str">
        <x:v>Consumer Forum</x:v>
      </x:c>
      <x:c r="H871" s="56"/>
      <x:c r="I871" s="56" t="str">
        <x:v>2026-08-01</x:v>
      </x:c>
      <x:c r="J871" s="56" t="str">
        <x:v>Anecdotal Version-Risk Signal</x:v>
      </x:c>
      <x:c r="K871" s="56" t="str">
        <x:v>Low-Medium</x:v>
      </x:c>
      <x:c r="L871" s="56" t="str">
        <x:v>Yes</x:v>
      </x:c>
      <x:c r="M871" s="56"/>
      <x:c r="N871" s="56" t="str">
        <x:v>Confirm NDC, Drug Facts, formula, UPC and market.</x:v>
      </x:c>
      <x:c r="O871" s="56" t="str">
        <x:v>Codex</x:v>
      </x:c>
    </x:row>
    <x:row r="872" ht="116" customHeight="1">
      <x:c r="A872" s="56" t="str">
        <x:v>SRC-GDL-041</x:v>
      </x:c>
      <x:c r="B872" s="56" t="str">
        <x:v>KB017</x:v>
      </x:c>
      <x:c r="C872" s="56" t="str">
        <x:v>Reddit — Amazon authenticity concern</x:v>
      </x:c>
      <x:c r="D872" s="56" t="str">
        <x:v>Consumers discuss packaging differences and seller legitimacy for Goodal Amazon purchases.</x:v>
      </x:c>
      <x:c r="E872" s="56" t="str">
        <x:v>Reddit r/CanSkincare</x:v>
      </x:c>
      <x:c r="F872" s="56" t="str">
        <x:v>https://www.reddit.com/r/CanSkincare/comments/159m5tv</x:v>
      </x:c>
      <x:c r="G872" s="56" t="str">
        <x:v>Consumer Forum</x:v>
      </x:c>
      <x:c r="H872" s="56"/>
      <x:c r="I872" s="56" t="str">
        <x:v>2026-08-01</x:v>
      </x:c>
      <x:c r="J872" s="56" t="str">
        <x:v>Anecdotal Seller-Risk Signal</x:v>
      </x:c>
      <x:c r="K872" s="56" t="str">
        <x:v>Low</x:v>
      </x:c>
      <x:c r="L872" s="56" t="str">
        <x:v>Yes</x:v>
      </x:c>
      <x:c r="M872" s="56"/>
      <x:c r="N872" s="56" t="str">
        <x:v>No counterfeit determination; treat only as diligence signal.</x:v>
      </x:c>
      <x:c r="O872" s="56" t="str">
        <x:v>Codex</x:v>
      </x:c>
    </x:row>
    <x:row r="873" ht="116" customHeight="1">
      <x:c r="A873" s="56" t="str">
        <x:v>SRC-GDL-042</x:v>
      </x:c>
      <x:c r="B873" s="56" t="str">
        <x:v>KB017</x:v>
      </x:c>
      <x:c r="C873" s="56" t="str">
        <x:v>Competitor — ANUA serum</x:v>
      </x:c>
      <x:c r="D873" s="56" t="str">
        <x:v>Ulta lists Niacinamide 10% + TXA 4% Serum 30 mL at $22 with about 4.1/226.</x:v>
      </x:c>
      <x:c r="E873" s="56" t="str">
        <x:v>Ulta / ANUA</x:v>
      </x:c>
      <x:c r="F873" s="56" t="str">
        <x:v>https://www.ulta.com/p/niacinamide-10-txa-4-serum-brightening-dark-spots-pimprod2048921</x:v>
      </x:c>
      <x:c r="G873" s="56" t="str">
        <x:v>Authorized Competitor Retailer</x:v>
      </x:c>
      <x:c r="H873" s="56"/>
      <x:c r="I873" s="56" t="str">
        <x:v>2026-08-01</x:v>
      </x:c>
      <x:c r="J873" s="56" t="str">
        <x:v>Verified Competitor Fact</x:v>
      </x:c>
      <x:c r="K873" s="56" t="str">
        <x:v>High</x:v>
      </x:c>
      <x:c r="L873" s="56" t="str">
        <x:v>Yes</x:v>
      </x:c>
      <x:c r="M873" s="56"/>
      <x:c r="N873" s="56" t="str">
        <x:v>Price and reviews change.</x:v>
      </x:c>
      <x:c r="O873" s="56" t="str">
        <x:v>Codex</x:v>
      </x:c>
    </x:row>
    <x:row r="874" ht="116" customHeight="1">
      <x:c r="A874" s="56" t="str">
        <x:v>SRC-GDL-043</x:v>
      </x:c>
      <x:c r="B874" s="56" t="str">
        <x:v>KB017</x:v>
      </x:c>
      <x:c r="C874" s="56" t="str">
        <x:v>Competitor — MEDIHEAL eye patches</x:v>
      </x:c>
      <x:c r="D874" s="56" t="str">
        <x:v>Ulta lists Retinol Collagen Eye Ampoule Patch 60 count at $24 with about 4.6/409.</x:v>
      </x:c>
      <x:c r="E874" s="56" t="str">
        <x:v>Ulta / MEDIHEAL</x:v>
      </x:c>
      <x:c r="F874" s="56" t="str">
        <x:v>https://www.ulta.com/p/retinol-collagen-eye-ampoule-patch-pimprod2052789</x:v>
      </x:c>
      <x:c r="G874" s="56" t="str">
        <x:v>Authorized Competitor Retailer</x:v>
      </x:c>
      <x:c r="H874" s="56"/>
      <x:c r="I874" s="56" t="str">
        <x:v>2026-08-01</x:v>
      </x:c>
      <x:c r="J874" s="56" t="str">
        <x:v>Verified Competitor Fact</x:v>
      </x:c>
      <x:c r="K874" s="56" t="str">
        <x:v>High</x:v>
      </x:c>
      <x:c r="L874" s="56" t="str">
        <x:v>Yes</x:v>
      </x:c>
      <x:c r="M874" s="56"/>
      <x:c r="N874" s="56" t="str">
        <x:v>Price and reviews change.</x:v>
      </x:c>
      <x:c r="O874" s="56" t="str">
        <x:v>Codex</x:v>
      </x:c>
    </x:row>
    <x:row r="875" ht="116" customHeight="1">
      <x:c r="A875" s="56" t="str">
        <x:v>SRC-GDL-044</x:v>
      </x:c>
      <x:c r="B875" s="56" t="str">
        <x:v>KB017</x:v>
      </x:c>
      <x:c r="C875" s="56" t="str">
        <x:v>Competitor — AXIS-Y cream</x:v>
      </x:c>
      <x:c r="D875" s="56" t="str">
        <x:v>Ulta lists Dark Spot Correcting Glow Cream as a two-count bundle at $48 list / $33.60 sale with 2% alpha-arbutin and 5% niacinamide positioning.</x:v>
      </x:c>
      <x:c r="E875" s="56" t="str">
        <x:v>Ulta / AXIS-Y</x:v>
      </x:c>
      <x:c r="F875" s="56" t="str">
        <x:v>https://www.ulta.com/p/dark-spot-correcting-glow-cream-mkt77006462</x:v>
      </x:c>
      <x:c r="G875" s="56" t="str">
        <x:v>Authorized Competitor Retailer</x:v>
      </x:c>
      <x:c r="H875" s="56"/>
      <x:c r="I875" s="56" t="str">
        <x:v>2026-08-01</x:v>
      </x:c>
      <x:c r="J875" s="56" t="str">
        <x:v>Verified Competitor Fact</x:v>
      </x:c>
      <x:c r="K875" s="56" t="str">
        <x:v>High</x:v>
      </x:c>
      <x:c r="L875" s="56" t="str">
        <x:v>Yes</x:v>
      </x:c>
      <x:c r="M875" s="56"/>
      <x:c r="N875" s="56" t="str">
        <x:v>Price/bundle change; current page had no review aggregate.</x:v>
      </x:c>
      <x:c r="O875" s="56" t="str">
        <x:v>Codex</x:v>
      </x:c>
    </x:row>
    <x:row r="876" ht="116" customHeight="1">
      <x:c r="A876" s="56" t="str">
        <x:v>SRC-GDL-045</x:v>
      </x:c>
      <x:c r="B876" s="56" t="str">
        <x:v>KB017</x:v>
      </x:c>
      <x:c r="C876" s="56" t="str">
        <x:v>Competitor — Beauty of Joseon sunscreen</x:v>
      </x:c>
      <x:c r="D876" s="56" t="str">
        <x:v>Sephora lists Day Dew Sunscreen SPF50 50 mL at $18 with about 449 reviews.</x:v>
      </x:c>
      <x:c r="E876" s="56" t="str">
        <x:v>Sephora / Beauty of Joseon</x:v>
      </x:c>
      <x:c r="F876" s="56" t="str">
        <x:v>https://www.sephora.com/product/day-dew-sunscreen-exclusive-50ml-P517678</x:v>
      </x:c>
      <x:c r="G876" s="56" t="str">
        <x:v>Authorized Competitor Retailer</x:v>
      </x:c>
      <x:c r="H876" s="56"/>
      <x:c r="I876" s="56" t="str">
        <x:v>2026-08-01</x:v>
      </x:c>
      <x:c r="J876" s="56" t="str">
        <x:v>Verified Competitor Fact</x:v>
      </x:c>
      <x:c r="K876" s="56" t="str">
        <x:v>High</x:v>
      </x:c>
      <x:c r="L876" s="56" t="str">
        <x:v>Yes</x:v>
      </x:c>
      <x:c r="M876" s="56"/>
      <x:c r="N876" s="56" t="str">
        <x:v>Price and reviews change.</x:v>
      </x:c>
      <x:c r="O876" s="56" t="str">
        <x:v>Codex</x:v>
      </x:c>
    </x:row>
    <x:row r="877" ht="116" customHeight="1">
      <x:c r="A877" s="56" t="str">
        <x:v>SRC-GDL-046</x:v>
      </x:c>
      <x:c r="B877" s="56" t="str">
        <x:v>KB017</x:v>
      </x:c>
      <x:c r="C877" s="56" t="str">
        <x:v>Competitor — MEDIHEAL pads</x:v>
      </x:c>
      <x:c r="D877" s="56" t="str">
        <x:v>Ulta lists Vitamide Brightening Pad 100 count at $26.40 with about 4.6/367.</x:v>
      </x:c>
      <x:c r="E877" s="56" t="str">
        <x:v>Ulta / MEDIHEAL</x:v>
      </x:c>
      <x:c r="F877" s="56" t="str">
        <x:v>https://www.ulta.com/p/vitamide-brightening-pad-pimprod2045868</x:v>
      </x:c>
      <x:c r="G877" s="56" t="str">
        <x:v>Authorized Competitor Retailer</x:v>
      </x:c>
      <x:c r="H877" s="56"/>
      <x:c r="I877" s="56" t="str">
        <x:v>2026-08-01</x:v>
      </x:c>
      <x:c r="J877" s="56" t="str">
        <x:v>Verified Competitor Fact</x:v>
      </x:c>
      <x:c r="K877" s="56" t="str">
        <x:v>High</x:v>
      </x:c>
      <x:c r="L877" s="56" t="str">
        <x:v>Yes</x:v>
      </x:c>
      <x:c r="M877" s="56"/>
      <x:c r="N877" s="56" t="str">
        <x:v>Price and reviews change.</x:v>
      </x:c>
      <x:c r="O877" s="56" t="str">
        <x:v>Codex</x:v>
      </x:c>
    </x:row>
    <x:row r="878" ht="116" customHeight="1">
      <x:c r="A878" s="56" t="str">
        <x:v>SRC-GDL-047</x:v>
      </x:c>
      <x:c r="B878" s="56" t="str">
        <x:v>KB017</x:v>
      </x:c>
      <x:c r="C878" s="56" t="str">
        <x:v>Target — New sun-serum visibility</x:v>
      </x:c>
      <x:c r="D878" s="56" t="str">
        <x:v>Target brand page displayed Green Tangerine Vita C Dark Spot Care Sun Serum at $26.99 sale / $32 regular and marked New at Target.</x:v>
      </x:c>
      <x:c r="E878" s="56" t="str">
        <x:v>Target</x:v>
      </x:c>
      <x:c r="F878" s="56" t="str">
        <x:v>https://www.target.com/b/goodal/-/N-q643le40qye</x:v>
      </x:c>
      <x:c r="G878" s="56" t="str">
        <x:v>Retailer Brand Page</x:v>
      </x:c>
      <x:c r="H878" s="56"/>
      <x:c r="I878" s="56" t="str">
        <x:v>2026-08-01</x:v>
      </x:c>
      <x:c r="J878" s="56" t="str">
        <x:v>Verified Retail / Launch Signal</x:v>
      </x:c>
      <x:c r="K878" s="56" t="str">
        <x:v>High</x:v>
      </x:c>
      <x:c r="L878" s="56" t="str">
        <x:v>Yes</x:v>
      </x:c>
      <x:c r="M878" s="56"/>
      <x:c r="N878" s="56" t="str">
        <x:v>Exact regulatory/market version must be checked; price/status change.</x:v>
      </x:c>
      <x:c r="O878" s="56" t="str">
        <x:v>Codex</x:v>
      </x:c>
    </x:row>
    <x:row r="879" ht="116" customHeight="1">
      <x:c r="A879" s="56" t="str">
        <x:v>SRC-GDL-048</x:v>
      </x:c>
      <x:c r="B879" s="56" t="str">
        <x:v>KB017</x:v>
      </x:c>
      <x:c r="C879" s="56" t="str">
        <x:v>Global Instagram snapshot</x:v>
      </x:c>
      <x:c r="D879" s="56" t="str">
        <x:v>A third-party snapshot placed the global Goodal Instagram account around 80.6K followers.</x:v>
      </x:c>
      <x:c r="E879" s="56" t="str">
        <x:v>Social Blade / Instagram</x:v>
      </x:c>
      <x:c r="F879" s="56" t="str">
        <x:v>https://socialblade.com/instagram/user/goodal_official</x:v>
      </x:c>
      <x:c r="G879" s="56" t="str">
        <x:v>Third-Party Social Metric</x:v>
      </x:c>
      <x:c r="H879" s="56"/>
      <x:c r="I879" s="56" t="str">
        <x:v>2026-08-01</x:v>
      </x:c>
      <x:c r="J879" s="56" t="str">
        <x:v>Dynamic Awareness Signal</x:v>
      </x:c>
      <x:c r="K879" s="56" t="str">
        <x:v>Medium</x:v>
      </x:c>
      <x:c r="L879" s="56" t="str">
        <x:v>Yes</x:v>
      </x:c>
      <x:c r="M879" s="56"/>
      <x:c r="N879" s="56" t="str">
        <x:v>Not U.S.-specific; use platform-native data for campaigns.</x:v>
      </x:c>
      <x:c r="O879" s="56" t="str">
        <x:v>Codex</x:v>
      </x:c>
    </x:row>
    <x:row r="880" ht="116" customHeight="1">
      <x:c r="A880" s="56" t="str">
        <x:v>SRC-GDL-049</x:v>
      </x:c>
      <x:c r="B880" s="56" t="str">
        <x:v>KB017</x:v>
      </x:c>
      <x:c r="C880" s="56" t="str">
        <x:v>Ulta current presence check</x:v>
      </x:c>
      <x:c r="D880" s="56" t="str">
        <x:v>Goodal was not observed in Ulta's current brand list during the scoped check.</x:v>
      </x:c>
      <x:c r="E880" s="56" t="str">
        <x:v>Ulta Beauty</x:v>
      </x:c>
      <x:c r="F880" s="56" t="str">
        <x:v>https://www.ulta.com/brand/all</x:v>
      </x:c>
      <x:c r="G880" s="56" t="str">
        <x:v>Scoped Retail Search / Negative Evidence</x:v>
      </x:c>
      <x:c r="H880" s="56"/>
      <x:c r="I880" s="56" t="str">
        <x:v>2026-08-01</x:v>
      </x:c>
      <x:c r="J880" s="56" t="str">
        <x:v>Further Verification Required</x:v>
      </x:c>
      <x:c r="K880" s="56" t="str">
        <x:v>Low-Medium</x:v>
      </x:c>
      <x:c r="L880" s="56" t="str">
        <x:v>Yes</x:v>
      </x:c>
      <x:c r="M880" s="56"/>
      <x:c r="N880" s="56" t="str">
        <x:v>Absence in a scoped list is not proof of no relationship.</x:v>
      </x:c>
      <x:c r="O880" s="56" t="str">
        <x:v>Codex</x:v>
      </x:c>
    </x:row>
    <x:row r="881" ht="116" customHeight="1">
      <x:c r="A881" s="56" t="str">
        <x:v>SRC-GDL-050</x:v>
      </x:c>
      <x:c r="B881" s="56" t="str">
        <x:v>KB017</x:v>
      </x:c>
      <x:c r="C881" s="56" t="str">
        <x:v>Sephora current presence check</x:v>
      </x:c>
      <x:c r="D881" s="56" t="str">
        <x:v>No current Goodal product page was verified in a scoped Sephora search.</x:v>
      </x:c>
      <x:c r="E881" s="56" t="str">
        <x:v>Sephora</x:v>
      </x:c>
      <x:c r="F881" s="56" t="str">
        <x:v>https://www.sephora.com/search?keyword=Goodal</x:v>
      </x:c>
      <x:c r="G881" s="56" t="str">
        <x:v>Scoped Retail Search / Negative Evidence</x:v>
      </x:c>
      <x:c r="H881" s="56"/>
      <x:c r="I881" s="56" t="str">
        <x:v>2026-08-01</x:v>
      </x:c>
      <x:c r="J881" s="56" t="str">
        <x:v>Further Verification Required</x:v>
      </x:c>
      <x:c r="K881" s="56" t="str">
        <x:v>Low-Medium</x:v>
      </x:c>
      <x:c r="L881" s="56" t="str">
        <x:v>Yes</x:v>
      </x:c>
      <x:c r="M881" s="56"/>
      <x:c r="N881" s="56" t="str">
        <x:v>Absence in scoped search is not proof of no relationship.</x:v>
      </x:c>
      <x:c r="O881" s="56" t="str">
        <x:v>Codex</x:v>
      </x:c>
    </x:row>
    <x:row r="882" ht="116" customHeight="1">
      <x:c r="A882" s="56" t="str">
        <x:v>SRC-GDL-051</x:v>
      </x:c>
      <x:c r="B882" s="56" t="str">
        <x:v>KB017</x:v>
      </x:c>
      <x:c r="C882" s="56" t="str">
        <x:v>Source website conflict — thegoodal.com</x:v>
      </x:c>
      <x:c r="D882" s="56" t="str">
        <x:v>The source URL discloses participation in Amazon's associate program and publishes ownership/history inconsistent with CLIO's official record; it is not accepted as the official Goodal website.</x:v>
      </x:c>
      <x:c r="E882" s="56" t="str">
        <x:v>thegoodal.com</x:v>
      </x:c>
      <x:c r="F882" s="56" t="str">
        <x:v>https://thegoodal.com</x:v>
      </x:c>
      <x:c r="G882" s="56" t="str">
        <x:v>Affiliate / Non-Authoritative Site</x:v>
      </x:c>
      <x:c r="H882" s="56"/>
      <x:c r="I882" s="56" t="str">
        <x:v>2026-08-01</x:v>
      </x:c>
      <x:c r="J882" s="56" t="str">
        <x:v>Incorrect Source / Conflicting Evidence</x:v>
      </x:c>
      <x:c r="K882" s="56" t="str">
        <x:v>High</x:v>
      </x:c>
      <x:c r="L882" s="56" t="str">
        <x:v>Yes</x:v>
      </x:c>
      <x:c r="M882" s="56"/>
      <x:c r="N882" s="56" t="str">
        <x:v>Preserved in Source field, corrected only in Verified field.</x:v>
      </x:c>
      <x:c r="O882" s="56" t="str">
        <x:v>Codex</x:v>
      </x:c>
    </x:row>
    <x:row r="883" ht="116" customHeight="1">
      <x:c r="A883" s="56" t="str">
        <x:v>SRC-GDL-052</x:v>
      </x:c>
      <x:c r="B883" s="56" t="str">
        <x:v>KB017</x:v>
      </x:c>
      <x:c r="C883" s="56" t="str">
        <x:v>Official corporate/export contact route</x:v>
      </x:c>
      <x:c r="D883" s="56" t="str">
        <x:v>CLIO's corporate site provides overseas-export and partnership routing but no directly verified Goodal U.S. wholesale email was accepted in this pass.</x:v>
      </x:c>
      <x:c r="E883" s="56" t="str">
        <x:v>CLIO Cosmetics</x:v>
      </x:c>
      <x:c r="F883" s="56" t="str">
        <x:v>https://cliocosmetic.com/</x:v>
      </x:c>
      <x:c r="G883" s="56" t="str">
        <x:v>Official Corporate Contact</x:v>
      </x:c>
      <x:c r="H883" s="56"/>
      <x:c r="I883" s="56" t="str">
        <x:v>2026-08-01</x:v>
      </x:c>
      <x:c r="J883" s="56" t="str">
        <x:v>Vendor Contact Route / Further Verification</x:v>
      </x:c>
      <x:c r="K883" s="56" t="str">
        <x:v>High</x:v>
      </x:c>
      <x:c r="L883" s="56" t="str">
        <x:v>Yes</x:v>
      </x:c>
      <x:c r="M883" s="56"/>
      <x:c r="N883" s="56" t="str">
        <x:v>Use official export workflow; do not use IR email for sales outreach without direction.</x:v>
      </x:c>
      <x:c r="O883" s="56" t="str">
        <x:v>Codex</x:v>
      </x:c>
    </x:row>
    <x:row r="884" ht="120" customHeight="1">
      <x:c r="A884" s="56" t="str">
        <x:v>SRC-IMF-001</x:v>
      </x:c>
      <x:c r="B884" s="56" t="str">
        <x:v>KB018</x:v>
      </x:c>
      <x:c r="C884" s="56" t="str">
        <x:v>Core verification — Official Website</x:v>
      </x:c>
      <x:c r="D884" s="56" t="str">
        <x:v>https://imfrom.co.kr is the official I'm From Korean brand store; the footer identifies LAB &amp; Company Inc.</x:v>
      </x:c>
      <x:c r="E884" s="56" t="str">
        <x:v>I'm From Official</x:v>
      </x:c>
      <x:c r="F884" s="56" t="str">
        <x:v>https://imfrom.co.kr</x:v>
      </x:c>
      <x:c r="G884" s="56" t="str">
        <x:v>Official Brand Site</x:v>
      </x:c>
      <x:c r="H884" s="56"/>
      <x:c r="I884" s="56" t="str">
        <x:v>2026-08-01</x:v>
      </x:c>
      <x:c r="J884" s="56" t="str">
        <x:v>Verified Fact</x:v>
      </x:c>
      <x:c r="K884" s="56" t="str">
        <x:v>High</x:v>
      </x:c>
      <x:c r="L884" s="56" t="str">
        <x:v>Yes</x:v>
      </x:c>
      <x:c r="M884" s="56"/>
      <x:c r="N884" s="56" t="str">
        <x:v>Source Website preserved and independently verified.</x:v>
      </x:c>
      <x:c r="O884" s="56" t="str">
        <x:v>Codex</x:v>
      </x:c>
    </x:row>
    <x:row r="885" ht="120" customHeight="1">
      <x:c r="A885" s="56" t="str">
        <x:v>SRC-IMF-002</x:v>
      </x:c>
      <x:c r="B885" s="56" t="str">
        <x:v>KB018</x:v>
      </x:c>
      <x:c r="C885" s="56" t="str">
        <x:v>Official brand positioning and ownership</x:v>
      </x:c>
      <x:c r="D885" s="56" t="str">
        <x:v>Official About page describes Korean Heritage, Responsible Sourcing and Green Chemistry; footer names LAB &amp; Company and partnership contact.</x:v>
      </x:c>
      <x:c r="E885" s="56" t="str">
        <x:v>I'm From Official About</x:v>
      </x:c>
      <x:c r="F885" s="56" t="str">
        <x:v>https://m.imfrom.co.kr/brand/brand_about.html</x:v>
      </x:c>
      <x:c r="G885" s="56" t="str">
        <x:v>Official Brand Site</x:v>
      </x:c>
      <x:c r="H885" s="56"/>
      <x:c r="I885" s="56" t="str">
        <x:v>2026-08-01</x:v>
      </x:c>
      <x:c r="J885" s="56" t="str">
        <x:v>Verified Fact</x:v>
      </x:c>
      <x:c r="K885" s="56" t="str">
        <x:v>High</x:v>
      </x:c>
      <x:c r="L885" s="56" t="str">
        <x:v>Yes</x:v>
      </x:c>
      <x:c r="M885" s="56"/>
      <x:c r="N885" s="56" t="str">
        <x:v>Brand-owned philosophy and legal footer.</x:v>
      </x:c>
      <x:c r="O885" s="56" t="str">
        <x:v>Codex</x:v>
      </x:c>
    </x:row>
    <x:row r="886" ht="120" customHeight="1">
      <x:c r="A886" s="56" t="str">
        <x:v>SRC-IMF-003</x:v>
      </x:c>
      <x:c r="B886" s="56" t="str">
        <x:v>KB018</x:v>
      </x:c>
      <x:c r="C886" s="56" t="str">
        <x:v>Trademark ownership — U.S.</x:v>
      </x:c>
      <x:c r="D886" s="56" t="str">
        <x:v>U.S. trademark record lists LAB&amp;Company Inc. as owner of I'M FROM.</x:v>
      </x:c>
      <x:c r="E886" s="56" t="str">
        <x:v>Justia / USPTO-derived record</x:v>
      </x:c>
      <x:c r="F886" s="56" t="str">
        <x:v>https://trademarks.justia.com/882/97/i-m-88297392.html</x:v>
      </x:c>
      <x:c r="G886" s="56" t="str">
        <x:v>Trademark Record</x:v>
      </x:c>
      <x:c r="H886" s="56"/>
      <x:c r="I886" s="56" t="str">
        <x:v>2026-08-01</x:v>
      </x:c>
      <x:c r="J886" s="56" t="str">
        <x:v>Verified Ownership Evidence</x:v>
      </x:c>
      <x:c r="K886" s="56" t="str">
        <x:v>High</x:v>
      </x:c>
      <x:c r="L886" s="56" t="str">
        <x:v>Yes</x:v>
      </x:c>
      <x:c r="M886" s="56"/>
      <x:c r="N886" s="56" t="str">
        <x:v>Supports owner identity; not proof of distribution rights.</x:v>
      </x:c>
      <x:c r="O886" s="56" t="str">
        <x:v>Codex</x:v>
      </x:c>
    </x:row>
    <x:row r="887" ht="120" customHeight="1">
      <x:c r="A887" s="56" t="str">
        <x:v>SRC-IMF-004</x:v>
      </x:c>
      <x:c r="B887" s="56" t="str">
        <x:v>KB018</x:v>
      </x:c>
      <x:c r="C887" s="56" t="str">
        <x:v>Trademark ownership — Canada</x:v>
      </x:c>
      <x:c r="D887" s="56" t="str">
        <x:v>Canadian trademark record identifies LAB&amp;Company as registered owner.</x:v>
      </x:c>
      <x:c r="E887" s="56" t="str">
        <x:v>Canadian Intellectual Property Office</x:v>
      </x:c>
      <x:c r="F887" s="56" t="str">
        <x:v>https://ised-isde.canada.ca/cipo/trademark-search/pdf/2192964?lang=eng</x:v>
      </x:c>
      <x:c r="G887" s="56" t="str">
        <x:v>Government Trademark Record</x:v>
      </x:c>
      <x:c r="H887" s="56"/>
      <x:c r="I887" s="56" t="str">
        <x:v>2026-08-01</x:v>
      </x:c>
      <x:c r="J887" s="56" t="str">
        <x:v>Verified Ownership Evidence</x:v>
      </x:c>
      <x:c r="K887" s="56" t="str">
        <x:v>High</x:v>
      </x:c>
      <x:c r="L887" s="56" t="str">
        <x:v>Yes</x:v>
      </x:c>
      <x:c r="M887" s="56"/>
      <x:c r="N887" s="56" t="str">
        <x:v>Corroborates ownership; not U.S. wholesale authority.</x:v>
      </x:c>
      <x:c r="O887" s="56" t="str">
        <x:v>Codex</x:v>
      </x:c>
    </x:row>
    <x:row r="888" ht="120" customHeight="1">
      <x:c r="A888" s="56" t="str">
        <x:v>SRC-IMF-005</x:v>
      </x:c>
      <x:c r="B888" s="56" t="str">
        <x:v>KB018</x:v>
      </x:c>
      <x:c r="C888" s="56" t="str">
        <x:v>Exporter/manufacturer evidence</x:v>
      </x:c>
      <x:c r="D888" s="56" t="str">
        <x:v>BuyKOREA listing names LAB &amp; Company as responsible seller, Korea Kolmar as manufacturer, MOQ 20 and mixed minimum order $750.</x:v>
      </x:c>
      <x:c r="E888" s="56" t="str">
        <x:v>BuyKOREA</x:v>
      </x:c>
      <x:c r="F888" s="56" t="str">
        <x:v>https://buykorea.org/ec/prd/selectGoodsDetail.do?goodsSn=3779202</x:v>
      </x:c>
      <x:c r="G888" s="56" t="str">
        <x:v>Government Export Marketplace</x:v>
      </x:c>
      <x:c r="H888" s="56"/>
      <x:c r="I888" s="56" t="str">
        <x:v>2026-08-01</x:v>
      </x:c>
      <x:c r="J888" s="56" t="str">
        <x:v>Verified Export Lead / Further Verification</x:v>
      </x:c>
      <x:c r="K888" s="56" t="str">
        <x:v>Medium-High</x:v>
      </x:c>
      <x:c r="L888" s="56" t="str">
        <x:v>Yes</x:v>
      </x:c>
      <x:c r="M888" s="56"/>
      <x:c r="N888" s="56" t="str">
        <x:v>Listing-specific terms; verify current exact SKUs, price and rights directly.</x:v>
      </x:c>
      <x:c r="O888" s="56" t="str">
        <x:v>Codex</x:v>
      </x:c>
    </x:row>
    <x:row r="889" ht="120" customHeight="1">
      <x:c r="A889" s="56" t="str">
        <x:v>SRC-IMF-006</x:v>
      </x:c>
      <x:c r="B889" s="56" t="str">
        <x:v>KB018</x:v>
      </x:c>
      <x:c r="C889" s="56" t="str">
        <x:v>Core verification — Primary Category</x:v>
      </x:c>
      <x:c r="D889" s="56" t="str">
        <x:v>Official site portfolio is facial skincare across Rice, Black Rice, Mugwort, Honey and other collections.</x:v>
      </x:c>
      <x:c r="E889" s="56" t="str">
        <x:v>I'm From Official</x:v>
      </x:c>
      <x:c r="F889" s="56" t="str">
        <x:v>https://imfrom.co.kr</x:v>
      </x:c>
      <x:c r="G889" s="56" t="str">
        <x:v>Official Brand Site</x:v>
      </x:c>
      <x:c r="H889" s="56"/>
      <x:c r="I889" s="56" t="str">
        <x:v>2026-08-01</x:v>
      </x:c>
      <x:c r="J889" s="56" t="str">
        <x:v>Verified Category</x:v>
      </x:c>
      <x:c r="K889" s="56" t="str">
        <x:v>High</x:v>
      </x:c>
      <x:c r="L889" s="56" t="str">
        <x:v>Yes</x:v>
      </x:c>
      <x:c r="M889" s="56"/>
      <x:c r="N889" s="56" t="str">
        <x:v>Skincare verified; U.S. OTC status is separate.</x:v>
      </x:c>
      <x:c r="O889" s="56" t="str">
        <x:v>Codex</x:v>
      </x:c>
    </x:row>
    <x:row r="890" ht="120" customHeight="1">
      <x:c r="A890" s="56" t="str">
        <x:v>SRC-IMF-007</x:v>
      </x:c>
      <x:c r="B890" s="56" t="str">
        <x:v>KB018</x:v>
      </x:c>
      <x:c r="C890" s="56" t="str">
        <x:v>Brand collection architecture</x:v>
      </x:c>
      <x:c r="D890" s="56" t="str">
        <x:v>Official collection pages document regional Korean ingredient provenance, including Yeoju Rice.</x:v>
      </x:c>
      <x:c r="E890" s="56" t="str">
        <x:v>I'm From Rice Collection</x:v>
      </x:c>
      <x:c r="F890" s="56" t="str">
        <x:v>https://m.imfrom.co.kr/article/collection/1002/3520/page/1/</x:v>
      </x:c>
      <x:c r="G890" s="56" t="str">
        <x:v>Official Brand Content</x:v>
      </x:c>
      <x:c r="H890" s="56"/>
      <x:c r="I890" s="56" t="str">
        <x:v>2026-08-01</x:v>
      </x:c>
      <x:c r="J890" s="56" t="str">
        <x:v>Verified Positioning</x:v>
      </x:c>
      <x:c r="K890" s="56" t="str">
        <x:v>High</x:v>
      </x:c>
      <x:c r="L890" s="56" t="str">
        <x:v>Yes</x:v>
      </x:c>
      <x:c r="M890" s="56"/>
      <x:c r="N890" s="56" t="str">
        <x:v>Ingredient-origin evidence; efficacy claims still require substantiation.</x:v>
      </x:c>
      <x:c r="O890" s="56" t="str">
        <x:v>Codex</x:v>
      </x:c>
    </x:row>
    <x:row r="891" ht="120" customHeight="1">
      <x:c r="A891" s="56" t="str">
        <x:v>SRC-IMF-008</x:v>
      </x:c>
      <x:c r="B891" s="56" t="str">
        <x:v>KB018</x:v>
      </x:c>
      <x:c r="C891" s="56" t="str">
        <x:v>Core verification — Awareness Factor</x:v>
      </x:c>
      <x:c r="D891" s="56" t="str">
        <x:v>Current U.S. evidence is Rice-led while Mugwort/Honey remain legacy awareness drivers.</x:v>
      </x:c>
      <x:c r="E891" s="56" t="str">
        <x:v>Analyst synthesis from Ulta, iHerb, TikTok Shop and Reddit</x:v>
      </x:c>
      <x:c r="F891" s="56" t="str">
        <x:v>https://www.ulta.com/brand/im-from?category=skin-care</x:v>
      </x:c>
      <x:c r="G891" s="56" t="str">
        <x:v>Multi-Source Synthesis</x:v>
      </x:c>
      <x:c r="H891" s="56"/>
      <x:c r="I891" s="56" t="str">
        <x:v>2026-08-01</x:v>
      </x:c>
      <x:c r="J891" s="56" t="str">
        <x:v>Qualified Verification</x:v>
      </x:c>
      <x:c r="K891" s="56" t="str">
        <x:v>High</x:v>
      </x:c>
      <x:c r="L891" s="56" t="str">
        <x:v>Yes</x:v>
      </x:c>
      <x:c r="M891" s="56"/>
      <x:c r="N891" s="56" t="str">
        <x:v>Current retailer volume and reviews outweigh source's older hero emphasis.</x:v>
      </x:c>
      <x:c r="O891" s="56" t="str">
        <x:v>Codex</x:v>
      </x:c>
    </x:row>
    <x:row r="892" ht="120" customHeight="1">
      <x:c r="A892" s="56" t="str">
        <x:v>SRC-IMF-009</x:v>
      </x:c>
      <x:c r="B892" s="56" t="str">
        <x:v>KB018</x:v>
      </x:c>
      <x:c r="C892" s="56" t="str">
        <x:v>Core verification — Amazon strength</x:v>
      </x:c>
      <x:c r="D892" s="56" t="str">
        <x:v>Current active sampled Amazon strength is toner-led; replaced/legacy ASINs create double-counting risk.</x:v>
      </x:c>
      <x:c r="E892" s="56" t="str">
        <x:v>Amazon U.S. / Analyst Synthesis</x:v>
      </x:c>
      <x:c r="F892" s="56" t="str">
        <x:v>https://www.amazon.com/dp/B0GL23FXCZ</x:v>
      </x:c>
      <x:c r="G892" s="56" t="str">
        <x:v>Marketplace + Synthesis</x:v>
      </x:c>
      <x:c r="H892" s="56"/>
      <x:c r="I892" s="56" t="str">
        <x:v>2026-08-01</x:v>
      </x:c>
      <x:c r="J892" s="56" t="str">
        <x:v>Conflicting Evidence</x:v>
      </x:c>
      <x:c r="K892" s="56" t="str">
        <x:v>High</x:v>
      </x:c>
      <x:c r="L892" s="56" t="str">
        <x:v>Yes</x:v>
      </x:c>
      <x:c r="M892" s="56"/>
      <x:c r="N892" s="56" t="str">
        <x:v>Source's mask/essence emphasis is not supported by current numeric badges.</x:v>
      </x:c>
      <x:c r="O892" s="56" t="str">
        <x:v>Codex</x:v>
      </x:c>
    </x:row>
    <x:row r="893" ht="120" customHeight="1">
      <x:c r="A893" s="56" t="str">
        <x:v>SRC-IMF-010</x:v>
      </x:c>
      <x:c r="B893" s="56" t="str">
        <x:v>KB018</x:v>
      </x:c>
      <x:c r="C893" s="56" t="str">
        <x:v>Amazon — new Rice Toner</x:v>
      </x:c>
      <x:c r="D893" s="56" t="str">
        <x:v>ASIN B0GL23FXCZ displayed 5K+ bought/month, $14.63 deal versus $28 list, 4.7/135, #37 Facial Toners, seller imfrom and Amazon fulfillment.</x:v>
      </x:c>
      <x:c r="E893" s="56" t="str">
        <x:v>Amazon U.S.</x:v>
      </x:c>
      <x:c r="F893" s="56" t="str">
        <x:v>https://www.amazon.com/dp/B0GL23FXCZ</x:v>
      </x:c>
      <x:c r="G893" s="56" t="str">
        <x:v>Marketplace Display</x:v>
      </x:c>
      <x:c r="H893" s="56"/>
      <x:c r="I893" s="56" t="str">
        <x:v>2026-08-01</x:v>
      </x:c>
      <x:c r="J893" s="56" t="str">
        <x:v>Verified Platform Display</x:v>
      </x:c>
      <x:c r="K893" s="56" t="str">
        <x:v>High</x:v>
      </x:c>
      <x:c r="L893" s="56" t="str">
        <x:v>Yes</x:v>
      </x:c>
      <x:c r="M893" s="56"/>
      <x:c r="N893" s="56" t="str">
        <x:v>Dynamic; first available 2026-02-02.</x:v>
      </x:c>
      <x:c r="O893" s="56" t="str">
        <x:v>Codex</x:v>
      </x:c>
    </x:row>
    <x:row r="894" ht="120" customHeight="1">
      <x:c r="A894" s="56" t="str">
        <x:v>SRC-IMF-011</x:v>
      </x:c>
      <x:c r="B894" s="56" t="str">
        <x:v>KB018</x:v>
      </x:c>
      <x:c r="C894" s="56" t="str">
        <x:v>Amazon — Black Rice Toner</x:v>
      </x:c>
      <x:c r="D894" s="56" t="str">
        <x:v>ASIN B0DY7HR89T displayed 300+ bought/month, $18.50, 4.5/191, #298 Facial Toners, seller wishtrend and Amazon fulfillment.</x:v>
      </x:c>
      <x:c r="E894" s="56" t="str">
        <x:v>Amazon U.S.</x:v>
      </x:c>
      <x:c r="F894" s="56" t="str">
        <x:v>https://www.amazon.com/dp/B0DY7HR89T</x:v>
      </x:c>
      <x:c r="G894" s="56" t="str">
        <x:v>Marketplace Display</x:v>
      </x:c>
      <x:c r="H894" s="56"/>
      <x:c r="I894" s="56" t="str">
        <x:v>2026-08-01</x:v>
      </x:c>
      <x:c r="J894" s="56" t="str">
        <x:v>Verified Platform Display</x:v>
      </x:c>
      <x:c r="K894" s="56" t="str">
        <x:v>High</x:v>
      </x:c>
      <x:c r="L894" s="56" t="str">
        <x:v>Yes</x:v>
      </x:c>
      <x:c r="M894" s="56"/>
      <x:c r="N894" s="56" t="str">
        <x:v>Seller relationship and authorization require written confirmation.</x:v>
      </x:c>
      <x:c r="O894" s="56" t="str">
        <x:v>Codex</x:v>
      </x:c>
    </x:row>
    <x:row r="895" ht="120" customHeight="1">
      <x:c r="A895" s="56" t="str">
        <x:v>SRC-IMF-012</x:v>
      </x:c>
      <x:c r="B895" s="56" t="str">
        <x:v>KB018</x:v>
      </x:c>
      <x:c r="C895" s="56" t="str">
        <x:v>Amazon — new Rice Cream</x:v>
      </x:c>
      <x:c r="D895" s="56" t="str">
        <x:v>Related-product display for B0GL886RZY showed $30, 4.5/58 and Amazon's Choice; no bought badge was verified.</x:v>
      </x:c>
      <x:c r="E895" s="56" t="str">
        <x:v>Amazon U.S.</x:v>
      </x:c>
      <x:c r="F895" s="56" t="str">
        <x:v>https://www.amazon.com/dp/B0GL886RZY</x:v>
      </x:c>
      <x:c r="G895" s="56" t="str">
        <x:v>Marketplace Related-Product Display</x:v>
      </x:c>
      <x:c r="H895" s="56"/>
      <x:c r="I895" s="56" t="str">
        <x:v>2026-08-01</x:v>
      </x:c>
      <x:c r="J895" s="56" t="str">
        <x:v>Further Verification Required</x:v>
      </x:c>
      <x:c r="K895" s="56" t="str">
        <x:v>Medium</x:v>
      </x:c>
      <x:c r="L895" s="56" t="str">
        <x:v>Yes</x:v>
      </x:c>
      <x:c r="M895" s="56"/>
      <x:c r="N895" s="56" t="str">
        <x:v>Direct page and seller must be rechecked.</x:v>
      </x:c>
      <x:c r="O895" s="56" t="str">
        <x:v>Codex</x:v>
      </x:c>
    </x:row>
    <x:row r="896" ht="120" customHeight="1">
      <x:c r="A896" s="56" t="str">
        <x:v>SRC-IMF-013</x:v>
      </x:c>
      <x:c r="B896" s="56" t="str">
        <x:v>KB018</x:v>
      </x:c>
      <x:c r="C896" s="56" t="str">
        <x:v>Amazon — new Mugwort Essence</x:v>
      </x:c>
      <x:c r="D896" s="56" t="str">
        <x:v>Related-product display for B0GGL3M7GK showed $19.80 deal versus $36 list and 4.6/121; no bought badge was verified.</x:v>
      </x:c>
      <x:c r="E896" s="56" t="str">
        <x:v>Amazon U.S.</x:v>
      </x:c>
      <x:c r="F896" s="56" t="str">
        <x:v>https://www.amazon.com/dp/B0GGL3M7GK</x:v>
      </x:c>
      <x:c r="G896" s="56" t="str">
        <x:v>Marketplace Related-Product Display</x:v>
      </x:c>
      <x:c r="H896" s="56"/>
      <x:c r="I896" s="56" t="str">
        <x:v>2026-08-01</x:v>
      </x:c>
      <x:c r="J896" s="56" t="str">
        <x:v>Further Verification Required</x:v>
      </x:c>
      <x:c r="K896" s="56" t="str">
        <x:v>Medium</x:v>
      </x:c>
      <x:c r="L896" s="56" t="str">
        <x:v>Yes</x:v>
      </x:c>
      <x:c r="M896" s="56"/>
      <x:c r="N896" s="56" t="str">
        <x:v>Direct page, seller and exact 150 mL version require recheck.</x:v>
      </x:c>
      <x:c r="O896" s="56" t="str">
        <x:v>Codex</x:v>
      </x:c>
    </x:row>
    <x:row r="897" ht="120" customHeight="1">
      <x:c r="A897" s="56" t="str">
        <x:v>SRC-IMF-014</x:v>
      </x:c>
      <x:c r="B897" s="56" t="str">
        <x:v>KB018</x:v>
      </x:c>
      <x:c r="C897" s="56" t="str">
        <x:v>Amazon — new Rice Serum</x:v>
      </x:c>
      <x:c r="D897" s="56" t="str">
        <x:v>Related-product display for B0GMHYPFKZ showed $28 and 4.8/34; no bought badge was verified.</x:v>
      </x:c>
      <x:c r="E897" s="56" t="str">
        <x:v>Amazon U.S.</x:v>
      </x:c>
      <x:c r="F897" s="56" t="str">
        <x:v>https://www.amazon.com/dp/B0GMHYPFKZ</x:v>
      </x:c>
      <x:c r="G897" s="56" t="str">
        <x:v>Marketplace Related-Product Display</x:v>
      </x:c>
      <x:c r="H897" s="56"/>
      <x:c r="I897" s="56" t="str">
        <x:v>2026-08-01</x:v>
      </x:c>
      <x:c r="J897" s="56" t="str">
        <x:v>Further Verification Required</x:v>
      </x:c>
      <x:c r="K897" s="56" t="str">
        <x:v>Medium</x:v>
      </x:c>
      <x:c r="L897" s="56" t="str">
        <x:v>Yes</x:v>
      </x:c>
      <x:c r="M897" s="56"/>
      <x:c r="N897" s="56" t="str">
        <x:v>Direct page, seller and version require recheck.</x:v>
      </x:c>
      <x:c r="O897" s="56" t="str">
        <x:v>Codex</x:v>
      </x:c>
    </x:row>
    <x:row r="898" ht="120" customHeight="1">
      <x:c r="A898" s="56" t="str">
        <x:v>SRC-IMF-015</x:v>
      </x:c>
      <x:c r="B898" s="56" t="str">
        <x:v>KB018</x:v>
      </x:c>
      <x:c r="C898" s="56" t="str">
        <x:v>Amazon sales floor calculation</x:v>
      </x:c>
      <x:c r="D898" s="56" t="str">
        <x:v>Two clearly active sampled badges imply at least 5,300 monthly units and $78,700/month at observed one-time prices.</x:v>
      </x:c>
      <x:c r="E898" s="56" t="str">
        <x:v>Analyst Calculation</x:v>
      </x:c>
      <x:c r="F898" s="56" t="str">
        <x:v>https://www.amazon.com/dp/B0GL23FXCZ</x:v>
      </x:c>
      <x:c r="G898" s="56" t="str">
        <x:v>Derived from Marketplace Displays</x:v>
      </x:c>
      <x:c r="H898" s="56"/>
      <x:c r="I898" s="56" t="str">
        <x:v>2026-08-01</x:v>
      </x:c>
      <x:c r="J898" s="56" t="str">
        <x:v>Conservative Sales Proxy</x:v>
      </x:c>
      <x:c r="K898" s="56" t="str">
        <x:v>Medium-High</x:v>
      </x:c>
      <x:c r="L898" s="56" t="str">
        <x:v>Yes</x:v>
      </x:c>
      <x:c r="M898" s="56"/>
      <x:c r="N898" s="56" t="str">
        <x:v>$73,150 Rice Toner + $5,550 Black Rice; not audited revenue.</x:v>
      </x:c>
      <x:c r="O898" s="56" t="str">
        <x:v>Codex</x:v>
      </x:c>
    </x:row>
    <x:row r="899" ht="120" customHeight="1">
      <x:c r="A899" s="56" t="str">
        <x:v>SRC-IMF-016</x:v>
      </x:c>
      <x:c r="B899" s="56" t="str">
        <x:v>KB018</x:v>
      </x:c>
      <x:c r="C899" s="56" t="str">
        <x:v>Amazon — legacy Rice Toner transition</x:v>
      </x:c>
      <x:c r="D899" s="56" t="str">
        <x:v>Old ASIN B07K23HV61 was unavailable but retained a 600+ badge and historical rank; excluded from current floor.</x:v>
      </x:c>
      <x:c r="E899" s="56" t="str">
        <x:v>Amazon U.S.</x:v>
      </x:c>
      <x:c r="F899" s="56" t="str">
        <x:v>https://www.amazon.com/dp/B07K23HV61</x:v>
      </x:c>
      <x:c r="G899" s="56" t="str">
        <x:v>Legacy Marketplace Display</x:v>
      </x:c>
      <x:c r="H899" s="56"/>
      <x:c r="I899" s="56" t="str">
        <x:v>2026-08-01</x:v>
      </x:c>
      <x:c r="J899" s="56" t="str">
        <x:v>Version-Transition Evidence</x:v>
      </x:c>
      <x:c r="K899" s="56" t="str">
        <x:v>Medium-High</x:v>
      </x:c>
      <x:c r="L899" s="56" t="str">
        <x:v>Yes</x:v>
      </x:c>
      <x:c r="M899" s="56"/>
      <x:c r="N899" s="56" t="str">
        <x:v>Do not double count with new ASIN.</x:v>
      </x:c>
      <x:c r="O899" s="56" t="str">
        <x:v>Codex</x:v>
      </x:c>
    </x:row>
    <x:row r="900" ht="120" customHeight="1">
      <x:c r="A900" s="56" t="str">
        <x:v>SRC-IMF-017</x:v>
      </x:c>
      <x:c r="B900" s="56" t="str">
        <x:v>KB018</x:v>
      </x:c>
      <x:c r="C900" s="56" t="str">
        <x:v>Amazon — legacy Rice Serum transition</x:v>
      </x:c>
      <x:c r="D900" s="56" t="str">
        <x:v>Old ASIN B08GNYYXD9 showed historical demand while a new Rice Serum ASIN appeared separately.</x:v>
      </x:c>
      <x:c r="E900" s="56" t="str">
        <x:v>Amazon U.S.</x:v>
      </x:c>
      <x:c r="F900" s="56" t="str">
        <x:v>https://www.amazon.com/dp/B08GNYYXD9</x:v>
      </x:c>
      <x:c r="G900" s="56" t="str">
        <x:v>Legacy Marketplace Display</x:v>
      </x:c>
      <x:c r="H900" s="56"/>
      <x:c r="I900" s="56" t="str">
        <x:v>2026-08-01</x:v>
      </x:c>
      <x:c r="J900" s="56" t="str">
        <x:v>Version-Transition Evidence</x:v>
      </x:c>
      <x:c r="K900" s="56" t="str">
        <x:v>Medium</x:v>
      </x:c>
      <x:c r="L900" s="56" t="str">
        <x:v>Yes</x:v>
      </x:c>
      <x:c r="M900" s="56"/>
      <x:c r="N900" s="56" t="str">
        <x:v>Do not combine without UPC/formula continuity audit.</x:v>
      </x:c>
      <x:c r="O900" s="56" t="str">
        <x:v>Codex</x:v>
      </x:c>
    </x:row>
    <x:row r="901" ht="120" customHeight="1">
      <x:c r="A901" s="56" t="str">
        <x:v>SRC-IMF-018</x:v>
      </x:c>
      <x:c r="B901" s="56" t="str">
        <x:v>KB018</x:v>
      </x:c>
      <x:c r="C901" s="56" t="str">
        <x:v>Amazon — legacy Rice Cream transition</x:v>
      </x:c>
      <x:c r="D901" s="56" t="str">
        <x:v>Old ASIN B08GPBH6G2 was unavailable while new Rice Cream ASIN B0GL886RZY appeared separately.</x:v>
      </x:c>
      <x:c r="E901" s="56" t="str">
        <x:v>Amazon U.S.</x:v>
      </x:c>
      <x:c r="F901" s="56" t="str">
        <x:v>https://www.amazon.com/dp/B08GPBH6G2</x:v>
      </x:c>
      <x:c r="G901" s="56" t="str">
        <x:v>Legacy Marketplace Display</x:v>
      </x:c>
      <x:c r="H901" s="56"/>
      <x:c r="I901" s="56" t="str">
        <x:v>2026-08-01</x:v>
      </x:c>
      <x:c r="J901" s="56" t="str">
        <x:v>Version-Transition Evidence</x:v>
      </x:c>
      <x:c r="K901" s="56" t="str">
        <x:v>Medium</x:v>
      </x:c>
      <x:c r="L901" s="56" t="str">
        <x:v>Yes</x:v>
      </x:c>
      <x:c r="M901" s="56"/>
      <x:c r="N901" s="56" t="str">
        <x:v>Do not count unavailable listing as current sales.</x:v>
      </x:c>
      <x:c r="O901" s="56" t="str">
        <x:v>Codex</x:v>
      </x:c>
    </x:row>
    <x:row r="902" ht="120" customHeight="1">
      <x:c r="A902" s="56" t="str">
        <x:v>SRC-IMF-019</x:v>
      </x:c>
      <x:c r="B902" s="56" t="str">
        <x:v>KB018</x:v>
      </x:c>
      <x:c r="C902" s="56" t="str">
        <x:v>TikTok Shop — official shop</x:v>
      </x:c>
      <x:c r="D902" s="56" t="str">
        <x:v>TikTok Shop search displayed an I'm From US official seller and broad product/bundle assortment.</x:v>
      </x:c>
      <x:c r="E902" s="56" t="str">
        <x:v>TikTok Shop U.S.</x:v>
      </x:c>
      <x:c r="F902" s="56" t="str">
        <x:v>https://shop.tiktok.com/us/k/im-from</x:v>
      </x:c>
      <x:c r="G902" s="56" t="str">
        <x:v>Official Social-Commerce Search</x:v>
      </x:c>
      <x:c r="H902" s="56"/>
      <x:c r="I902" s="56" t="str">
        <x:v>2026-08-01</x:v>
      </x:c>
      <x:c r="J902" s="56" t="str">
        <x:v>Dynamic Platform Signal</x:v>
      </x:c>
      <x:c r="K902" s="56" t="str">
        <x:v>Medium-High</x:v>
      </x:c>
      <x:c r="L902" s="56" t="str">
        <x:v>Yes</x:v>
      </x:c>
      <x:c r="M902" s="56"/>
      <x:c r="N902" s="56" t="str">
        <x:v>Cumulative sold counts are dynamic and overlapping.</x:v>
      </x:c>
      <x:c r="O902" s="56" t="str">
        <x:v>Codex</x:v>
      </x:c>
    </x:row>
    <x:row r="903" ht="120" customHeight="1">
      <x:c r="A903" s="56" t="str">
        <x:v>SRC-IMF-020</x:v>
      </x:c>
      <x:c r="B903" s="56" t="str">
        <x:v>KB018</x:v>
      </x:c>
      <x:c r="C903" s="56" t="str">
        <x:v>TikTok Shop — Rice Toner</x:v>
      </x:c>
      <x:c r="D903" s="56" t="str">
        <x:v>Official listing search displayed about 55.3K sold, 4.6 and $17.97.</x:v>
      </x:c>
      <x:c r="E903" s="56" t="str">
        <x:v>TikTok Shop U.S.</x:v>
      </x:c>
      <x:c r="F903" s="56" t="str">
        <x:v>https://shop.tiktok.com/us/k/im-from-rice-toner-pores</x:v>
      </x:c>
      <x:c r="G903" s="56" t="str">
        <x:v>Official Social-Commerce Listing</x:v>
      </x:c>
      <x:c r="H903" s="56"/>
      <x:c r="I903" s="56" t="str">
        <x:v>2026-08-01</x:v>
      </x:c>
      <x:c r="J903" s="56" t="str">
        <x:v>Dynamic Platform Signal</x:v>
      </x:c>
      <x:c r="K903" s="56" t="str">
        <x:v>Medium-High</x:v>
      </x:c>
      <x:c r="L903" s="56" t="str">
        <x:v>Yes</x:v>
      </x:c>
      <x:c r="M903" s="56"/>
      <x:c r="N903" s="56" t="str">
        <x:v>Cumulative; no reporting period.</x:v>
      </x:c>
      <x:c r="O903" s="56" t="str">
        <x:v>Codex</x:v>
      </x:c>
    </x:row>
    <x:row r="904" ht="120" customHeight="1">
      <x:c r="A904" s="56" t="str">
        <x:v>SRC-IMF-021</x:v>
      </x:c>
      <x:c r="B904" s="56" t="str">
        <x:v>KB018</x:v>
      </x:c>
      <x:c r="C904" s="56" t="str">
        <x:v>TikTok Shop — Mugwort Essence</x:v>
      </x:c>
      <x:c r="D904" s="56" t="str">
        <x:v>Official listing/search displayed about 19.5K sold and 4.8.</x:v>
      </x:c>
      <x:c r="E904" s="56" t="str">
        <x:v>TikTok Shop U.S.</x:v>
      </x:c>
      <x:c r="F904" s="56" t="str">
        <x:v>https://shop.tiktok.com/us/pdp/mugwort-essence-by-im-from-korean-vegan-toner-for-sensitive-skin/1729438201938546925</x:v>
      </x:c>
      <x:c r="G904" s="56" t="str">
        <x:v>Official Social-Commerce Listing</x:v>
      </x:c>
      <x:c r="H904" s="56"/>
      <x:c r="I904" s="56" t="str">
        <x:v>2026-08-01</x:v>
      </x:c>
      <x:c r="J904" s="56" t="str">
        <x:v>Dynamic Platform Signal</x:v>
      </x:c>
      <x:c r="K904" s="56" t="str">
        <x:v>Medium-High</x:v>
      </x:c>
      <x:c r="L904" s="56" t="str">
        <x:v>Yes</x:v>
      </x:c>
      <x:c r="M904" s="56"/>
      <x:c r="N904" s="56" t="str">
        <x:v>Price/set context and count are dynamic.</x:v>
      </x:c>
      <x:c r="O904" s="56" t="str">
        <x:v>Codex</x:v>
      </x:c>
    </x:row>
    <x:row r="905" ht="120" customHeight="1">
      <x:c r="A905" s="56" t="str">
        <x:v>SRC-IMF-022</x:v>
      </x:c>
      <x:c r="B905" s="56" t="str">
        <x:v>KB018</x:v>
      </x:c>
      <x:c r="C905" s="56" t="str">
        <x:v>TikTok Shop — Mugwort Sheet Masks</x:v>
      </x:c>
      <x:c r="D905" s="56" t="str">
        <x:v>Official shop search displayed about 22.4K sold, 4.8 and $27.10 for a five-pack.</x:v>
      </x:c>
      <x:c r="E905" s="56" t="str">
        <x:v>TikTok Shop U.S.</x:v>
      </x:c>
      <x:c r="F905" s="56" t="str">
        <x:v>https://shop.tiktok.com/us/k/im-from</x:v>
      </x:c>
      <x:c r="G905" s="56" t="str">
        <x:v>Official Social-Commerce Listing</x:v>
      </x:c>
      <x:c r="H905" s="56"/>
      <x:c r="I905" s="56" t="str">
        <x:v>2026-08-01</x:v>
      </x:c>
      <x:c r="J905" s="56" t="str">
        <x:v>Dynamic Platform Signal</x:v>
      </x:c>
      <x:c r="K905" s="56" t="str">
        <x:v>Medium</x:v>
      </x:c>
      <x:c r="L905" s="56" t="str">
        <x:v>Yes</x:v>
      </x:c>
      <x:c r="M905" s="56"/>
      <x:c r="N905" s="56" t="str">
        <x:v>Different format from essence or wash-off mask.</x:v>
      </x:c>
      <x:c r="O905" s="56" t="str">
        <x:v>Codex</x:v>
      </x:c>
    </x:row>
    <x:row r="906" ht="120" customHeight="1">
      <x:c r="A906" s="56" t="str">
        <x:v>SRC-IMF-023</x:v>
      </x:c>
      <x:c r="B906" s="56" t="str">
        <x:v>KB018</x:v>
      </x:c>
      <x:c r="C906" s="56" t="str">
        <x:v>TikTok Shop — Rice trio</x:v>
      </x:c>
      <x:c r="D906" s="56" t="str">
        <x:v>Official shop search displayed about 14.4K sold, 4.5 and $48.69 for a Rice-line trio.</x:v>
      </x:c>
      <x:c r="E906" s="56" t="str">
        <x:v>TikTok Shop U.S.</x:v>
      </x:c>
      <x:c r="F906" s="56" t="str">
        <x:v>https://shop.tiktok.com/us/k/im-from</x:v>
      </x:c>
      <x:c r="G906" s="56" t="str">
        <x:v>Official Social-Commerce Bundle</x:v>
      </x:c>
      <x:c r="H906" s="56"/>
      <x:c r="I906" s="56" t="str">
        <x:v>2026-08-01</x:v>
      </x:c>
      <x:c r="J906" s="56" t="str">
        <x:v>Dynamic Platform Signal</x:v>
      </x:c>
      <x:c r="K906" s="56" t="str">
        <x:v>Medium</x:v>
      </x:c>
      <x:c r="L906" s="56" t="str">
        <x:v>Yes</x:v>
      </x:c>
      <x:c r="M906" s="56"/>
      <x:c r="N906" s="56" t="str">
        <x:v>Overlaps with components; not summed.</x:v>
      </x:c>
      <x:c r="O906" s="56" t="str">
        <x:v>Codex</x:v>
      </x:c>
    </x:row>
    <x:row r="907" ht="120" customHeight="1">
      <x:c r="A907" s="56" t="str">
        <x:v>SRC-IMF-024</x:v>
      </x:c>
      <x:c r="B907" s="56" t="str">
        <x:v>KB018</x:v>
      </x:c>
      <x:c r="C907" s="56" t="str">
        <x:v>TikTok Shop — Rice/Mugwort duo</x:v>
      </x:c>
      <x:c r="D907" s="56" t="str">
        <x:v>Official shop search displayed about 8.6K sold and 4.7 for a skin-flooding duo.</x:v>
      </x:c>
      <x:c r="E907" s="56" t="str">
        <x:v>TikTok Shop U.S.</x:v>
      </x:c>
      <x:c r="F907" s="56" t="str">
        <x:v>https://shop.tiktok.com/us/k/im-from</x:v>
      </x:c>
      <x:c r="G907" s="56" t="str">
        <x:v>Official Social-Commerce Bundle</x:v>
      </x:c>
      <x:c r="H907" s="56"/>
      <x:c r="I907" s="56" t="str">
        <x:v>2026-08-01</x:v>
      </x:c>
      <x:c r="J907" s="56" t="str">
        <x:v>Dynamic Platform Signal</x:v>
      </x:c>
      <x:c r="K907" s="56" t="str">
        <x:v>Medium</x:v>
      </x:c>
      <x:c r="L907" s="56" t="str">
        <x:v>Yes</x:v>
      </x:c>
      <x:c r="M907" s="56"/>
      <x:c r="N907" s="56" t="str">
        <x:v>Bundle overlap prevents additive brand sales estimate.</x:v>
      </x:c>
      <x:c r="O907" s="56" t="str">
        <x:v>Codex</x:v>
      </x:c>
    </x:row>
    <x:row r="908" ht="120" customHeight="1">
      <x:c r="A908" s="56" t="str">
        <x:v>SRC-IMF-025</x:v>
      </x:c>
      <x:c r="B908" s="56" t="str">
        <x:v>KB018</x:v>
      </x:c>
      <x:c r="C908" s="56" t="str">
        <x:v>TikTok Shop — Honey Mask</x:v>
      </x:c>
      <x:c r="D908" s="56" t="str">
        <x:v>Official shop search displayed 296 sold, 5.0 and $30 for Honey Mask.</x:v>
      </x:c>
      <x:c r="E908" s="56" t="str">
        <x:v>TikTok Shop U.S.</x:v>
      </x:c>
      <x:c r="F908" s="56" t="str">
        <x:v>https://shop.tiktok.com/us/k/im-from</x:v>
      </x:c>
      <x:c r="G908" s="56" t="str">
        <x:v>Official Social-Commerce Listing</x:v>
      </x:c>
      <x:c r="H908" s="56"/>
      <x:c r="I908" s="56" t="str">
        <x:v>2026-08-01</x:v>
      </x:c>
      <x:c r="J908" s="56" t="str">
        <x:v>Dynamic Platform Signal</x:v>
      </x:c>
      <x:c r="K908" s="56" t="str">
        <x:v>Medium</x:v>
      </x:c>
      <x:c r="L908" s="56" t="str">
        <x:v>Yes</x:v>
      </x:c>
      <x:c r="M908" s="56"/>
      <x:c r="N908" s="56" t="str">
        <x:v>Current-version net content/formula should be confirmed.</x:v>
      </x:c>
      <x:c r="O908" s="56" t="str">
        <x:v>Codex</x:v>
      </x:c>
    </x:row>
    <x:row r="909" ht="120" customHeight="1">
      <x:c r="A909" s="56" t="str">
        <x:v>SRC-IMF-026</x:v>
      </x:c>
      <x:c r="B909" s="56" t="str">
        <x:v>KB018</x:v>
      </x:c>
      <x:c r="C909" s="56" t="str">
        <x:v>Ulta brand assortment</x:v>
      </x:c>
      <x:c r="D909" s="56" t="str">
        <x:v>Ulta displayed ten current skincare products across Rice, Black Rice and Mugwort lines.</x:v>
      </x:c>
      <x:c r="E909" s="56" t="str">
        <x:v>Ulta Beauty</x:v>
      </x:c>
      <x:c r="F909" s="56" t="str">
        <x:v>https://www.ulta.com/brand/im-from?category=skin-care</x:v>
      </x:c>
      <x:c r="G909" s="56" t="str">
        <x:v>Authorized Retailer Brand Page</x:v>
      </x:c>
      <x:c r="H909" s="56"/>
      <x:c r="I909" s="56" t="str">
        <x:v>2026-08-01</x:v>
      </x:c>
      <x:c r="J909" s="56" t="str">
        <x:v>Verified Retail Presence</x:v>
      </x:c>
      <x:c r="K909" s="56" t="str">
        <x:v>High</x:v>
      </x:c>
      <x:c r="L909" s="56" t="str">
        <x:v>Yes</x:v>
      </x:c>
      <x:c r="M909" s="56"/>
      <x:c r="N909" s="56" t="str">
        <x:v>Assortment, stock and price change.</x:v>
      </x:c>
      <x:c r="O909" s="56" t="str">
        <x:v>Codex</x:v>
      </x:c>
    </x:row>
    <x:row r="910" ht="120" customHeight="1">
      <x:c r="A910" s="56" t="str">
        <x:v>SRC-IMF-027</x:v>
      </x:c>
      <x:c r="B910" s="56" t="str">
        <x:v>KB018</x:v>
      </x:c>
      <x:c r="C910" s="56" t="str">
        <x:v>Ulta — Rice Toner</x:v>
      </x:c>
      <x:c r="D910" s="56" t="str">
        <x:v>Ulta displayed Rice Toner 150 mL at $28 and 4.9/522.</x:v>
      </x:c>
      <x:c r="E910" s="56" t="str">
        <x:v>Ulta Beauty</x:v>
      </x:c>
      <x:c r="F910" s="56" t="str">
        <x:v>https://www.ulta.com/p/rice-toner-pimprod2051769?sku=2642147</x:v>
      </x:c>
      <x:c r="G910" s="56" t="str">
        <x:v>Authorized Retailer Product Page</x:v>
      </x:c>
      <x:c r="H910" s="56"/>
      <x:c r="I910" s="56" t="str">
        <x:v>2026-08-01</x:v>
      </x:c>
      <x:c r="J910" s="56" t="str">
        <x:v>Verified Retail / Review Signal</x:v>
      </x:c>
      <x:c r="K910" s="56" t="str">
        <x:v>High</x:v>
      </x:c>
      <x:c r="L910" s="56" t="str">
        <x:v>Yes</x:v>
      </x:c>
      <x:c r="M910" s="56"/>
      <x:c r="N910" s="56" t="str">
        <x:v>Dynamic price and review count.</x:v>
      </x:c>
      <x:c r="O910" s="56" t="str">
        <x:v>Codex</x:v>
      </x:c>
    </x:row>
    <x:row r="911" ht="120" customHeight="1">
      <x:c r="A911" s="56" t="str">
        <x:v>SRC-IMF-028</x:v>
      </x:c>
      <x:c r="B911" s="56" t="str">
        <x:v>KB018</x:v>
      </x:c>
      <x:c r="C911" s="56" t="str">
        <x:v>Ulta — Rice Cream</x:v>
      </x:c>
      <x:c r="D911" s="56" t="str">
        <x:v>Ulta displayed Rice Cream 50 g at $30 and 4.8/130.</x:v>
      </x:c>
      <x:c r="E911" s="56" t="str">
        <x:v>Ulta Beauty</x:v>
      </x:c>
      <x:c r="F911" s="56" t="str">
        <x:v>https://www.ulta.com/p/rice-cream-pimprod2051770?sku=2642148</x:v>
      </x:c>
      <x:c r="G911" s="56" t="str">
        <x:v>Authorized Retailer Product Page</x:v>
      </x:c>
      <x:c r="H911" s="56"/>
      <x:c r="I911" s="56" t="str">
        <x:v>2026-08-01</x:v>
      </x:c>
      <x:c r="J911" s="56" t="str">
        <x:v>Verified Retail / Review Signal</x:v>
      </x:c>
      <x:c r="K911" s="56" t="str">
        <x:v>High</x:v>
      </x:c>
      <x:c r="L911" s="56" t="str">
        <x:v>Yes</x:v>
      </x:c>
      <x:c r="M911" s="56"/>
      <x:c r="N911" s="56" t="str">
        <x:v>Stock status varied across crawls.</x:v>
      </x:c>
      <x:c r="O911" s="56" t="str">
        <x:v>Codex</x:v>
      </x:c>
    </x:row>
    <x:row r="912" ht="120" customHeight="1">
      <x:c r="A912" s="56" t="str">
        <x:v>SRC-IMF-029</x:v>
      </x:c>
      <x:c r="B912" s="56" t="str">
        <x:v>KB018</x:v>
      </x:c>
      <x:c r="C912" s="56" t="str">
        <x:v>Target assortment / seller diligence</x:v>
      </x:c>
      <x:c r="D912" s="56" t="str">
        <x:v>Target search displayed multiple I'm From products and variable prices; seller/provenance must be checked per listing.</x:v>
      </x:c>
      <x:c r="E912" s="56" t="str">
        <x:v>Target</x:v>
      </x:c>
      <x:c r="F912" s="56" t="str">
        <x:v>https://www.target.com/c/skin-care-beauty/i-m-from/-/N-5xtzjZq643ler9lxa</x:v>
      </x:c>
      <x:c r="G912" s="56" t="str">
        <x:v>Retailer / Marketplace Search</x:v>
      </x:c>
      <x:c r="H912" s="56"/>
      <x:c r="I912" s="56" t="str">
        <x:v>2026-08-01</x:v>
      </x:c>
      <x:c r="J912" s="56" t="str">
        <x:v>Verified Visibility / Further Verification</x:v>
      </x:c>
      <x:c r="K912" s="56" t="str">
        <x:v>Medium-High</x:v>
      </x:c>
      <x:c r="L912" s="56" t="str">
        <x:v>Yes</x:v>
      </x:c>
      <x:c r="M912" s="56"/>
      <x:c r="N912" s="56" t="str">
        <x:v>Do not assume all listings are first-party or authorized.</x:v>
      </x:c>
      <x:c r="O912" s="56" t="str">
        <x:v>Codex</x:v>
      </x:c>
    </x:row>
    <x:row r="913" ht="120" customHeight="1">
      <x:c r="A913" s="56" t="str">
        <x:v>SRC-IMF-030</x:v>
      </x:c>
      <x:c r="B913" s="56" t="str">
        <x:v>KB018</x:v>
      </x:c>
      <x:c r="C913" s="56" t="str">
        <x:v>iHerb — Rice Toner</x:v>
      </x:c>
      <x:c r="D913" s="56" t="str">
        <x:v>iHerb displayed $24.50, 4.7/6,986, 2,000+ sold in 30 days and high toner/K-Beauty ranks.</x:v>
      </x:c>
      <x:c r="E913" s="56" t="str">
        <x:v>iHerb</x:v>
      </x:c>
      <x:c r="F913" s="56" t="str">
        <x:v>https://www.iherb.com/pr/i-m-from-rice-toner-5-07-fl-oz-150-ml/90196</x:v>
      </x:c>
      <x:c r="G913" s="56" t="str">
        <x:v>Authorized Retailer Product Page</x:v>
      </x:c>
      <x:c r="H913" s="56"/>
      <x:c r="I913" s="56" t="str">
        <x:v>2026-08-01</x:v>
      </x:c>
      <x:c r="J913" s="56" t="str">
        <x:v>Verified Retail / Demand Signal</x:v>
      </x:c>
      <x:c r="K913" s="56" t="str">
        <x:v>High</x:v>
      </x:c>
      <x:c r="L913" s="56" t="str">
        <x:v>Yes</x:v>
      </x:c>
      <x:c r="M913" s="56"/>
      <x:c r="N913" s="56" t="str">
        <x:v>Dynamic price/rank; reviews may be global.</x:v>
      </x:c>
      <x:c r="O913" s="56" t="str">
        <x:v>Codex</x:v>
      </x:c>
    </x:row>
    <x:row r="914" ht="120" customHeight="1">
      <x:c r="A914" s="56" t="str">
        <x:v>SRC-IMF-031</x:v>
      </x:c>
      <x:c r="B914" s="56" t="str">
        <x:v>KB018</x:v>
      </x:c>
      <x:c r="C914" s="56" t="str">
        <x:v>Walmart marketplace presence</x:v>
      </x:c>
      <x:c r="D914" s="56" t="str">
        <x:v>Walmart hosted a Rice Toner listing showing 4.7/691; seller authorization/version were not verified.</x:v>
      </x:c>
      <x:c r="E914" s="56" t="str">
        <x:v>Walmart</x:v>
      </x:c>
      <x:c r="F914" s="56" t="str">
        <x:v>https://www.walmart.com/ip/945570199</x:v>
      </x:c>
      <x:c r="G914" s="56" t="str">
        <x:v>Marketplace Product Page</x:v>
      </x:c>
      <x:c r="H914" s="56"/>
      <x:c r="I914" s="56" t="str">
        <x:v>2026-08-01</x:v>
      </x:c>
      <x:c r="J914" s="56" t="str">
        <x:v>Visibility / Seller-Risk Signal</x:v>
      </x:c>
      <x:c r="K914" s="56" t="str">
        <x:v>Medium</x:v>
      </x:c>
      <x:c r="L914" s="56" t="str">
        <x:v>Yes</x:v>
      </x:c>
      <x:c r="M914" s="56"/>
      <x:c r="N914" s="56" t="str">
        <x:v>Verify seller, UPC, lot, expiry and authorization.</x:v>
      </x:c>
      <x:c r="O914" s="56" t="str">
        <x:v>Codex</x:v>
      </x:c>
    </x:row>
    <x:row r="915" ht="120" customHeight="1">
      <x:c r="A915" s="56" t="str">
        <x:v>SRC-IMF-032</x:v>
      </x:c>
      <x:c r="B915" s="56" t="str">
        <x:v>KB018</x:v>
      </x:c>
      <x:c r="C915" s="56" t="str">
        <x:v>Wishtrend current assortment check</x:v>
      </x:c>
      <x:c r="D915" s="56" t="str">
        <x:v>Wishtrend's I'm From collection displayed no products when checked.</x:v>
      </x:c>
      <x:c r="E915" s="56" t="str">
        <x:v>Wishtrend</x:v>
      </x:c>
      <x:c r="F915" s="56" t="str">
        <x:v>https://wishtrend.com/collections/im-from</x:v>
      </x:c>
      <x:c r="G915" s="56" t="str">
        <x:v>Retailer Collection Page</x:v>
      </x:c>
      <x:c r="H915" s="56"/>
      <x:c r="I915" s="56" t="str">
        <x:v>2026-08-01</x:v>
      </x:c>
      <x:c r="J915" s="56" t="str">
        <x:v>Negative / Current-Role Evidence</x:v>
      </x:c>
      <x:c r="K915" s="56" t="str">
        <x:v>Medium-High</x:v>
      </x:c>
      <x:c r="L915" s="56" t="str">
        <x:v>Yes</x:v>
      </x:c>
      <x:c r="M915" s="56"/>
      <x:c r="N915" s="56" t="str">
        <x:v>Does not by itself terminate historical relationship.</x:v>
      </x:c>
      <x:c r="O915" s="56" t="str">
        <x:v>Codex</x:v>
      </x:c>
    </x:row>
    <x:row r="916" ht="120" customHeight="1">
      <x:c r="A916" s="56" t="str">
        <x:v>SRC-IMF-033</x:v>
      </x:c>
      <x:c r="B916" s="56" t="str">
        <x:v>KB018</x:v>
      </x:c>
      <x:c r="C916" s="56" t="str">
        <x:v>Wishcompany current brand portfolio</x:v>
      </x:c>
      <x:c r="D916" s="56" t="str">
        <x:v>Wishcompany's corporate brand page lists Dear Klairs and By Wishtrend but not I'm From.</x:v>
      </x:c>
      <x:c r="E916" s="56" t="str">
        <x:v>Wishcompany</x:v>
      </x:c>
      <x:c r="F916" s="56" t="str">
        <x:v>https://www.wishcompany.net/eng/about/</x:v>
      </x:c>
      <x:c r="G916" s="56" t="str">
        <x:v>Corporate Site</x:v>
      </x:c>
      <x:c r="H916" s="56"/>
      <x:c r="I916" s="56" t="str">
        <x:v>2026-08-01</x:v>
      </x:c>
      <x:c r="J916" s="56" t="str">
        <x:v>Current-Relationship Question</x:v>
      </x:c>
      <x:c r="K916" s="56" t="str">
        <x:v>High</x:v>
      </x:c>
      <x:c r="L916" s="56" t="str">
        <x:v>Yes</x:v>
      </x:c>
      <x:c r="M916" s="56"/>
      <x:c r="N916" s="56" t="str">
        <x:v>Supports need to reconfirm U.S. rights and seller role.</x:v>
      </x:c>
      <x:c r="O916" s="56" t="str">
        <x:v>Codex</x:v>
      </x:c>
    </x:row>
    <x:row r="917" ht="120" customHeight="1">
      <x:c r="A917" s="56" t="str">
        <x:v>SRC-IMF-034</x:v>
      </x:c>
      <x:c r="B917" s="56" t="str">
        <x:v>KB018</x:v>
      </x:c>
      <x:c r="C917" s="56" t="str">
        <x:v>Wishtrend retailer-partner list</x:v>
      </x:c>
      <x:c r="D917" s="56" t="str">
        <x:v>Wishtrend publishes U.S. retailer partners, but list currency and applicability to I'm From require confirmation.</x:v>
      </x:c>
      <x:c r="E917" s="56" t="str">
        <x:v>Wishtrend</x:v>
      </x:c>
      <x:c r="F917" s="56" t="str">
        <x:v>https://wishtrend.com/pages/our-store</x:v>
      </x:c>
      <x:c r="G917" s="56" t="str">
        <x:v>Retailer Partner Page</x:v>
      </x:c>
      <x:c r="H917" s="56"/>
      <x:c r="I917" s="56" t="str">
        <x:v>2026-08-01</x:v>
      </x:c>
      <x:c r="J917" s="56" t="str">
        <x:v>Historical/Qualified Channel Evidence</x:v>
      </x:c>
      <x:c r="K917" s="56" t="str">
        <x:v>Medium</x:v>
      </x:c>
      <x:c r="L917" s="56" t="str">
        <x:v>Yes</x:v>
      </x:c>
      <x:c r="M917" s="56"/>
      <x:c r="N917" s="56" t="str">
        <x:v>Do not treat as current brand authorization proof.</x:v>
      </x:c>
      <x:c r="O917" s="56" t="str">
        <x:v>Codex</x:v>
      </x:c>
    </x:row>
    <x:row r="918" ht="120" customHeight="1">
      <x:c r="A918" s="56" t="str">
        <x:v>SRC-IMF-035</x:v>
      </x:c>
      <x:c r="B918" s="56" t="str">
        <x:v>KB018</x:v>
      </x:c>
      <x:c r="C918" s="56" t="str">
        <x:v>Instagram presence</x:v>
      </x:c>
      <x:c r="D918" s="56" t="str">
        <x:v>Official global Instagram account supports brand awareness and campaign visibility; no reliable U.S.-specific follower snapshot was captured.</x:v>
      </x:c>
      <x:c r="E918" s="56" t="str">
        <x:v>Instagram / I'm From</x:v>
      </x:c>
      <x:c r="F918" s="56" t="str">
        <x:v>https://www.instagram.com/imfrom_global/</x:v>
      </x:c>
      <x:c r="G918" s="56" t="str">
        <x:v>Official Social Account</x:v>
      </x:c>
      <x:c r="H918" s="56"/>
      <x:c r="I918" s="56" t="str">
        <x:v>2026-08-01</x:v>
      </x:c>
      <x:c r="J918" s="56" t="str">
        <x:v>Verified Presence / Metric Not Verified</x:v>
      </x:c>
      <x:c r="K918" s="56" t="str">
        <x:v>Medium</x:v>
      </x:c>
      <x:c r="L918" s="56" t="str">
        <x:v>Yes</x:v>
      </x:c>
      <x:c r="M918" s="56"/>
      <x:c r="N918" s="56" t="str">
        <x:v>Use platform-native analytics for any campaign plan.</x:v>
      </x:c>
      <x:c r="O918" s="56" t="str">
        <x:v>Codex</x:v>
      </x:c>
    </x:row>
    <x:row r="919" ht="120" customHeight="1">
      <x:c r="A919" s="56" t="str">
        <x:v>SRC-IMF-036</x:v>
      </x:c>
      <x:c r="B919" s="56" t="str">
        <x:v>KB018</x:v>
      </x:c>
      <x:c r="C919" s="56" t="str">
        <x:v>Reddit — wash-off masks</x:v>
      </x:c>
      <x:c r="D919" s="56" t="str">
        <x:v>Consumers discussed Mugwort and Honey mask comfort and sensorial benefits with price/mess/sensitivity caveats.</x:v>
      </x:c>
      <x:c r="E919" s="56" t="str">
        <x:v>Reddit r/AsianBeauty</x:v>
      </x:c>
      <x:c r="F919" s="56" t="str">
        <x:v>https://www.reddit.com/r/AsianBeauty/comments/1hddb5b</x:v>
      </x:c>
      <x:c r="G919" s="56" t="str">
        <x:v>Consumer Forum</x:v>
      </x:c>
      <x:c r="H919" s="56"/>
      <x:c r="I919" s="56" t="str">
        <x:v>2026-08-01</x:v>
      </x:c>
      <x:c r="J919" s="56" t="str">
        <x:v>Anecdotal Consumer Evidence</x:v>
      </x:c>
      <x:c r="K919" s="56" t="str">
        <x:v>Low-Medium</x:v>
      </x:c>
      <x:c r="L919" s="56" t="str">
        <x:v>Yes</x:v>
      </x:c>
      <x:c r="M919" s="56"/>
      <x:c r="N919" s="56" t="str">
        <x:v>Self-selected; no prevalence inference.</x:v>
      </x:c>
      <x:c r="O919" s="56" t="str">
        <x:v>Codex</x:v>
      </x:c>
    </x:row>
    <x:row r="920" ht="120" customHeight="1">
      <x:c r="A920" s="56" t="str">
        <x:v>SRC-IMF-037</x:v>
      </x:c>
      <x:c r="B920" s="56" t="str">
        <x:v>KB018</x:v>
      </x:c>
      <x:c r="C920" s="56" t="str">
        <x:v>Reddit — Honey/Mugwort/Fig masks</x:v>
      </x:c>
      <x:c r="D920" s="56" t="str">
        <x:v>Users compared hydration, texture, scent, mess, breakouts and perceived effect across masks.</x:v>
      </x:c>
      <x:c r="E920" s="56" t="str">
        <x:v>Reddit r/SkincareAddiction</x:v>
      </x:c>
      <x:c r="F920" s="56" t="str">
        <x:v>https://www.reddit.com/r/SkincareAddiction/comments/gl7p7y</x:v>
      </x:c>
      <x:c r="G920" s="56" t="str">
        <x:v>Consumer Forum</x:v>
      </x:c>
      <x:c r="H920" s="56"/>
      <x:c r="I920" s="56" t="str">
        <x:v>2026-08-01</x:v>
      </x:c>
      <x:c r="J920" s="56" t="str">
        <x:v>Anecdotal Consumer Evidence</x:v>
      </x:c>
      <x:c r="K920" s="56" t="str">
        <x:v>Low</x:v>
      </x:c>
      <x:c r="L920" s="56" t="str">
        <x:v>Yes</x:v>
      </x:c>
      <x:c r="M920" s="56"/>
      <x:c r="N920" s="56" t="str">
        <x:v>Older formulas may be represented.</x:v>
      </x:c>
      <x:c r="O920" s="56" t="str">
        <x:v>Codex</x:v>
      </x:c>
    </x:row>
    <x:row r="921" ht="120" customHeight="1">
      <x:c r="A921" s="56" t="str">
        <x:v>SRC-IMF-038</x:v>
      </x:c>
      <x:c r="B921" s="56" t="str">
        <x:v>KB018</x:v>
      </x:c>
      <x:c r="C921" s="56" t="str">
        <x:v>Reddit — sensitive-skin experiences</x:v>
      </x:c>
      <x:c r="D921" s="56" t="str">
        <x:v>Sensitive-skin discussion included both soothing success and irritation/no-effect reports.</x:v>
      </x:c>
      <x:c r="E921" s="56" t="str">
        <x:v>Reddit r/AsianBeauty</x:v>
      </x:c>
      <x:c r="F921" s="56" t="str">
        <x:v>https://www.reddit.com/r/AsianBeauty/comments/hvl9am</x:v>
      </x:c>
      <x:c r="G921" s="56" t="str">
        <x:v>Consumer Forum</x:v>
      </x:c>
      <x:c r="H921" s="56"/>
      <x:c r="I921" s="56" t="str">
        <x:v>2026-08-01</x:v>
      </x:c>
      <x:c r="J921" s="56" t="str">
        <x:v>Anecdotal Consumer Evidence</x:v>
      </x:c>
      <x:c r="K921" s="56" t="str">
        <x:v>Low</x:v>
      </x:c>
      <x:c r="L921" s="56" t="str">
        <x:v>Yes</x:v>
      </x:c>
      <x:c r="M921" s="56"/>
      <x:c r="N921" s="56" t="str">
        <x:v>No causality inference.</x:v>
      </x:c>
      <x:c r="O921" s="56" t="str">
        <x:v>Codex</x:v>
      </x:c>
    </x:row>
    <x:row r="922" ht="120" customHeight="1">
      <x:c r="A922" s="56" t="str">
        <x:v>SRC-IMF-039</x:v>
      </x:c>
      <x:c r="B922" s="56" t="str">
        <x:v>KB018</x:v>
      </x:c>
      <x:c r="C922" s="56" t="str">
        <x:v>Reddit — mixed Mugwort Essence</x:v>
      </x:c>
      <x:c r="D922" s="56" t="str">
        <x:v>Users split between calming benefit and no effect, irritation or herbal-sensory dislike.</x:v>
      </x:c>
      <x:c r="E922" s="56" t="str">
        <x:v>Reddit r/AsianBeauty</x:v>
      </x:c>
      <x:c r="F922" s="56" t="str">
        <x:v>https://www.reddit.com/r/AsianBeauty/comments/jwvfei</x:v>
      </x:c>
      <x:c r="G922" s="56" t="str">
        <x:v>Consumer Forum</x:v>
      </x:c>
      <x:c r="H922" s="56"/>
      <x:c r="I922" s="56" t="str">
        <x:v>2026-08-01</x:v>
      </x:c>
      <x:c r="J922" s="56" t="str">
        <x:v>Anecdotal Consumer Evidence</x:v>
      </x:c>
      <x:c r="K922" s="56" t="str">
        <x:v>Low-Medium</x:v>
      </x:c>
      <x:c r="L922" s="56" t="str">
        <x:v>Yes</x:v>
      </x:c>
      <x:c r="M922" s="56"/>
      <x:c r="N922" s="56" t="str">
        <x:v>Self-selected and version-dependent.</x:v>
      </x:c>
      <x:c r="O922" s="56" t="str">
        <x:v>Codex</x:v>
      </x:c>
    </x:row>
    <x:row r="923" ht="120" customHeight="1">
      <x:c r="A923" s="56" t="str">
        <x:v>SRC-IMF-040</x:v>
      </x:c>
      <x:c r="B923" s="56" t="str">
        <x:v>KB018</x:v>
      </x:c>
      <x:c r="C923" s="56" t="str">
        <x:v>Reddit — Mugwort reformulation</x:v>
      </x:c>
      <x:c r="D923" s="56" t="str">
        <x:v>Consumers discussed formula/packaging change and 160-to-150 mL transition.</x:v>
      </x:c>
      <x:c r="E923" s="56" t="str">
        <x:v>Reddit r/AsianBeauty</x:v>
      </x:c>
      <x:c r="F923" s="56" t="str">
        <x:v>https://www.reddit.com/r/AsianBeauty/comments/1lm5sl0</x:v>
      </x:c>
      <x:c r="G923" s="56" t="str">
        <x:v>Consumer Forum</x:v>
      </x:c>
      <x:c r="H923" s="56"/>
      <x:c r="I923" s="56" t="str">
        <x:v>2026-08-01</x:v>
      </x:c>
      <x:c r="J923" s="56" t="str">
        <x:v>Version-Risk Signal</x:v>
      </x:c>
      <x:c r="K923" s="56" t="str">
        <x:v>Medium</x:v>
      </x:c>
      <x:c r="L923" s="56" t="str">
        <x:v>Yes</x:v>
      </x:c>
      <x:c r="M923" s="56"/>
      <x:c r="N923" s="56" t="str">
        <x:v>Verify current sell sheet, INCI, UPC and net contents.</x:v>
      </x:c>
      <x:c r="O923" s="56" t="str">
        <x:v>Codex</x:v>
      </x:c>
    </x:row>
    <x:row r="924" ht="120" customHeight="1">
      <x:c r="A924" s="56" t="str">
        <x:v>SRC-IMF-041</x:v>
      </x:c>
      <x:c r="B924" s="56" t="str">
        <x:v>KB018</x:v>
      </x:c>
      <x:c r="C924" s="56" t="str">
        <x:v>Reddit — mask redesign</x:v>
      </x:c>
      <x:c r="D924" s="56" t="str">
        <x:v>Consumers discussed mask redesign, clearance and roughly 120-to-70 g change.</x:v>
      </x:c>
      <x:c r="E924" s="56" t="str">
        <x:v>Reddit r/AsianBeauty</x:v>
      </x:c>
      <x:c r="F924" s="56" t="str">
        <x:v>https://www.reddit.com/r/AsianBeauty/comments/1s09irn/im_from_redesigning_their_masks_major_clearance/</x:v>
      </x:c>
      <x:c r="G924" s="56" t="str">
        <x:v>Consumer Forum</x:v>
      </x:c>
      <x:c r="H924" s="56"/>
      <x:c r="I924" s="56" t="str">
        <x:v>2026-08-01</x:v>
      </x:c>
      <x:c r="J924" s="56" t="str">
        <x:v>Version / Value-Risk Signal</x:v>
      </x:c>
      <x:c r="K924" s="56" t="str">
        <x:v>Medium</x:v>
      </x:c>
      <x:c r="L924" s="56" t="str">
        <x:v>Yes</x:v>
      </x:c>
      <x:c r="M924" s="56"/>
      <x:c r="N924" s="56" t="str">
        <x:v>Confirm exact current formula and net content.</x:v>
      </x:c>
      <x:c r="O924" s="56" t="str">
        <x:v>Codex</x:v>
      </x:c>
    </x:row>
    <x:row r="925" ht="120" customHeight="1">
      <x:c r="A925" s="56" t="str">
        <x:v>SRC-IMF-042</x:v>
      </x:c>
      <x:c r="B925" s="56" t="str">
        <x:v>KB018</x:v>
      </x:c>
      <x:c r="C925" s="56" t="str">
        <x:v>Competitor — ANUA Rice Toner</x:v>
      </x:c>
      <x:c r="D925" s="56" t="str">
        <x:v>Ulta displayed ANUA Rice 70 Glow Milky Toner 250 mL at $21 and 4.4/213.</x:v>
      </x:c>
      <x:c r="E925" s="56" t="str">
        <x:v>Ulta / ANUA</x:v>
      </x:c>
      <x:c r="F925" s="56" t="str">
        <x:v>https://www.ulta.com/p/rice-70-glow-milky-toner-pimprod2048932?sku=2634193</x:v>
      </x:c>
      <x:c r="G925" s="56" t="str">
        <x:v>Authorized Competitor Retailer</x:v>
      </x:c>
      <x:c r="H925" s="56"/>
      <x:c r="I925" s="56" t="str">
        <x:v>2026-08-01</x:v>
      </x:c>
      <x:c r="J925" s="56" t="str">
        <x:v>Verified Competitor Fact</x:v>
      </x:c>
      <x:c r="K925" s="56" t="str">
        <x:v>High</x:v>
      </x:c>
      <x:c r="L925" s="56" t="str">
        <x:v>Yes</x:v>
      </x:c>
      <x:c r="M925" s="56"/>
      <x:c r="N925" s="56" t="str">
        <x:v>Price/reviews change.</x:v>
      </x:c>
      <x:c r="O925" s="56" t="str">
        <x:v>Codex</x:v>
      </x:c>
    </x:row>
    <x:row r="926" ht="120" customHeight="1">
      <x:c r="A926" s="56" t="str">
        <x:v>SRC-IMF-043</x:v>
      </x:c>
      <x:c r="B926" s="56" t="str">
        <x:v>KB018</x:v>
      </x:c>
      <x:c r="C926" s="56" t="str">
        <x:v>Competitor — TIRTIR Milk Skin Toner</x:v>
      </x:c>
      <x:c r="D926" s="56" t="str">
        <x:v>Ulta displayed 150 mL at $25 and 4.7/28.</x:v>
      </x:c>
      <x:c r="E926" s="56" t="str">
        <x:v>Ulta / TIRTIR</x:v>
      </x:c>
      <x:c r="F926" s="56" t="str">
        <x:v>https://www.ulta.com/p/milk-skin-toner-pimprod2053385?sku=2643811</x:v>
      </x:c>
      <x:c r="G926" s="56" t="str">
        <x:v>Authorized Competitor Retailer</x:v>
      </x:c>
      <x:c r="H926" s="56"/>
      <x:c r="I926" s="56" t="str">
        <x:v>2026-08-01</x:v>
      </x:c>
      <x:c r="J926" s="56" t="str">
        <x:v>Verified Competitor Fact</x:v>
      </x:c>
      <x:c r="K926" s="56" t="str">
        <x:v>High</x:v>
      </x:c>
      <x:c r="L926" s="56" t="str">
        <x:v>Yes</x:v>
      </x:c>
      <x:c r="M926" s="56"/>
      <x:c r="N926" s="56" t="str">
        <x:v>Price/reviews change.</x:v>
      </x:c>
      <x:c r="O926" s="56" t="str">
        <x:v>Codex</x:v>
      </x:c>
    </x:row>
    <x:row r="927" ht="120" customHeight="1">
      <x:c r="A927" s="56" t="str">
        <x:v>SRC-IMF-044</x:v>
      </x:c>
      <x:c r="B927" s="56" t="str">
        <x:v>KB018</x:v>
      </x:c>
      <x:c r="C927" s="56" t="str">
        <x:v>Competitor — Hanyul Artemisia Toner</x:v>
      </x:c>
      <x:c r="D927" s="56" t="str">
        <x:v>Sephora displayed 150 mL at $41 with 144 reviews and strong hydration/redness/soothing tags.</x:v>
      </x:c>
      <x:c r="E927" s="56" t="str">
        <x:v>Sephora / Hanyul</x:v>
      </x:c>
      <x:c r="F927" s="56" t="str">
        <x:v>https://www.sephora.com/product/artemisia-soothing-toner-with-centella-asiatica-panthenol-P516743</x:v>
      </x:c>
      <x:c r="G927" s="56" t="str">
        <x:v>Authorized Competitor Retailer</x:v>
      </x:c>
      <x:c r="H927" s="56"/>
      <x:c r="I927" s="56" t="str">
        <x:v>2026-08-01</x:v>
      </x:c>
      <x:c r="J927" s="56" t="str">
        <x:v>Verified Competitor Fact</x:v>
      </x:c>
      <x:c r="K927" s="56" t="str">
        <x:v>High</x:v>
      </x:c>
      <x:c r="L927" s="56" t="str">
        <x:v>Yes</x:v>
      </x:c>
      <x:c r="M927" s="56"/>
      <x:c r="N927" s="56" t="str">
        <x:v>Price/reviews change.</x:v>
      </x:c>
      <x:c r="O927" s="56" t="str">
        <x:v>Codex</x:v>
      </x:c>
    </x:row>
    <x:row r="928" ht="120" customHeight="1">
      <x:c r="A928" s="56" t="str">
        <x:v>SRC-IMF-045</x:v>
      </x:c>
      <x:c r="B928" s="56" t="str">
        <x:v>KB018</x:v>
      </x:c>
      <x:c r="C928" s="56" t="str">
        <x:v>Competitor — SKIN1004 Probio-Cica Cream</x:v>
      </x:c>
      <x:c r="D928" s="56" t="str">
        <x:v>Ulta K-Beauty moisturizer results displayed $30 and 4.8/52.</x:v>
      </x:c>
      <x:c r="E928" s="56" t="str">
        <x:v>Ulta / SKIN1004</x:v>
      </x:c>
      <x:c r="F928" s="56" t="str">
        <x:v>https://www.ulta.com/shop/k-beauty/skin-care/moisturizers?special+offer=bmsm</x:v>
      </x:c>
      <x:c r="G928" s="56" t="str">
        <x:v>Authorized Competitor Retailer</x:v>
      </x:c>
      <x:c r="H928" s="56"/>
      <x:c r="I928" s="56" t="str">
        <x:v>2026-08-01</x:v>
      </x:c>
      <x:c r="J928" s="56" t="str">
        <x:v>Verified Competitor Fact</x:v>
      </x:c>
      <x:c r="K928" s="56" t="str">
        <x:v>Medium-High</x:v>
      </x:c>
      <x:c r="L928" s="56" t="str">
        <x:v>Yes</x:v>
      </x:c>
      <x:c r="M928" s="56"/>
      <x:c r="N928" s="56" t="str">
        <x:v>Category page; direct SKU page should be captured before negotiation.</x:v>
      </x:c>
      <x:c r="O928" s="56" t="str">
        <x:v>Codex</x:v>
      </x:c>
    </x:row>
    <x:row r="929" ht="120" customHeight="1">
      <x:c r="A929" s="56" t="str">
        <x:v>SRC-IMF-046</x:v>
      </x:c>
      <x:c r="B929" s="56" t="str">
        <x:v>KB018</x:v>
      </x:c>
      <x:c r="C929" s="56" t="str">
        <x:v>Competitor — Beauty of Joseon mask</x:v>
      </x:c>
      <x:c r="D929" s="56" t="str">
        <x:v>Sephora displayed Ground Rice and Honey Glow Mask 150 mL at $18 and 111 reviews.</x:v>
      </x:c>
      <x:c r="E929" s="56" t="str">
        <x:v>Sephora / Beauty of Joseon</x:v>
      </x:c>
      <x:c r="F929" s="56" t="str">
        <x:v>https://www.sephora.com/buy/face-masks-for-glowing-skin</x:v>
      </x:c>
      <x:c r="G929" s="56" t="str">
        <x:v>Authorized Competitor Retailer</x:v>
      </x:c>
      <x:c r="H929" s="56"/>
      <x:c r="I929" s="56" t="str">
        <x:v>2026-08-01</x:v>
      </x:c>
      <x:c r="J929" s="56" t="str">
        <x:v>Verified Competitor Fact</x:v>
      </x:c>
      <x:c r="K929" s="56" t="str">
        <x:v>High</x:v>
      </x:c>
      <x:c r="L929" s="56" t="str">
        <x:v>Yes</x:v>
      </x:c>
      <x:c r="M929" s="56"/>
      <x:c r="N929" s="56" t="str">
        <x:v>Price/reviews change.</x:v>
      </x:c>
      <x:c r="O929" s="56" t="str">
        <x:v>Codex</x:v>
      </x:c>
    </x:row>
    <x:row r="930" ht="120" customHeight="1">
      <x:c r="A930" s="56" t="str">
        <x:v>SRC-IMF-047</x:v>
      </x:c>
      <x:c r="B930" s="56" t="str">
        <x:v>KB018</x:v>
      </x:c>
      <x:c r="C930" s="56" t="str">
        <x:v>FDA — MoCRA registration/listing</x:v>
      </x:c>
      <x:c r="D930" s="56" t="str">
        <x:v>FDA describes cosmetic facility registration and product-listing obligations and update schedules.</x:v>
      </x:c>
      <x:c r="E930" s="56" t="str">
        <x:v>U.S. FDA</x:v>
      </x:c>
      <x:c r="F930" s="56" t="str">
        <x:v>https://www.fda.gov/cosmetics/registration-listing-cosmetic-product-facilities-and-products</x:v>
      </x:c>
      <x:c r="G930" s="56" t="str">
        <x:v>Regulator</x:v>
      </x:c>
      <x:c r="H930" s="56"/>
      <x:c r="I930" s="56" t="str">
        <x:v>2026-08-01</x:v>
      </x:c>
      <x:c r="J930" s="56" t="str">
        <x:v>Verified Regulatory Requirement</x:v>
      </x:c>
      <x:c r="K930" s="56" t="str">
        <x:v>High</x:v>
      </x:c>
      <x:c r="L930" s="56" t="str">
        <x:v>Yes</x:v>
      </x:c>
      <x:c r="M930" s="56"/>
      <x:c r="N930" s="56" t="str">
        <x:v>Registration/listing is not FDA approval.</x:v>
      </x:c>
      <x:c r="O930" s="56" t="str">
        <x:v>Codex</x:v>
      </x:c>
    </x:row>
    <x:row r="931" ht="120" customHeight="1">
      <x:c r="A931" s="56" t="str">
        <x:v>SRC-IMF-048</x:v>
      </x:c>
      <x:c r="B931" s="56" t="str">
        <x:v>KB018</x:v>
      </x:c>
      <x:c r="C931" s="56" t="str">
        <x:v>FDA — importing cosmetics</x:v>
      </x:c>
      <x:c r="D931" s="56" t="str">
        <x:v>Imported cosmetics must comply with U.S. safety, labeling and claims requirements and may be refused if adulterated or misbranded.</x:v>
      </x:c>
      <x:c r="E931" s="56" t="str">
        <x:v>U.S. FDA</x:v>
      </x:c>
      <x:c r="F931" s="56" t="str">
        <x:v>https://www.fda.gov/industry/importing-fda-regulated-products/importing-cosmetics</x:v>
      </x:c>
      <x:c r="G931" s="56" t="str">
        <x:v>Regulator</x:v>
      </x:c>
      <x:c r="H931" s="56"/>
      <x:c r="I931" s="56" t="str">
        <x:v>2026-08-01</x:v>
      </x:c>
      <x:c r="J931" s="56" t="str">
        <x:v>Verified Import Requirement</x:v>
      </x:c>
      <x:c r="K931" s="56" t="str">
        <x:v>High</x:v>
      </x:c>
      <x:c r="L931" s="56" t="str">
        <x:v>Yes</x:v>
      </x:c>
      <x:c r="M931" s="56"/>
      <x:c r="N931" s="56" t="str">
        <x:v>Confirm importer, labels, formulas, claims and entry data.</x:v>
      </x:c>
      <x:c r="O931" s="56" t="str">
        <x:v>Codex</x:v>
      </x:c>
    </x:row>
    <x:row r="932" ht="120" customHeight="1">
      <x:c r="A932" s="56" t="str">
        <x:v>SRC-IMF-049</x:v>
      </x:c>
      <x:c r="B932" s="56" t="str">
        <x:v>KB018</x:v>
      </x:c>
      <x:c r="C932" s="56" t="str">
        <x:v>FDA — importer/claims obligations</x:v>
      </x:c>
      <x:c r="D932" s="56" t="str">
        <x:v>Therapeutic or structure/function claims can make cosmetics drugs; importers are responsible for compliance.</x:v>
      </x:c>
      <x:c r="E932" s="56" t="str">
        <x:v>U.S. FDA</x:v>
      </x:c>
      <x:c r="F932" s="56" t="str">
        <x:v>https://www.fda.gov/cosmetics/cosmetics-international-activities/cosmetics-importers</x:v>
      </x:c>
      <x:c r="G932" s="56" t="str">
        <x:v>Regulator</x:v>
      </x:c>
      <x:c r="H932" s="56"/>
      <x:c r="I932" s="56" t="str">
        <x:v>2026-08-01</x:v>
      </x:c>
      <x:c r="J932" s="56" t="str">
        <x:v>Verified Claims Requirement</x:v>
      </x:c>
      <x:c r="K932" s="56" t="str">
        <x:v>High</x:v>
      </x:c>
      <x:c r="L932" s="56" t="str">
        <x:v>Yes</x:v>
      </x:c>
      <x:c r="M932" s="56"/>
      <x:c r="N932" s="56" t="str">
        <x:v>Review redness, inflammation, repair, detox, collagen and penetration claims.</x:v>
      </x:c>
      <x:c r="O932" s="56" t="str">
        <x:v>Codex</x:v>
      </x:c>
    </x:row>
    <x:row r="933" ht="120" customHeight="1">
      <x:c r="A933" s="56" t="str">
        <x:v>SRC-IMF-050</x:v>
      </x:c>
      <x:c r="B933" s="56" t="str">
        <x:v>KB018</x:v>
      </x:c>
      <x:c r="C933" s="56" t="str">
        <x:v>DailyMed scoped I’m From search</x:v>
      </x:c>
      <x:c r="D933" s="56" t="str">
        <x:v>Targeted DailyMed search did not identify a current I’m From-branded OTC sunscreen label in this pass.</x:v>
      </x:c>
      <x:c r="E933" s="56" t="str">
        <x:v>DailyMed</x:v>
      </x:c>
      <x:c r="F933" s="56" t="str">
        <x:v>https://dailymed.nlm.nih.gov/dailymed/search.cfm?query=I%27M%20FROM</x:v>
      </x:c>
      <x:c r="G933" s="56" t="str">
        <x:v>Official Drug Label Database Search</x:v>
      </x:c>
      <x:c r="H933" s="56"/>
      <x:c r="I933" s="56" t="str">
        <x:v>2026-08-01</x:v>
      </x:c>
      <x:c r="J933" s="56" t="str">
        <x:v>Scoped Negative Evidence</x:v>
      </x:c>
      <x:c r="K933" s="56" t="str">
        <x:v>Medium</x:v>
      </x:c>
      <x:c r="L933" s="56" t="str">
        <x:v>Yes</x:v>
      </x:c>
      <x:c r="M933" s="56"/>
      <x:c r="N933" s="56" t="str">
        <x:v>Not a legal clearance; repeat exact product/NDC/manufacturer search before sourcing SPF.</x:v>
      </x:c>
      <x:c r="O933" s="56" t="str">
        <x:v>Codex</x:v>
      </x:c>
    </x:row>
    <x:row r="934" ht="120" customHeight="1">
      <x:c r="A934" s="56" t="str">
        <x:v>SRC-IMF-051</x:v>
      </x:c>
      <x:c r="B934" s="56" t="str">
        <x:v>KB018</x:v>
      </x:c>
      <x:c r="C934" s="56" t="str">
        <x:v>U.S. price dispersion analysis</x:v>
      </x:c>
      <x:c r="D934" s="56" t="str">
        <x:v>Rice Toner showed a wide spread across Amazon $14.63, TikTok $17.97, iHerb $24.50, Target roughly $26.99-$32.99 and Ulta $28.</x:v>
      </x:c>
      <x:c r="E934" s="56" t="str">
        <x:v>Analyst Synthesis</x:v>
      </x:c>
      <x:c r="F934" s="56" t="str">
        <x:v>https://www.ulta.com/p/rice-toner-pimprod2051769?sku=2642147</x:v>
      </x:c>
      <x:c r="G934" s="56" t="str">
        <x:v>Multi-Channel Price Synthesis</x:v>
      </x:c>
      <x:c r="H934" s="56"/>
      <x:c r="I934" s="56" t="str">
        <x:v>2026-08-01</x:v>
      </x:c>
      <x:c r="J934" s="56" t="str">
        <x:v>Channel-Conflict Risk</x:v>
      </x:c>
      <x:c r="K934" s="56" t="str">
        <x:v>High</x:v>
      </x:c>
      <x:c r="L934" s="56" t="str">
        <x:v>Yes</x:v>
      </x:c>
      <x:c r="M934" s="56"/>
      <x:c r="N934" s="56" t="str">
        <x:v>Dynamic snapshot; require MAP/promotion architecture.</x:v>
      </x:c>
      <x:c r="O934" s="56" t="str">
        <x:v>Codex</x:v>
      </x:c>
    </x:row>
    <x:row r="935" ht="120" customHeight="1">
      <x:c r="A935" s="56" t="str">
        <x:v>SRC-IMF-052</x:v>
      </x:c>
      <x:c r="B935" s="56" t="str">
        <x:v>KB018</x:v>
      </x:c>
      <x:c r="C935" s="56" t="str">
        <x:v>Official contact route</x:v>
      </x:c>
      <x:c r="D935" s="56" t="str">
        <x:v>Official footer provides imfromofficial@gmail.com for marketing partnerships and LAB &amp; Company business details.</x:v>
      </x:c>
      <x:c r="E935" s="56" t="str">
        <x:v>I'm From Official About</x:v>
      </x:c>
      <x:c r="F935" s="56" t="str">
        <x:v>https://m.imfrom.co.kr/brand/brand_about.html</x:v>
      </x:c>
      <x:c r="G935" s="56" t="str">
        <x:v>Official Brand Contact</x:v>
      </x:c>
      <x:c r="H935" s="56"/>
      <x:c r="I935" s="56" t="str">
        <x:v>2026-08-01</x:v>
      </x:c>
      <x:c r="J935" s="56" t="str">
        <x:v>Verified Contact Route</x:v>
      </x:c>
      <x:c r="K935" s="56" t="str">
        <x:v>High</x:v>
      </x:c>
      <x:c r="L935" s="56" t="str">
        <x:v>Yes</x:v>
      </x:c>
      <x:c r="M935" s="56"/>
      <x:c r="N935" s="56" t="str">
        <x:v>Confirm it routes U.S. wholesale/export inquiries before sending documents.</x:v>
      </x:c>
      <x:c r="O935" s="56" t="str">
        <x:v>Codex</x:v>
      </x:c>
    </x:row>
    <x:row r="936" ht="124" customHeight="1">
      <x:c r="A936" s="56" t="str">
        <x:v>SRC-DKL-001</x:v>
      </x:c>
      <x:c r="B936" s="56" t="str">
        <x:v>KB019</x:v>
      </x:c>
      <x:c r="C936" s="56" t="str">
        <x:v>Official U.S. website and operator</x:v>
      </x:c>
      <x:c r="D936" s="56" t="str">
        <x:v>klairs.com is the official U.S. Dear Klairs store; site terms identify WISHCOMPANY US CORP as operator.</x:v>
      </x:c>
      <x:c r="E936" s="56" t="str">
        <x:v>Dear Klairs U.S.</x:v>
      </x:c>
      <x:c r="F936" s="56" t="str">
        <x:v>https://www.klairs.com/pages/official-dear-klairs-us-store-guide</x:v>
      </x:c>
      <x:c r="G936" s="56" t="str">
        <x:v>Official Brand Site</x:v>
      </x:c>
      <x:c r="H936" s="56"/>
      <x:c r="I936" s="56" t="str">
        <x:v>2026-08-01</x:v>
      </x:c>
      <x:c r="J936" s="56" t="str">
        <x:v>Verified Official Website</x:v>
      </x:c>
      <x:c r="K936" s="56" t="str">
        <x:v>High</x:v>
      </x:c>
      <x:c r="L936" s="56" t="str">
        <x:v>Yes</x:v>
      </x:c>
      <x:c r="M936" s="56"/>
      <x:c r="N936" s="56" t="str">
        <x:v>Direct official U.S. store evidence.</x:v>
      </x:c>
      <x:c r="O936" s="56" t="str">
        <x:v>Codex</x:v>
      </x:c>
    </x:row>
    <x:row r="937" ht="124" customHeight="1">
      <x:c r="A937" s="56" t="str">
        <x:v>SRC-DKL-002</x:v>
      </x:c>
      <x:c r="B937" s="56" t="str">
        <x:v>KB019</x:v>
      </x:c>
      <x:c r="C937" s="56" t="str">
        <x:v>Global brand identity and category</x:v>
      </x:c>
      <x:c r="D937" s="56" t="str">
        <x:v>Official global site describes a Seoul skincare brand focused on functional sensitive-skin products since 2010.</x:v>
      </x:c>
      <x:c r="E937" s="56" t="str">
        <x:v>Dear Klairs Global</x:v>
      </x:c>
      <x:c r="F937" s="56" t="str">
        <x:v>https://www.klairscosmetics.com/about-us/</x:v>
      </x:c>
      <x:c r="G937" s="56" t="str">
        <x:v>Official Brand Site</x:v>
      </x:c>
      <x:c r="H937" s="56"/>
      <x:c r="I937" s="56" t="str">
        <x:v>2026-08-01</x:v>
      </x:c>
      <x:c r="J937" s="56" t="str">
        <x:v>Verified Category / Positioning</x:v>
      </x:c>
      <x:c r="K937" s="56" t="str">
        <x:v>High</x:v>
      </x:c>
      <x:c r="L937" s="56" t="str">
        <x:v>Yes</x:v>
      </x:c>
      <x:c r="M937" s="56"/>
      <x:c r="N937" s="56" t="str">
        <x:v>Cruelty-free/vegan claims are brand statements; certification scope should be confirmed.</x:v>
      </x:c>
      <x:c r="O937" s="56" t="str">
        <x:v>Codex</x:v>
      </x:c>
    </x:row>
    <x:row r="938" ht="124" customHeight="1">
      <x:c r="A938" s="56" t="str">
        <x:v>SRC-DKL-003</x:v>
      </x:c>
      <x:c r="B938" s="56" t="str">
        <x:v>KB019</x:v>
      </x:c>
      <x:c r="C938" s="56" t="str">
        <x:v>Parent company and chronology</x:v>
      </x:c>
      <x:c r="D938" s="56" t="str">
        <x:v>Wishcompany says it was established and launched Dear Klairs in 2010 and surpassed KRW 70B company-wide annual revenue in 2023.</x:v>
      </x:c>
      <x:c r="E938" s="56" t="str">
        <x:v>WISHCOMPANY Inc.</x:v>
      </x:c>
      <x:c r="F938" s="56" t="str">
        <x:v>https://www.wishcompany.net/eng/about/</x:v>
      </x:c>
      <x:c r="G938" s="56" t="str">
        <x:v>Official Corporate Site</x:v>
      </x:c>
      <x:c r="H938" s="56"/>
      <x:c r="I938" s="56" t="str">
        <x:v>2026-08-01</x:v>
      </x:c>
      <x:c r="J938" s="56" t="str">
        <x:v>Verified Parent / Company-Reported Scale</x:v>
      </x:c>
      <x:c r="K938" s="56" t="str">
        <x:v>High</x:v>
      </x:c>
      <x:c r="L938" s="56" t="str">
        <x:v>Yes</x:v>
      </x:c>
      <x:c r="M938" s="56"/>
      <x:c r="N938" s="56" t="str">
        <x:v>Revenue is company-wide, not Dear Klairs-only.</x:v>
      </x:c>
      <x:c r="O938" s="56" t="str">
        <x:v>Codex</x:v>
      </x:c>
    </x:row>
    <x:row r="939" ht="124" customHeight="1">
      <x:c r="A939" s="56" t="str">
        <x:v>SRC-DKL-004</x:v>
      </x:c>
      <x:c r="B939" s="56" t="str">
        <x:v>KB019</x:v>
      </x:c>
      <x:c r="C939" s="56" t="str">
        <x:v>U.S. legal-site operator</x:v>
      </x:c>
      <x:c r="D939" s="56" t="str">
        <x:v>U.S. store terms state the site is operated by WISHCOMPANY US CORP and governed by Delaware law.</x:v>
      </x:c>
      <x:c r="E939" s="56" t="str">
        <x:v>Dear Klairs U.S.</x:v>
      </x:c>
      <x:c r="F939" s="56" t="str">
        <x:v>https://www.klairs.com/pages/terms-conditions</x:v>
      </x:c>
      <x:c r="G939" s="56" t="str">
        <x:v>Official Terms</x:v>
      </x:c>
      <x:c r="H939" s="56"/>
      <x:c r="I939" s="56" t="str">
        <x:v>2026-08-01</x:v>
      </x:c>
      <x:c r="J939" s="56" t="str">
        <x:v>Verified U.S. Operator</x:v>
      </x:c>
      <x:c r="K939" s="56" t="str">
        <x:v>High</x:v>
      </x:c>
      <x:c r="L939" s="56" t="str">
        <x:v>Yes</x:v>
      </x:c>
      <x:c r="M939" s="56"/>
      <x:c r="N939" s="56" t="str">
        <x:v>Contracting, importer and responsible-person roles still require documents.</x:v>
      </x:c>
      <x:c r="O939" s="56" t="str">
        <x:v>Codex</x:v>
      </x:c>
    </x:row>
    <x:row r="940" ht="124" customHeight="1">
      <x:c r="A940" s="56" t="str">
        <x:v>SRC-DKL-005</x:v>
      </x:c>
      <x:c r="B940" s="56" t="str">
        <x:v>KB019</x:v>
      </x:c>
      <x:c r="C940" s="56" t="str">
        <x:v>U.S. wholesale program</x:v>
      </x:c>
      <x:c r="D940" s="56" t="str">
        <x:v>Official B2B page offers U.S. wholesale, spa/professional and gifting programs, U.S. fulfillment, volume tiers and net terms for qualified accounts.</x:v>
      </x:c>
      <x:c r="E940" s="56" t="str">
        <x:v>Dear Klairs U.S.</x:v>
      </x:c>
      <x:c r="F940" s="56" t="str">
        <x:v>https://www.klairs.com/pages/contact</x:v>
      </x:c>
      <x:c r="G940" s="56" t="str">
        <x:v>Official B2B Page</x:v>
      </x:c>
      <x:c r="H940" s="56"/>
      <x:c r="I940" s="56" t="str">
        <x:v>2026-08-01</x:v>
      </x:c>
      <x:c r="J940" s="56" t="str">
        <x:v>Verified Commercial Route</x:v>
      </x:c>
      <x:c r="K940" s="56" t="str">
        <x:v>High</x:v>
      </x:c>
      <x:c r="L940" s="56" t="str">
        <x:v>Yes</x:v>
      </x:c>
      <x:c r="M940" s="56"/>
      <x:c r="N940" s="56" t="str">
        <x:v>MOQ, price, margin and exact rights are disclosed only after inquiry.</x:v>
      </x:c>
      <x:c r="O940" s="56" t="str">
        <x:v>Codex</x:v>
      </x:c>
    </x:row>
    <x:row r="941" ht="124" customHeight="1">
      <x:c r="A941" s="56" t="str">
        <x:v>SRC-DKL-006</x:v>
      </x:c>
      <x:c r="B941" s="56" t="str">
        <x:v>KB019</x:v>
      </x:c>
      <x:c r="C941" s="56" t="str">
        <x:v>Core verification — Official Website</x:v>
      </x:c>
      <x:c r="D941" s="56" t="str">
        <x:v>Source URL https://klairs.com resolves to the current official U.S. store; global brand and parent sites corroborate control.</x:v>
      </x:c>
      <x:c r="E941" s="56" t="str">
        <x:v>Dear Klairs / WISHCOMPANY</x:v>
      </x:c>
      <x:c r="F941" s="56" t="str">
        <x:v>https://www.klairs.com/</x:v>
      </x:c>
      <x:c r="G941" s="56" t="str">
        <x:v>Multi-Source Official Verification</x:v>
      </x:c>
      <x:c r="H941" s="56"/>
      <x:c r="I941" s="56" t="str">
        <x:v>2026-08-01</x:v>
      </x:c>
      <x:c r="J941" s="56" t="str">
        <x:v>Verified</x:v>
      </x:c>
      <x:c r="K941" s="56" t="str">
        <x:v>High</x:v>
      </x:c>
      <x:c r="L941" s="56" t="str">
        <x:v>Yes</x:v>
      </x:c>
      <x:c r="M941" s="56"/>
      <x:c r="N941" s="56" t="str">
        <x:v>Preserve source field; verified result records the full U.S./global site structure.</x:v>
      </x:c>
      <x:c r="O941" s="56" t="str">
        <x:v>Codex</x:v>
      </x:c>
    </x:row>
    <x:row r="942" ht="124" customHeight="1">
      <x:c r="A942" s="56" t="str">
        <x:v>SRC-DKL-007</x:v>
      </x:c>
      <x:c r="B942" s="56" t="str">
        <x:v>KB019</x:v>
      </x:c>
      <x:c r="C942" s="56" t="str">
        <x:v>Core verification — Primary Category</x:v>
      </x:c>
      <x:c r="D942" s="56" t="str">
        <x:v>Skincare is the verified primary category across current U.S. and global product architecture.</x:v>
      </x:c>
      <x:c r="E942" s="56" t="str">
        <x:v>Dear Klairs</x:v>
      </x:c>
      <x:c r="F942" s="56" t="str">
        <x:v>https://www.klairs.com/collections/all</x:v>
      </x:c>
      <x:c r="G942" s="56" t="str">
        <x:v>Official Catalog</x:v>
      </x:c>
      <x:c r="H942" s="56"/>
      <x:c r="I942" s="56" t="str">
        <x:v>2026-08-01</x:v>
      </x:c>
      <x:c r="J942" s="56" t="str">
        <x:v>Verified</x:v>
      </x:c>
      <x:c r="K942" s="56" t="str">
        <x:v>High</x:v>
      </x:c>
      <x:c r="L942" s="56" t="str">
        <x:v>Yes</x:v>
      </x:c>
      <x:c r="M942" s="56"/>
      <x:c r="N942" s="56" t="str">
        <x:v>Sun care is a separate U.S. OTC diligence issue.</x:v>
      </x:c>
      <x:c r="O942" s="56" t="str">
        <x:v>Codex</x:v>
      </x:c>
    </x:row>
    <x:row r="943" ht="124" customHeight="1">
      <x:c r="A943" s="56" t="str">
        <x:v>SRC-DKL-008</x:v>
      </x:c>
      <x:c r="B943" s="56" t="str">
        <x:v>KB019</x:v>
      </x:c>
      <x:c r="C943" s="56" t="str">
        <x:v>Core verification — Awareness Factor</x:v>
      </x:c>
      <x:c r="D943" s="56" t="str">
        <x:v>Supple Preparation remains the anchor cult franchise, while Vitamin and Blue lines broaden awareness; cumulative-unit figures vary across official pages.</x:v>
      </x:c>
      <x:c r="E943" s="56" t="str">
        <x:v>Dear Klairs / Analyst Synthesis</x:v>
      </x:c>
      <x:c r="F943" s="56" t="str">
        <x:v>https://www.klairs.com/pages/contact</x:v>
      </x:c>
      <x:c r="G943" s="56" t="str">
        <x:v>Official Brand Claims + Synthesis</x:v>
      </x:c>
      <x:c r="H943" s="56"/>
      <x:c r="I943" s="56" t="str">
        <x:v>2026-08-01</x:v>
      </x:c>
      <x:c r="J943" s="56" t="str">
        <x:v>Verified with Qualification</x:v>
      </x:c>
      <x:c r="K943" s="56" t="str">
        <x:v>High</x:v>
      </x:c>
      <x:c r="L943" s="56" t="str">
        <x:v>Yes</x:v>
      </x:c>
      <x:c r="M943" s="56"/>
      <x:c r="N943" s="56" t="str">
        <x:v>B2B page reports 10M anchor toner; other pages show 5M, 8M or 9M contexts.</x:v>
      </x:c>
      <x:c r="O943" s="56" t="str">
        <x:v>Codex</x:v>
      </x:c>
    </x:row>
    <x:row r="944" ht="124" customHeight="1">
      <x:c r="A944" s="56" t="str">
        <x:v>SRC-DKL-009</x:v>
      </x:c>
      <x:c r="B944" s="56" t="str">
        <x:v>KB019</x:v>
      </x:c>
      <x:c r="C944" s="56" t="str">
        <x:v>Core verification — Amazon Sales Strength</x:v>
      </x:c>
      <x:c r="D944" s="56" t="str">
        <x:v>Three sampled hero listings showed 2K+, 1K+ and 1K+ bought/month with thousands of ratings and wishtrend/Amazon fulfillment.</x:v>
      </x:c>
      <x:c r="E944" s="56" t="str">
        <x:v>Amazon U.S. / Analyst Synthesis</x:v>
      </x:c>
      <x:c r="F944" s="56" t="str">
        <x:v>https://www.amazon.com/dp/B07B65NJLV</x:v>
      </x:c>
      <x:c r="G944" s="56" t="str">
        <x:v>Marketplace + Synthesis</x:v>
      </x:c>
      <x:c r="H944" s="56"/>
      <x:c r="I944" s="56" t="str">
        <x:v>2026-08-01</x:v>
      </x:c>
      <x:c r="J944" s="56" t="str">
        <x:v>Verified Strong</x:v>
      </x:c>
      <x:c r="K944" s="56" t="str">
        <x:v>High</x:v>
      </x:c>
      <x:c r="L944" s="56" t="str">
        <x:v>Yes</x:v>
      </x:c>
      <x:c r="M944" s="56"/>
      <x:c r="N944" s="56" t="str">
        <x:v>Dynamic platform displays, not audited sales.</x:v>
      </x:c>
      <x:c r="O944" s="56" t="str">
        <x:v>Codex</x:v>
      </x:c>
    </x:row>
    <x:row r="945" ht="124" customHeight="1">
      <x:c r="A945" s="56" t="str">
        <x:v>SRC-DKL-010</x:v>
      </x:c>
      <x:c r="B945" s="56" t="str">
        <x:v>KB019</x:v>
      </x:c>
      <x:c r="C945" s="56" t="str">
        <x:v>Official U.S. price and promotion environment</x:v>
      </x:c>
      <x:c r="D945" s="56" t="str">
        <x:v>Homepage displayed widespread 21%-96% discounts, including core Dear Klairs and other Wishcompany-portfolio products.</x:v>
      </x:c>
      <x:c r="E945" s="56" t="str">
        <x:v>Dear Klairs U.S.</x:v>
      </x:c>
      <x:c r="F945" s="56" t="str">
        <x:v>https://www.klairs.com/</x:v>
      </x:c>
      <x:c r="G945" s="56" t="str">
        <x:v>Official DTC Promotion Display</x:v>
      </x:c>
      <x:c r="H945" s="56"/>
      <x:c r="I945" s="56" t="str">
        <x:v>2026-08-01</x:v>
      </x:c>
      <x:c r="J945" s="56" t="str">
        <x:v>Channel-Conflict Risk</x:v>
      </x:c>
      <x:c r="K945" s="56" t="str">
        <x:v>High</x:v>
      </x:c>
      <x:c r="L945" s="56" t="str">
        <x:v>Yes</x:v>
      </x:c>
      <x:c r="M945" s="56"/>
      <x:c r="N945" s="56" t="str">
        <x:v>Dynamic; material for margin/MAP diligence.</x:v>
      </x:c>
      <x:c r="O945" s="56" t="str">
        <x:v>Codex</x:v>
      </x:c>
    </x:row>
    <x:row r="946" ht="124" customHeight="1">
      <x:c r="A946" s="56" t="str">
        <x:v>SRC-DKL-011</x:v>
      </x:c>
      <x:c r="B946" s="56" t="str">
        <x:v>KB019</x:v>
      </x:c>
      <x:c r="C946" s="56" t="str">
        <x:v>Official PDP — Unscented Toner</x:v>
      </x:c>
      <x:c r="D946" s="56" t="str">
        <x:v>Official PDP showed $18.99 versus $30, about 4.9/1,184 and brand-reported cumulative toner proof points.</x:v>
      </x:c>
      <x:c r="E946" s="56" t="str">
        <x:v>Dear Klairs U.S.</x:v>
      </x:c>
      <x:c r="F946" s="56" t="str">
        <x:v>https://www.klairs.com/products/supple-preparation-unscented-toner</x:v>
      </x:c>
      <x:c r="G946" s="56" t="str">
        <x:v>Official Product Page</x:v>
      </x:c>
      <x:c r="H946" s="56"/>
      <x:c r="I946" s="56" t="str">
        <x:v>2026-08-01</x:v>
      </x:c>
      <x:c r="J946" s="56" t="str">
        <x:v>Verified Product / First-Party Review Signal</x:v>
      </x:c>
      <x:c r="K946" s="56" t="str">
        <x:v>High</x:v>
      </x:c>
      <x:c r="L946" s="56" t="str">
        <x:v>Yes</x:v>
      </x:c>
      <x:c r="M946" s="56"/>
      <x:c r="N946" s="56" t="str">
        <x:v>Page modules report different 5M/9M figures; B2B page reports 10M.</x:v>
      </x:c>
      <x:c r="O946" s="56" t="str">
        <x:v>Codex</x:v>
      </x:c>
    </x:row>
    <x:row r="947" ht="124" customHeight="1">
      <x:c r="A947" s="56" t="str">
        <x:v>SRC-DKL-012</x:v>
      </x:c>
      <x:c r="B947" s="56" t="str">
        <x:v>KB019</x:v>
      </x:c>
      <x:c r="C947" s="56" t="str">
        <x:v>Official PDP — Vitamin Drop</x:v>
      </x:c>
      <x:c r="D947" s="56" t="str">
        <x:v>Official PDP showed 35 mL, 5% vitamin C, $16.10 versus $23 and brand-reported 3M bottles.</x:v>
      </x:c>
      <x:c r="E947" s="56" t="str">
        <x:v>Dear Klairs U.S.</x:v>
      </x:c>
      <x:c r="F947" s="56" t="str">
        <x:v>https://www.klairs.com/products/freshly-juiced-vitamin-drop</x:v>
      </x:c>
      <x:c r="G947" s="56" t="str">
        <x:v>Official Product Page</x:v>
      </x:c>
      <x:c r="H947" s="56"/>
      <x:c r="I947" s="56" t="str">
        <x:v>2026-08-01</x:v>
      </x:c>
      <x:c r="J947" s="56" t="str">
        <x:v>Verified Product / Brand-Reported Scale</x:v>
      </x:c>
      <x:c r="K947" s="56" t="str">
        <x:v>High</x:v>
      </x:c>
      <x:c r="L947" s="56" t="str">
        <x:v>Yes</x:v>
      </x:c>
      <x:c r="M947" s="56"/>
      <x:c r="N947" s="56" t="str">
        <x:v>Avoid medical or treatment language; confirm oxidation specification.</x:v>
      </x:c>
      <x:c r="O947" s="56" t="str">
        <x:v>Codex</x:v>
      </x:c>
    </x:row>
    <x:row r="948" ht="124" customHeight="1">
      <x:c r="A948" s="56" t="str">
        <x:v>SRC-DKL-013</x:v>
      </x:c>
      <x:c r="B948" s="56" t="str">
        <x:v>KB019</x:v>
      </x:c>
      <x:c r="C948" s="56" t="str">
        <x:v>Official PDP — Midnight Blue Cream</x:v>
      </x:c>
      <x:c r="D948" s="56" t="str">
        <x:v>Official PDP showed 60 g, $21.70 versus $31 and 1,323 published reviews.</x:v>
      </x:c>
      <x:c r="E948" s="56" t="str">
        <x:v>Dear Klairs U.S.</x:v>
      </x:c>
      <x:c r="F948" s="56" t="str">
        <x:v>https://www.klairs.com/products/midnight-blue-calming-cream</x:v>
      </x:c>
      <x:c r="G948" s="56" t="str">
        <x:v>Official Product Page</x:v>
      </x:c>
      <x:c r="H948" s="56"/>
      <x:c r="I948" s="56" t="str">
        <x:v>2026-08-01</x:v>
      </x:c>
      <x:c r="J948" s="56" t="str">
        <x:v>Verified Product / First-Party Review Signal</x:v>
      </x:c>
      <x:c r="K948" s="56" t="str">
        <x:v>High</x:v>
      </x:c>
      <x:c r="L948" s="56" t="str">
        <x:v>Yes</x:v>
      </x:c>
      <x:c r="M948" s="56"/>
      <x:c r="N948" s="56" t="str">
        <x:v>Cooling, redness and barrier claims require substantiation review.</x:v>
      </x:c>
      <x:c r="O948" s="56" t="str">
        <x:v>Codex</x:v>
      </x:c>
    </x:row>
    <x:row r="949" ht="124" customHeight="1">
      <x:c r="A949" s="56" t="str">
        <x:v>SRC-DKL-014</x:v>
      </x:c>
      <x:c r="B949" s="56" t="str">
        <x:v>KB019</x:v>
      </x:c>
      <x:c r="C949" s="56" t="str">
        <x:v>Official PDP — Rich Moist Cream</x:v>
      </x:c>
      <x:c r="D949" s="56" t="str">
        <x:v>Official PDP showed 80 g, $18.20 versus $26 and 817 published reviews.</x:v>
      </x:c>
      <x:c r="E949" s="56" t="str">
        <x:v>Dear Klairs U.S.</x:v>
      </x:c>
      <x:c r="F949" s="56" t="str">
        <x:v>https://www.klairs.com/products/rich-moist-soothing-cream</x:v>
      </x:c>
      <x:c r="G949" s="56" t="str">
        <x:v>Official Product Page</x:v>
      </x:c>
      <x:c r="H949" s="56"/>
      <x:c r="I949" s="56" t="str">
        <x:v>2026-08-01</x:v>
      </x:c>
      <x:c r="J949" s="56" t="str">
        <x:v>Verified Product / Formula-Transition Question</x:v>
      </x:c>
      <x:c r="K949" s="56" t="str">
        <x:v>High</x:v>
      </x:c>
      <x:c r="L949" s="56" t="str">
        <x:v>Yes</x:v>
      </x:c>
      <x:c r="M949" s="56"/>
      <x:c r="N949" s="56" t="str">
        <x:v>Current fragrance-free positioning conflicts with older marketplace ingredient text containing essential oils.</x:v>
      </x:c>
      <x:c r="O949" s="56" t="str">
        <x:v>Codex</x:v>
      </x:c>
    </x:row>
    <x:row r="950" ht="124" customHeight="1">
      <x:c r="A950" s="56" t="str">
        <x:v>SRC-DKL-015</x:v>
      </x:c>
      <x:c r="B950" s="56" t="str">
        <x:v>KB019</x:v>
      </x:c>
      <x:c r="C950" s="56" t="str">
        <x:v>Official PDP — Blue Youth Drop</x:v>
      </x:c>
      <x:c r="D950" s="56" t="str">
        <x:v>Official PDP showed 20/50 mL options, $29.99 versus $39.99 for the displayed option and about 4.9/453.</x:v>
      </x:c>
      <x:c r="E950" s="56" t="str">
        <x:v>Dear Klairs U.S.</x:v>
      </x:c>
      <x:c r="F950" s="56" t="str">
        <x:v>https://www.klairs.com/products/egf-blue-youth-activating-drop</x:v>
      </x:c>
      <x:c r="G950" s="56" t="str">
        <x:v>Official Product Page</x:v>
      </x:c>
      <x:c r="H950" s="56"/>
      <x:c r="I950" s="56" t="str">
        <x:v>2026-08-01</x:v>
      </x:c>
      <x:c r="J950" s="56" t="str">
        <x:v>Verified Product / First-Party Review Signal</x:v>
      </x:c>
      <x:c r="K950" s="56" t="str">
        <x:v>High</x:v>
      </x:c>
      <x:c r="L950" s="56" t="str">
        <x:v>Yes</x:v>
      </x:c>
      <x:c r="M950" s="56"/>
      <x:c r="N950" s="56" t="str">
        <x:v>Korea #1, one-every-four-seconds and repair/acne claims are unverified brand claims requiring review.</x:v>
      </x:c>
      <x:c r="O950" s="56" t="str">
        <x:v>Codex</x:v>
      </x:c>
    </x:row>
    <x:row r="951" ht="124" customHeight="1">
      <x:c r="A951" s="56" t="str">
        <x:v>SRC-DKL-016</x:v>
      </x:c>
      <x:c r="B951" s="56" t="str">
        <x:v>KB019</x:v>
      </x:c>
      <x:c r="C951" s="56" t="str">
        <x:v>Amazon — Unscented Toner</x:v>
      </x:c>
      <x:c r="D951" s="56" t="str">
        <x:v>ASIN B07B65NJLV showed 2K+ bought/month, $18.76, 4.6/5,234, #110 Facial Toners, seller wishtrend and Amazon fulfillment.</x:v>
      </x:c>
      <x:c r="E951" s="56" t="str">
        <x:v>Amazon U.S.</x:v>
      </x:c>
      <x:c r="F951" s="56" t="str">
        <x:v>https://www.amazon.com/dp/B07B65NJLV</x:v>
      </x:c>
      <x:c r="G951" s="56" t="str">
        <x:v>Marketplace Display</x:v>
      </x:c>
      <x:c r="H951" s="56"/>
      <x:c r="I951" s="56" t="str">
        <x:v>2026-08-01</x:v>
      </x:c>
      <x:c r="J951" s="56" t="str">
        <x:v>Verified Platform Display</x:v>
      </x:c>
      <x:c r="K951" s="56" t="str">
        <x:v>High</x:v>
      </x:c>
      <x:c r="L951" s="56" t="str">
        <x:v>Yes</x:v>
      </x:c>
      <x:c r="M951" s="56"/>
      <x:c r="N951" s="56" t="str">
        <x:v>Dynamic price, rank, reviews and badge.</x:v>
      </x:c>
      <x:c r="O951" s="56" t="str">
        <x:v>Codex</x:v>
      </x:c>
    </x:row>
    <x:row r="952" ht="124" customHeight="1">
      <x:c r="A952" s="56" t="str">
        <x:v>SRC-DKL-017</x:v>
      </x:c>
      <x:c r="B952" s="56" t="str">
        <x:v>KB019</x:v>
      </x:c>
      <x:c r="C952" s="56" t="str">
        <x:v>Amazon — Vitamin C Serum</x:v>
      </x:c>
      <x:c r="D952" s="56" t="str">
        <x:v>ASIN B010FOFSH0 showed 1K+ bought/month, about $17, 4.4/10,978, #348 Facial Serums, seller wishtrend and Amazon fulfillment.</x:v>
      </x:c>
      <x:c r="E952" s="56" t="str">
        <x:v>Amazon U.S.</x:v>
      </x:c>
      <x:c r="F952" s="56" t="str">
        <x:v>https://www.amazon.com/dp/B010FOFSH0</x:v>
      </x:c>
      <x:c r="G952" s="56" t="str">
        <x:v>Marketplace Display</x:v>
      </x:c>
      <x:c r="H952" s="56"/>
      <x:c r="I952" s="56" t="str">
        <x:v>2026-08-01</x:v>
      </x:c>
      <x:c r="J952" s="56" t="str">
        <x:v>Verified Platform Display</x:v>
      </x:c>
      <x:c r="K952" s="56" t="str">
        <x:v>High</x:v>
      </x:c>
      <x:c r="L952" s="56" t="str">
        <x:v>Yes</x:v>
      </x:c>
      <x:c r="M952" s="56"/>
      <x:c r="N952" s="56" t="str">
        <x:v>Offer availability varied across page modules/crawls.</x:v>
      </x:c>
      <x:c r="O952" s="56" t="str">
        <x:v>Codex</x:v>
      </x:c>
    </x:row>
    <x:row r="953" ht="124" customHeight="1">
      <x:c r="A953" s="56" t="str">
        <x:v>SRC-DKL-018</x:v>
      </x:c>
      <x:c r="B953" s="56" t="str">
        <x:v>KB019</x:v>
      </x:c>
      <x:c r="C953" s="56" t="str">
        <x:v>Amazon — Midnight Blue Cream</x:v>
      </x:c>
      <x:c r="D953" s="56" t="str">
        <x:v>ASIN B07GR1JDBT showed 1K+ bought/month, about $14.95, 4.5/3,022, #40 Facial Night Creams, Amazon's Choice, seller wishtrend and Amazon fulfillment.</x:v>
      </x:c>
      <x:c r="E953" s="56" t="str">
        <x:v>Amazon U.S.</x:v>
      </x:c>
      <x:c r="F953" s="56" t="str">
        <x:v>https://www.amazon.com/dp/B07GR1JDBT</x:v>
      </x:c>
      <x:c r="G953" s="56" t="str">
        <x:v>Marketplace Display</x:v>
      </x:c>
      <x:c r="H953" s="56"/>
      <x:c r="I953" s="56" t="str">
        <x:v>2026-08-01</x:v>
      </x:c>
      <x:c r="J953" s="56" t="str">
        <x:v>Verified Platform Display</x:v>
      </x:c>
      <x:c r="K953" s="56" t="str">
        <x:v>High</x:v>
      </x:c>
      <x:c r="L953" s="56" t="str">
        <x:v>Yes</x:v>
      </x:c>
      <x:c r="M953" s="56"/>
      <x:c r="N953" s="56" t="str">
        <x:v>Dynamic deal; price materially under official list.</x:v>
      </x:c>
      <x:c r="O953" s="56" t="str">
        <x:v>Codex</x:v>
      </x:c>
    </x:row>
    <x:row r="954" ht="124" customHeight="1">
      <x:c r="A954" s="56" t="str">
        <x:v>SRC-DKL-019</x:v>
      </x:c>
      <x:c r="B954" s="56" t="str">
        <x:v>KB019</x:v>
      </x:c>
      <x:c r="C954" s="56" t="str">
        <x:v>Amazon — Rich Moist Cream</x:v>
      </x:c>
      <x:c r="D954" s="56" t="str">
        <x:v>Related display showed ASIN B092VNQS57 at $18.75, 4.6/1,621 and Amazon's Choice.</x:v>
      </x:c>
      <x:c r="E954" s="56" t="str">
        <x:v>Amazon U.S.</x:v>
      </x:c>
      <x:c r="F954" s="56" t="str">
        <x:v>https://www.amazon.com/dp/B092VNQS57</x:v>
      </x:c>
      <x:c r="G954" s="56" t="str">
        <x:v>Marketplace Related-Product Display</x:v>
      </x:c>
      <x:c r="H954" s="56"/>
      <x:c r="I954" s="56" t="str">
        <x:v>2026-08-01</x:v>
      </x:c>
      <x:c r="J954" s="56" t="str">
        <x:v>Verified Review/Offer Signal</x:v>
      </x:c>
      <x:c r="K954" s="56" t="str">
        <x:v>Medium-High</x:v>
      </x:c>
      <x:c r="L954" s="56" t="str">
        <x:v>Yes</x:v>
      </x:c>
      <x:c r="M954" s="56"/>
      <x:c r="N954" s="56" t="str">
        <x:v>Older direct-page snapshot was not used for current unit-floor calculation.</x:v>
      </x:c>
      <x:c r="O954" s="56" t="str">
        <x:v>Codex</x:v>
      </x:c>
    </x:row>
    <x:row r="955" ht="124" customHeight="1">
      <x:c r="A955" s="56" t="str">
        <x:v>SRC-DKL-020</x:v>
      </x:c>
      <x:c r="B955" s="56" t="str">
        <x:v>KB019</x:v>
      </x:c>
      <x:c r="C955" s="56" t="str">
        <x:v>Amazon — Blue Youth Drop</x:v>
      </x:c>
      <x:c r="D955" s="56" t="str">
        <x:v>Related display linked ASIN B071GQP892 and showed about $18.99, 4.4/1,244.</x:v>
      </x:c>
      <x:c r="E955" s="56" t="str">
        <x:v>Amazon U.S.</x:v>
      </x:c>
      <x:c r="F955" s="56" t="str">
        <x:v>https://www.amazon.com/dp/B071GQP892</x:v>
      </x:c>
      <x:c r="G955" s="56" t="str">
        <x:v>Marketplace Related-Product Display</x:v>
      </x:c>
      <x:c r="H955" s="56"/>
      <x:c r="I955" s="56" t="str">
        <x:v>2026-08-01</x:v>
      </x:c>
      <x:c r="J955" s="56" t="str">
        <x:v>Further Verification Required</x:v>
      </x:c>
      <x:c r="K955" s="56" t="str">
        <x:v>Medium</x:v>
      </x:c>
      <x:c r="L955" s="56" t="str">
        <x:v>Yes</x:v>
      </x:c>
      <x:c r="M955" s="56"/>
      <x:c r="N955" s="56" t="str">
        <x:v>Exact current variant, seller, price and badge require direct-page recheck.</x:v>
      </x:c>
      <x:c r="O955" s="56" t="str">
        <x:v>Codex</x:v>
      </x:c>
    </x:row>
    <x:row r="956" ht="124" customHeight="1">
      <x:c r="A956" s="56" t="str">
        <x:v>SRC-DKL-021</x:v>
      </x:c>
      <x:c r="B956" s="56" t="str">
        <x:v>KB019</x:v>
      </x:c>
      <x:c r="C956" s="56" t="str">
        <x:v>Amazon sales-floor calculation</x:v>
      </x:c>
      <x:c r="D956" s="56" t="str">
        <x:v>Three current visible badges imply at least 4,000 monthly units and about $69,470 gross proxy at observed prices.</x:v>
      </x:c>
      <x:c r="E956" s="56" t="str">
        <x:v>Analyst Calculation</x:v>
      </x:c>
      <x:c r="F956" s="56" t="str">
        <x:v>https://www.amazon.com/dp/B07B65NJLV</x:v>
      </x:c>
      <x:c r="G956" s="56" t="str">
        <x:v>Derived from Marketplace Displays</x:v>
      </x:c>
      <x:c r="H956" s="56"/>
      <x:c r="I956" s="56" t="str">
        <x:v>2026-08-01</x:v>
      </x:c>
      <x:c r="J956" s="56" t="str">
        <x:v>Conservative Sales Proxy</x:v>
      </x:c>
      <x:c r="K956" s="56" t="str">
        <x:v>Medium-High</x:v>
      </x:c>
      <x:c r="L956" s="56" t="str">
        <x:v>Yes</x:v>
      </x:c>
      <x:c r="M956" s="56"/>
      <x:c r="N956" s="56" t="str">
        <x:v>$37,520 toner + $17,000 vitamin C + $14,950 blue cream; not audited and crawls were asynchronous.</x:v>
      </x:c>
      <x:c r="O956" s="56" t="str">
        <x:v>Codex</x:v>
      </x:c>
    </x:row>
    <x:row r="957" ht="124" customHeight="1">
      <x:c r="A957" s="56" t="str">
        <x:v>SRC-DKL-022</x:v>
      </x:c>
      <x:c r="B957" s="56" t="str">
        <x:v>KB019</x:v>
      </x:c>
      <x:c r="C957" s="56" t="str">
        <x:v>TikTok Shop — official store</x:v>
      </x:c>
      <x:c r="D957" s="56" t="str">
        <x:v>Official shop displayed about 83.3K cumulative sold, 37.1K followers and a 4.6 store rating.</x:v>
      </x:c>
      <x:c r="E957" s="56" t="str">
        <x:v>TikTok Shop U.S.</x:v>
      </x:c>
      <x:c r="F957" s="56" t="str">
        <x:v>https://shop.tiktok.com/us/store/dear-klairs/7495351520906283775</x:v>
      </x:c>
      <x:c r="G957" s="56" t="str">
        <x:v>Official Social-Commerce Store</x:v>
      </x:c>
      <x:c r="H957" s="56"/>
      <x:c r="I957" s="56" t="str">
        <x:v>2026-08-01</x:v>
      </x:c>
      <x:c r="J957" s="56" t="str">
        <x:v>Dynamic Platform Signal</x:v>
      </x:c>
      <x:c r="K957" s="56" t="str">
        <x:v>Medium-High</x:v>
      </x:c>
      <x:c r="L957" s="56" t="str">
        <x:v>Yes</x:v>
      </x:c>
      <x:c r="M957" s="56"/>
      <x:c r="N957" s="56" t="str">
        <x:v>Cumulative, overlapping and not a period sales measure.</x:v>
      </x:c>
      <x:c r="O957" s="56" t="str">
        <x:v>Codex</x:v>
      </x:c>
    </x:row>
    <x:row r="958" ht="124" customHeight="1">
      <x:c r="A958" s="56" t="str">
        <x:v>SRC-DKL-023</x:v>
      </x:c>
      <x:c r="B958" s="56" t="str">
        <x:v>KB019</x:v>
      </x:c>
      <x:c r="C958" s="56" t="str">
        <x:v>TikTok Shop — Fundamental Ampule Mist</x:v>
      </x:c>
      <x:c r="D958" s="56" t="str">
        <x:v>Official listing displayed about 8.5K sold, 4.7 and $22.94 versus $27.</x:v>
      </x:c>
      <x:c r="E958" s="56" t="str">
        <x:v>TikTok Shop U.S.</x:v>
      </x:c>
      <x:c r="F958" s="56" t="str">
        <x:v>https://shop.tiktok.com/us/store/dear-klairs/7495351520906283775</x:v>
      </x:c>
      <x:c r="G958" s="56" t="str">
        <x:v>Official Social-Commerce Listing</x:v>
      </x:c>
      <x:c r="H958" s="56"/>
      <x:c r="I958" s="56" t="str">
        <x:v>2026-08-01</x:v>
      </x:c>
      <x:c r="J958" s="56" t="str">
        <x:v>Dynamic Platform Signal</x:v>
      </x:c>
      <x:c r="K958" s="56" t="str">
        <x:v>Medium-High</x:v>
      </x:c>
      <x:c r="L958" s="56" t="str">
        <x:v>Yes</x:v>
      </x:c>
      <x:c r="M958" s="56"/>
      <x:c r="N958" s="56" t="str">
        <x:v>Current largest sampled individual listing.</x:v>
      </x:c>
      <x:c r="O958" s="56" t="str">
        <x:v>Codex</x:v>
      </x:c>
    </x:row>
    <x:row r="959" ht="124" customHeight="1">
      <x:c r="A959" s="56" t="str">
        <x:v>SRC-DKL-024</x:v>
      </x:c>
      <x:c r="B959" s="56" t="str">
        <x:v>KB019</x:v>
      </x:c>
      <x:c r="C959" s="56" t="str">
        <x:v>TikTok Shop — Skin Flooding Trio</x:v>
      </x:c>
      <x:c r="D959" s="56" t="str">
        <x:v>Official bundle displayed about 8.3K sold, 4.7 and $39.99 versus $87.</x:v>
      </x:c>
      <x:c r="E959" s="56" t="str">
        <x:v>TikTok Shop U.S.</x:v>
      </x:c>
      <x:c r="F959" s="56" t="str">
        <x:v>https://shop.tiktok.com/us/store/dear-klairs/7495351520906283775</x:v>
      </x:c>
      <x:c r="G959" s="56" t="str">
        <x:v>Official Social-Commerce Bundle</x:v>
      </x:c>
      <x:c r="H959" s="56"/>
      <x:c r="I959" s="56" t="str">
        <x:v>2026-08-01</x:v>
      </x:c>
      <x:c r="J959" s="56" t="str">
        <x:v>Dynamic Platform Signal</x:v>
      </x:c>
      <x:c r="K959" s="56" t="str">
        <x:v>Medium-High</x:v>
      </x:c>
      <x:c r="L959" s="56" t="str">
        <x:v>Yes</x:v>
      </x:c>
      <x:c r="M959" s="56"/>
      <x:c r="N959" s="56" t="str">
        <x:v>Component overlap prevents additive sales estimate.</x:v>
      </x:c>
      <x:c r="O959" s="56" t="str">
        <x:v>Codex</x:v>
      </x:c>
    </x:row>
    <x:row r="960" ht="124" customHeight="1">
      <x:c r="A960" s="56" t="str">
        <x:v>SRC-DKL-025</x:v>
      </x:c>
      <x:c r="B960" s="56" t="str">
        <x:v>KB019</x:v>
      </x:c>
      <x:c r="C960" s="56" t="str">
        <x:v>TikTok Shop — Blue Youth Drop</x:v>
      </x:c>
      <x:c r="D960" s="56" t="str">
        <x:v>Official listing displayed about 5.5K sold, 4.7 and $12.68.</x:v>
      </x:c>
      <x:c r="E960" s="56" t="str">
        <x:v>TikTok Shop U.S.</x:v>
      </x:c>
      <x:c r="F960" s="56" t="str">
        <x:v>https://shop.tiktok.com/us/k/dear-klairs</x:v>
      </x:c>
      <x:c r="G960" s="56" t="str">
        <x:v>Official Social-Commerce Listing</x:v>
      </x:c>
      <x:c r="H960" s="56"/>
      <x:c r="I960" s="56" t="str">
        <x:v>2026-08-01</x:v>
      </x:c>
      <x:c r="J960" s="56" t="str">
        <x:v>Dynamic Platform / Price-Risk Signal</x:v>
      </x:c>
      <x:c r="K960" s="56" t="str">
        <x:v>Medium-High</x:v>
      </x:c>
      <x:c r="L960" s="56" t="str">
        <x:v>Yes</x:v>
      </x:c>
      <x:c r="M960" s="56"/>
      <x:c r="N960" s="56" t="str">
        <x:v>Exact size/promotion changes; severe list-price compression.</x:v>
      </x:c>
      <x:c r="O960" s="56" t="str">
        <x:v>Codex</x:v>
      </x:c>
    </x:row>
    <x:row r="961" ht="124" customHeight="1">
      <x:c r="A961" s="56" t="str">
        <x:v>SRC-DKL-026</x:v>
      </x:c>
      <x:c r="B961" s="56" t="str">
        <x:v>KB019</x:v>
      </x:c>
      <x:c r="C961" s="56" t="str">
        <x:v>TikTok Shop — Gentle Black Deep Oil</x:v>
      </x:c>
      <x:c r="D961" s="56" t="str">
        <x:v>Official listing displayed about 5.4K sold, 4.8 and $31.</x:v>
      </x:c>
      <x:c r="E961" s="56" t="str">
        <x:v>TikTok Shop U.S.</x:v>
      </x:c>
      <x:c r="F961" s="56" t="str">
        <x:v>https://shop.tiktok.com/us/k/dear-klairs</x:v>
      </x:c>
      <x:c r="G961" s="56" t="str">
        <x:v>Official Social-Commerce Listing</x:v>
      </x:c>
      <x:c r="H961" s="56"/>
      <x:c r="I961" s="56" t="str">
        <x:v>2026-08-01</x:v>
      </x:c>
      <x:c r="J961" s="56" t="str">
        <x:v>Dynamic Platform Signal</x:v>
      </x:c>
      <x:c r="K961" s="56" t="str">
        <x:v>Medium</x:v>
      </x:c>
      <x:c r="L961" s="56" t="str">
        <x:v>Yes</x:v>
      </x:c>
      <x:c r="M961" s="56"/>
      <x:c r="N961" s="56" t="str">
        <x:v>Secondary cleansing-category strength.</x:v>
      </x:c>
      <x:c r="O961" s="56" t="str">
        <x:v>Codex</x:v>
      </x:c>
    </x:row>
    <x:row r="962" ht="124" customHeight="1">
      <x:c r="A962" s="56" t="str">
        <x:v>SRC-DKL-027</x:v>
      </x:c>
      <x:c r="B962" s="56" t="str">
        <x:v>KB019</x:v>
      </x:c>
      <x:c r="C962" s="56" t="str">
        <x:v>TikTok Shop — Vitamin Drop</x:v>
      </x:c>
      <x:c r="D962" s="56" t="str">
        <x:v>Official listing displayed about 1.3K sold, 4.7 and $27.89 versus $31.</x:v>
      </x:c>
      <x:c r="E962" s="56" t="str">
        <x:v>TikTok Shop U.S.</x:v>
      </x:c>
      <x:c r="F962" s="56" t="str">
        <x:v>https://shop.tiktok.com/us/k/klairs-korean-skincare</x:v>
      </x:c>
      <x:c r="G962" s="56" t="str">
        <x:v>Official Social-Commerce Listing</x:v>
      </x:c>
      <x:c r="H962" s="56"/>
      <x:c r="I962" s="56" t="str">
        <x:v>2026-08-01</x:v>
      </x:c>
      <x:c r="J962" s="56" t="str">
        <x:v>Dynamic Platform Signal</x:v>
      </x:c>
      <x:c r="K962" s="56" t="str">
        <x:v>Medium</x:v>
      </x:c>
      <x:c r="L962" s="56" t="str">
        <x:v>Yes</x:v>
      </x:c>
      <x:c r="M962" s="56"/>
      <x:c r="N962" s="56" t="str">
        <x:v>Reference price differs from official U.S. PDP.</x:v>
      </x:c>
      <x:c r="O962" s="56" t="str">
        <x:v>Codex</x:v>
      </x:c>
    </x:row>
    <x:row r="963" ht="124" customHeight="1">
      <x:c r="A963" s="56" t="str">
        <x:v>SRC-DKL-028</x:v>
      </x:c>
      <x:c r="B963" s="56" t="str">
        <x:v>KB019</x:v>
      </x:c>
      <x:c r="C963" s="56" t="str">
        <x:v>TikTok Shop — Midnight Blue Cream</x:v>
      </x:c>
      <x:c r="D963" s="56" t="str">
        <x:v>Official 20 g listing displayed about 449 sold, 4.5 and $12.88.</x:v>
      </x:c>
      <x:c r="E963" s="56" t="str">
        <x:v>TikTok Shop U.S.</x:v>
      </x:c>
      <x:c r="F963" s="56" t="str">
        <x:v>https://shop.tiktok.com/us/k/dear-klairs</x:v>
      </x:c>
      <x:c r="G963" s="56" t="str">
        <x:v>Official Social-Commerce Listing</x:v>
      </x:c>
      <x:c r="H963" s="56"/>
      <x:c r="I963" s="56" t="str">
        <x:v>2026-08-01</x:v>
      </x:c>
      <x:c r="J963" s="56" t="str">
        <x:v>Dynamic Platform Signal</x:v>
      </x:c>
      <x:c r="K963" s="56" t="str">
        <x:v>Medium</x:v>
      </x:c>
      <x:c r="L963" s="56" t="str">
        <x:v>Yes</x:v>
      </x:c>
      <x:c r="M963" s="56"/>
      <x:c r="N963" s="56" t="str">
        <x:v>Small format; not directly comparable with 60 g hero.</x:v>
      </x:c>
      <x:c r="O963" s="56" t="str">
        <x:v>Codex</x:v>
      </x:c>
    </x:row>
    <x:row r="964" ht="124" customHeight="1">
      <x:c r="A964" s="56" t="str">
        <x:v>SRC-DKL-029</x:v>
      </x:c>
      <x:c r="B964" s="56" t="str">
        <x:v>KB019</x:v>
      </x:c>
      <x:c r="C964" s="56" t="str">
        <x:v>Current verified U.S. retailers</x:v>
      </x:c>
      <x:c r="D964" s="56" t="str">
        <x:v>Official page verifies DTC, Amazon U.S., Olive Young U.S. online/Pasadena/Century City and TikTok Shop; warns other sellers may be counterfeit or expired.</x:v>
      </x:c>
      <x:c r="E964" s="56" t="str">
        <x:v>Dear Klairs U.S.</x:v>
      </x:c>
      <x:c r="F964" s="56" t="str">
        <x:v>https://www.klairs.com/pages/where-to-buy</x:v>
      </x:c>
      <x:c r="G964" s="56" t="str">
        <x:v>Official Retailer List</x:v>
      </x:c>
      <x:c r="H964" s="56"/>
      <x:c r="I964" s="56" t="str">
        <x:v>2026-08-01</x:v>
      </x:c>
      <x:c r="J964" s="56" t="str">
        <x:v>Verified Authorization / Risk Signal</x:v>
      </x:c>
      <x:c r="K964" s="56" t="str">
        <x:v>High</x:v>
      </x:c>
      <x:c r="L964" s="56" t="str">
        <x:v>Yes</x:v>
      </x:c>
      <x:c r="M964" s="56"/>
      <x:c r="N964" s="56" t="str">
        <x:v>Use as controlling current authorization reference.</x:v>
      </x:c>
      <x:c r="O964" s="56" t="str">
        <x:v>Codex</x:v>
      </x:c>
    </x:row>
    <x:row r="965" ht="124" customHeight="1">
      <x:c r="A965" s="56" t="str">
        <x:v>SRC-DKL-030</x:v>
      </x:c>
      <x:c r="B965" s="56" t="str">
        <x:v>KB019</x:v>
      </x:c>
      <x:c r="C965" s="56" t="str">
        <x:v>Olive Young U.S. physical expansion</x:v>
      </x:c>
      <x:c r="D965" s="56" t="str">
        <x:v>Official brand post documents Dear Klairs arrival at Olive Young U.S. in California.</x:v>
      </x:c>
      <x:c r="E965" s="56" t="str">
        <x:v>Dear Klairs U.S.</x:v>
      </x:c>
      <x:c r="F965" s="56" t="str">
        <x:v>https://www.klairs.com/blogs/klairs-skin-school/dear-klairs-at-olive-young-us-k-beauty-comes-to-california</x:v>
      </x:c>
      <x:c r="G965" s="56" t="str">
        <x:v>Official Brand Retail News</x:v>
      </x:c>
      <x:c r="H965" s="56"/>
      <x:c r="I965" s="56" t="str">
        <x:v>2026-08-01</x:v>
      </x:c>
      <x:c r="J965" s="56" t="str">
        <x:v>Verified Retail Expansion</x:v>
      </x:c>
      <x:c r="K965" s="56" t="str">
        <x:v>High</x:v>
      </x:c>
      <x:c r="L965" s="56" t="str">
        <x:v>Yes</x:v>
      </x:c>
      <x:c r="M965" s="56"/>
      <x:c r="N965" s="56" t="str">
        <x:v>No public unit sales; account scope should be confirmed.</x:v>
      </x:c>
      <x:c r="O965" s="56" t="str">
        <x:v>Codex</x:v>
      </x:c>
    </x:row>
    <x:row r="966" ht="124" customHeight="1">
      <x:c r="A966" s="56" t="str">
        <x:v>SRC-DKL-031</x:v>
      </x:c>
      <x:c r="B966" s="56" t="str">
        <x:v>KB019</x:v>
      </x:c>
      <x:c r="C966" s="56" t="str">
        <x:v>Walmart presence / authorization gap</x:v>
      </x:c>
      <x:c r="D966" s="56" t="str">
        <x:v>Walmart displayed a DearKlairs brand page and nine skincare listings, but it is absent from the brand's current verified U.S. retailer list.</x:v>
      </x:c>
      <x:c r="E966" s="56" t="str">
        <x:v>Walmart</x:v>
      </x:c>
      <x:c r="F966" s="56" t="str">
        <x:v>https://www.walmart.com/brand/dearklairs/20003890</x:v>
      </x:c>
      <x:c r="G966" s="56" t="str">
        <x:v>Retailer / Marketplace Display</x:v>
      </x:c>
      <x:c r="H966" s="56"/>
      <x:c r="I966" s="56" t="str">
        <x:v>2026-08-01</x:v>
      </x:c>
      <x:c r="J966" s="56" t="str">
        <x:v>Visibility / Seller-Risk Signal</x:v>
      </x:c>
      <x:c r="K966" s="56" t="str">
        <x:v>Medium</x:v>
      </x:c>
      <x:c r="L966" s="56" t="str">
        <x:v>Yes</x:v>
      </x:c>
      <x:c r="M966" s="56"/>
      <x:c r="N966" s="56" t="str">
        <x:v>Audit seller, UPC, lot, expiry and authorization per listing.</x:v>
      </x:c>
      <x:c r="O966" s="56" t="str">
        <x:v>Codex</x:v>
      </x:c>
    </x:row>
    <x:row r="967" ht="124" customHeight="1">
      <x:c r="A967" s="56" t="str">
        <x:v>SRC-DKL-032</x:v>
      </x:c>
      <x:c r="B967" s="56" t="str">
        <x:v>KB019</x:v>
      </x:c>
      <x:c r="C967" s="56" t="str">
        <x:v>iHerb — original toner</x:v>
      </x:c>
      <x:c r="D967" s="56" t="str">
        <x:v>iHerb displayed $18.70 and 4.7/3,448; retailer says products are sourced directly or from authorized distributors.</x:v>
      </x:c>
      <x:c r="E967" s="56" t="str">
        <x:v>iHerb</x:v>
      </x:c>
      <x:c r="F967" s="56" t="str">
        <x:v>https://www.iherb.com/pr/dear-klairs-supple-preparation-facial-toner-6-08-fl-oz-180-ml/79920</x:v>
      </x:c>
      <x:c r="G967" s="56" t="str">
        <x:v>Retailer Product Page</x:v>
      </x:c>
      <x:c r="H967" s="56"/>
      <x:c r="I967" s="56" t="str">
        <x:v>2026-08-01</x:v>
      </x:c>
      <x:c r="J967" s="56" t="str">
        <x:v>Verified Retail / Review Signal</x:v>
      </x:c>
      <x:c r="K967" s="56" t="str">
        <x:v>Medium-High</x:v>
      </x:c>
      <x:c r="L967" s="56" t="str">
        <x:v>Yes</x:v>
      </x:c>
      <x:c r="M967" s="56"/>
      <x:c r="N967" s="56" t="str">
        <x:v>Not on current brand U.S. official list; reviews may be global.</x:v>
      </x:c>
      <x:c r="O967" s="56" t="str">
        <x:v>Codex</x:v>
      </x:c>
    </x:row>
    <x:row r="968" ht="124" customHeight="1">
      <x:c r="A968" s="56" t="str">
        <x:v>SRC-DKL-033</x:v>
      </x:c>
      <x:c r="B968" s="56" t="str">
        <x:v>KB019</x:v>
      </x:c>
      <x:c r="C968" s="56" t="str">
        <x:v>iHerb — Unscented Toner</x:v>
      </x:c>
      <x:c r="D968" s="56" t="str">
        <x:v>iHerb review page displayed 4.7/2,104 with strong gentle-hydration themes.</x:v>
      </x:c>
      <x:c r="E968" s="56" t="str">
        <x:v>iHerb</x:v>
      </x:c>
      <x:c r="F968" s="56" t="str">
        <x:v>https://www.iherb.com/r/dear-klairs-supple-preparation-unscented-toner-6-08-fl-oz-180-ml/82785</x:v>
      </x:c>
      <x:c r="G968" s="56" t="str">
        <x:v>Retailer Review Page</x:v>
      </x:c>
      <x:c r="H968" s="56"/>
      <x:c r="I968" s="56" t="str">
        <x:v>2026-08-01</x:v>
      </x:c>
      <x:c r="J968" s="56" t="str">
        <x:v>Verified Review Signal</x:v>
      </x:c>
      <x:c r="K968" s="56" t="str">
        <x:v>High</x:v>
      </x:c>
      <x:c r="L968" s="56" t="str">
        <x:v>Yes</x:v>
      </x:c>
      <x:c r="M968" s="56"/>
      <x:c r="N968" s="56" t="str">
        <x:v>Global review geography; authorization within current U.S. program not confirmed.</x:v>
      </x:c>
      <x:c r="O968" s="56" t="str">
        <x:v>Codex</x:v>
      </x:c>
    </x:row>
    <x:row r="969" ht="124" customHeight="1">
      <x:c r="A969" s="56" t="str">
        <x:v>SRC-DKL-034</x:v>
      </x:c>
      <x:c r="B969" s="56" t="str">
        <x:v>KB019</x:v>
      </x:c>
      <x:c r="C969" s="56" t="str">
        <x:v>YesStyle assortment</x:v>
      </x:c>
      <x:c r="D969" s="56" t="str">
        <x:v>YesStyle maintained a current Dear Klairs brand page and cross-border assortment.</x:v>
      </x:c>
      <x:c r="E969" s="56" t="str">
        <x:v>YesStyle</x:v>
      </x:c>
      <x:c r="F969" s="56" t="str">
        <x:v>https://www.yesstyle.com/en/dear-klairs/list.html/bpt.299_bid.319235</x:v>
      </x:c>
      <x:c r="G969" s="56" t="str">
        <x:v>Cross-Border Retailer</x:v>
      </x:c>
      <x:c r="H969" s="56"/>
      <x:c r="I969" s="56" t="str">
        <x:v>2026-08-01</x:v>
      </x:c>
      <x:c r="J969" s="56" t="str">
        <x:v>Verified Visibility / Authorization Unclear</x:v>
      </x:c>
      <x:c r="K969" s="56" t="str">
        <x:v>Medium</x:v>
      </x:c>
      <x:c r="L969" s="56" t="str">
        <x:v>Yes</x:v>
      </x:c>
      <x:c r="M969" s="56"/>
      <x:c r="N969" s="56" t="str">
        <x:v>Treat as cross-border competition until rights are confirmed.</x:v>
      </x:c>
      <x:c r="O969" s="56" t="str">
        <x:v>Codex</x:v>
      </x:c>
    </x:row>
    <x:row r="970" ht="124" customHeight="1">
      <x:c r="A970" s="56" t="str">
        <x:v>SRC-DKL-035</x:v>
      </x:c>
      <x:c r="B970" s="56" t="str">
        <x:v>KB019</x:v>
      </x:c>
      <x:c r="C970" s="56" t="str">
        <x:v>Official U.S. social accounts</x:v>
      </x:c>
      <x:c r="D970" s="56" t="str">
        <x:v>Official U.S. guide identifies Instagram and TikTok @klairs.us, YouTube and Discord.</x:v>
      </x:c>
      <x:c r="E970" s="56" t="str">
        <x:v>Dear Klairs U.S.</x:v>
      </x:c>
      <x:c r="F970" s="56" t="str">
        <x:v>https://www.klairs.com/pages/official-dear-klairs-us-store-guide</x:v>
      </x:c>
      <x:c r="G970" s="56" t="str">
        <x:v>Official Social Directory</x:v>
      </x:c>
      <x:c r="H970" s="56"/>
      <x:c r="I970" s="56" t="str">
        <x:v>2026-08-01</x:v>
      </x:c>
      <x:c r="J970" s="56" t="str">
        <x:v>Verified Presence / Metric Not Verified</x:v>
      </x:c>
      <x:c r="K970" s="56" t="str">
        <x:v>High</x:v>
      </x:c>
      <x:c r="L970" s="56" t="str">
        <x:v>Yes</x:v>
      </x:c>
      <x:c r="M970" s="56"/>
      <x:c r="N970" s="56" t="str">
        <x:v>No reliable current Instagram follower count captured.</x:v>
      </x:c>
      <x:c r="O970" s="56" t="str">
        <x:v>Codex</x:v>
      </x:c>
    </x:row>
    <x:row r="971" ht="124" customHeight="1">
      <x:c r="A971" s="56" t="str">
        <x:v>SRC-DKL-036</x:v>
      </x:c>
      <x:c r="B971" s="56" t="str">
        <x:v>KB019</x:v>
      </x:c>
      <x:c r="C971" s="56" t="str">
        <x:v>U.S. retail gap check</x:v>
      </x:c>
      <x:c r="D971" s="56" t="str">
        <x:v>Ulta, Sephora U.S., Target, CVS, Walgreens and Costco are not listed on the current official U.S. retailer page.</x:v>
      </x:c>
      <x:c r="E971" s="56" t="str">
        <x:v>Dear Klairs / Scoped Search</x:v>
      </x:c>
      <x:c r="F971" s="56" t="str">
        <x:v>https://www.klairs.com/pages/where-to-buy</x:v>
      </x:c>
      <x:c r="G971" s="56" t="str">
        <x:v>Scoped Negative Evidence</x:v>
      </x:c>
      <x:c r="H971" s="56"/>
      <x:c r="I971" s="56" t="str">
        <x:v>2026-08-01</x:v>
      </x:c>
      <x:c r="J971" s="56" t="str">
        <x:v>Further Verification Required</x:v>
      </x:c>
      <x:c r="K971" s="56" t="str">
        <x:v>Medium</x:v>
      </x:c>
      <x:c r="L971" s="56" t="str">
        <x:v>Yes</x:v>
      </x:c>
      <x:c r="M971" s="56"/>
      <x:c r="N971" s="56" t="str">
        <x:v>Omission is not proof of no relationship; confirm with current line sheet.</x:v>
      </x:c>
      <x:c r="O971" s="56" t="str">
        <x:v>Codex</x:v>
      </x:c>
    </x:row>
    <x:row r="972" ht="124" customHeight="1">
      <x:c r="A972" s="56" t="str">
        <x:v>SRC-DKL-037</x:v>
      </x:c>
      <x:c r="B972" s="56" t="str">
        <x:v>KB019</x:v>
      </x:c>
      <x:c r="C972" s="56" t="str">
        <x:v>Reddit — positive Unscented Toner review</x:v>
      </x:c>
      <x:c r="D972" s="56" t="str">
        <x:v>Long-term user described subtle soothing hydration, quick absorption and strong repeat use.</x:v>
      </x:c>
      <x:c r="E972" s="56" t="str">
        <x:v>Reddit r/SkincareAddiction</x:v>
      </x:c>
      <x:c r="F972" s="56" t="str">
        <x:v>https://www.reddit.com/r/SkincareAddiction/comments/uc8lzj</x:v>
      </x:c>
      <x:c r="G972" s="56" t="str">
        <x:v>Consumer Forum</x:v>
      </x:c>
      <x:c r="H972" s="56"/>
      <x:c r="I972" s="56" t="str">
        <x:v>2026-08-01</x:v>
      </x:c>
      <x:c r="J972" s="56" t="str">
        <x:v>Anecdotal Consumer Evidence</x:v>
      </x:c>
      <x:c r="K972" s="56" t="str">
        <x:v>Low-Medium</x:v>
      </x:c>
      <x:c r="L972" s="56" t="str">
        <x:v>Yes</x:v>
      </x:c>
      <x:c r="M972" s="56"/>
      <x:c r="N972" s="56" t="str">
        <x:v>Single self-selected experience.</x:v>
      </x:c>
      <x:c r="O972" s="56" t="str">
        <x:v>Codex</x:v>
      </x:c>
    </x:row>
    <x:row r="973" ht="124" customHeight="1">
      <x:c r="A973" s="56" t="str">
        <x:v>SRC-DKL-038</x:v>
      </x:c>
      <x:c r="B973" s="56" t="str">
        <x:v>KB019</x:v>
      </x:c>
      <x:c r="C973" s="56" t="str">
        <x:v>Reddit — toner texture/value critique</x:v>
      </x:c>
      <x:c r="D973" s="56" t="str">
        <x:v>Reviewer found the toner hydrating but sticky and inadequate versus preferred milky toners.</x:v>
      </x:c>
      <x:c r="E973" s="56" t="str">
        <x:v>Reddit r/indianbeautyhauls</x:v>
      </x:c>
      <x:c r="F973" s="56" t="str">
        <x:v>https://www.reddit.com/r/indianbeautyhauls/comments/1aw8oz9/klairs_supple_preparation_toner_short_review/</x:v>
      </x:c>
      <x:c r="G973" s="56" t="str">
        <x:v>Consumer Forum</x:v>
      </x:c>
      <x:c r="H973" s="56"/>
      <x:c r="I973" s="56" t="str">
        <x:v>2026-08-01</x:v>
      </x:c>
      <x:c r="J973" s="56" t="str">
        <x:v>Anecdotal Consumer Evidence</x:v>
      </x:c>
      <x:c r="K973" s="56" t="str">
        <x:v>Low-Medium</x:v>
      </x:c>
      <x:c r="L973" s="56" t="str">
        <x:v>Yes</x:v>
      </x:c>
      <x:c r="M973" s="56"/>
      <x:c r="N973" s="56" t="str">
        <x:v>Single non-U.S. experience; useful counter-signal.</x:v>
      </x:c>
      <x:c r="O973" s="56" t="str">
        <x:v>Codex</x:v>
      </x:c>
    </x:row>
    <x:row r="974" ht="124" customHeight="1">
      <x:c r="A974" s="56" t="str">
        <x:v>SRC-DKL-039</x:v>
      </x:c>
      <x:c r="B974" s="56" t="str">
        <x:v>KB019</x:v>
      </x:c>
      <x:c r="C974" s="56" t="str">
        <x:v>Reddit — brand-level mixed experiences</x:v>
      </x:c>
      <x:c r="D974" s="56" t="str">
        <x:v>Users discussed Blue Cream, Vitamin Drop, toner and Fundamental products with mixed fit and texture outcomes.</x:v>
      </x:c>
      <x:c r="E974" s="56" t="str">
        <x:v>Reddit r/KoreanBeauty</x:v>
      </x:c>
      <x:c r="F974" s="56" t="str">
        <x:v>https://www.reddit.com/r/KoreanBeauty/comments/n685qd/dear_klairs_what_do_people_think_about_it/</x:v>
      </x:c>
      <x:c r="G974" s="56" t="str">
        <x:v>Consumer Forum</x:v>
      </x:c>
      <x:c r="H974" s="56"/>
      <x:c r="I974" s="56" t="str">
        <x:v>2026-08-01</x:v>
      </x:c>
      <x:c r="J974" s="56" t="str">
        <x:v>Anecdotal Consumer Evidence</x:v>
      </x:c>
      <x:c r="K974" s="56" t="str">
        <x:v>Low-Medium</x:v>
      </x:c>
      <x:c r="L974" s="56" t="str">
        <x:v>Yes</x:v>
      </x:c>
      <x:c r="M974" s="56"/>
      <x:c r="N974" s="56" t="str">
        <x:v>Older formula/channel context may apply.</x:v>
      </x:c>
      <x:c r="O974" s="56" t="str">
        <x:v>Codex</x:v>
      </x:c>
    </x:row>
    <x:row r="975" ht="124" customHeight="1">
      <x:c r="A975" s="56" t="str">
        <x:v>SRC-DKL-040</x:v>
      </x:c>
      <x:c r="B975" s="56" t="str">
        <x:v>KB019</x:v>
      </x:c>
      <x:c r="C975" s="56" t="str">
        <x:v>Reddit — recent Blue Youth Drop review</x:v>
      </x:c>
      <x:c r="D975" s="56" t="str">
        <x:v>Recent reviewer liked comfort and texture but flagged small-size/price value.</x:v>
      </x:c>
      <x:c r="E975" s="56" t="str">
        <x:v>Reddit r/AsianBeauty</x:v>
      </x:c>
      <x:c r="F975" s="56" t="str">
        <x:v>https://www.reddit.com/r/AsianBeauty/comments/1uv8jm3/my_review_of_dear_klairs_blue_youth_activating/</x:v>
      </x:c>
      <x:c r="G975" s="56" t="str">
        <x:v>Consumer Forum</x:v>
      </x:c>
      <x:c r="H975" s="56"/>
      <x:c r="I975" s="56" t="str">
        <x:v>2026-08-01</x:v>
      </x:c>
      <x:c r="J975" s="56" t="str">
        <x:v>Anecdotal Consumer / Value Signal</x:v>
      </x:c>
      <x:c r="K975" s="56" t="str">
        <x:v>Low-Medium</x:v>
      </x:c>
      <x:c r="L975" s="56" t="str">
        <x:v>Yes</x:v>
      </x:c>
      <x:c r="M975" s="56"/>
      <x:c r="N975" s="56" t="str">
        <x:v>No sponsorship established; individual experience.</x:v>
      </x:c>
      <x:c r="O975" s="56" t="str">
        <x:v>Codex</x:v>
      </x:c>
    </x:row>
    <x:row r="976" ht="124" customHeight="1">
      <x:c r="A976" s="56" t="str">
        <x:v>SRC-DKL-041</x:v>
      </x:c>
      <x:c r="B976" s="56" t="str">
        <x:v>KB019</x:v>
      </x:c>
      <x:c r="C976" s="56" t="str">
        <x:v>Reddit — Amazon authenticity concern</x:v>
      </x:c>
      <x:c r="D976" s="56" t="str">
        <x:v>A recent authenticity thread reported packaging/formula differences after an Amazon storefront purchase.</x:v>
      </x:c>
      <x:c r="E976" s="56" t="str">
        <x:v>Reddit r/AsianBeauty</x:v>
      </x:c>
      <x:c r="F976" s="56" t="str">
        <x:v>https://www.reddit.com/r/AsianBeauty/comments/1u9241f/product_authenticity_thursday_june_18_2026/</x:v>
      </x:c>
      <x:c r="G976" s="56" t="str">
        <x:v>Consumer Forum</x:v>
      </x:c>
      <x:c r="H976" s="56"/>
      <x:c r="I976" s="56" t="str">
        <x:v>2026-08-01</x:v>
      </x:c>
      <x:c r="J976" s="56" t="str">
        <x:v>Unresolved Authenticity / Version Signal</x:v>
      </x:c>
      <x:c r="K976" s="56" t="str">
        <x:v>Low-Medium</x:v>
      </x:c>
      <x:c r="L976" s="56" t="str">
        <x:v>Yes</x:v>
      </x:c>
      <x:c r="M976" s="56"/>
      <x:c r="N976" s="56" t="str">
        <x:v>Not proof of counterfeit; triggers lot/UPC/formula audit.</x:v>
      </x:c>
      <x:c r="O976" s="56" t="str">
        <x:v>Codex</x:v>
      </x:c>
    </x:row>
    <x:row r="977" ht="124" customHeight="1">
      <x:c r="A977" s="56" t="str">
        <x:v>SRC-DKL-042</x:v>
      </x:c>
      <x:c r="B977" s="56" t="str">
        <x:v>KB019</x:v>
      </x:c>
      <x:c r="C977" s="56" t="str">
        <x:v>Historical SPF shortfall and discontinuation</x:v>
      </x:c>
      <x:c r="D977" s="56" t="str">
        <x:v>Official 2021 statement reported Soft Airy UV Essence SPF 12.4-25 and Mid Day Blue UV Shield SPF 12.7-22.8 versus SPF50+ labels; sales were discontinued and refunds offered.</x:v>
      </x:c>
      <x:c r="E977" s="56" t="str">
        <x:v>Dear Klairs Global</x:v>
      </x:c>
      <x:c r="F977" s="56" t="str">
        <x:v>https://www.klairscosmetics.com/news/announcement-official-statement/</x:v>
      </x:c>
      <x:c r="G977" s="56" t="str">
        <x:v>Official Corrective-Action Statement</x:v>
      </x:c>
      <x:c r="H977" s="56" t="str">
        <x:v>2021-04-30</x:v>
      </x:c>
      <x:c r="I977" s="56" t="str">
        <x:v>2026-08-01</x:v>
      </x:c>
      <x:c r="J977" s="56" t="str">
        <x:v>Verified Historical Regulatory / Trust Risk</x:v>
      </x:c>
      <x:c r="K977" s="56" t="str">
        <x:v>High</x:v>
      </x:c>
      <x:c r="L977" s="56" t="str">
        <x:v>Yes</x:v>
      </x:c>
      <x:c r="M977" s="56"/>
      <x:c r="N977" s="56" t="str">
        <x:v>Material history; newer global sunscreens do not establish U.S. OTC compliance.</x:v>
      </x:c>
      <x:c r="O977" s="56" t="str">
        <x:v>Codex</x:v>
      </x:c>
    </x:row>
    <x:row r="978" ht="124" customHeight="1">
      <x:c r="A978" s="56" t="str">
        <x:v>SRC-DKL-043</x:v>
      </x:c>
      <x:c r="B978" s="56" t="str">
        <x:v>KB019</x:v>
      </x:c>
      <x:c r="C978" s="56" t="str">
        <x:v>Competitor — ANUA Toner</x:v>
      </x:c>
      <x:c r="D978" s="56" t="str">
        <x:v>Ulta displayed Heartleaf 77 Soothing Toner 250 mL at $21 and 4.4/144.</x:v>
      </x:c>
      <x:c r="E978" s="56" t="str">
        <x:v>Ulta / ANUA</x:v>
      </x:c>
      <x:c r="F978" s="56" t="str">
        <x:v>https://www.ulta.com/p/heartleaf-77-soothing-toner-pimprod2048929?sku=2634190</x:v>
      </x:c>
      <x:c r="G978" s="56" t="str">
        <x:v>Authorized Competitor Retailer</x:v>
      </x:c>
      <x:c r="H978" s="56"/>
      <x:c r="I978" s="56" t="str">
        <x:v>2026-08-01</x:v>
      </x:c>
      <x:c r="J978" s="56" t="str">
        <x:v>Verified Competitor Fact</x:v>
      </x:c>
      <x:c r="K978" s="56" t="str">
        <x:v>High</x:v>
      </x:c>
      <x:c r="L978" s="56" t="str">
        <x:v>Yes</x:v>
      </x:c>
      <x:c r="M978" s="56"/>
      <x:c r="N978" s="56" t="str">
        <x:v>Dynamic price/reviews.</x:v>
      </x:c>
      <x:c r="O978" s="56" t="str">
        <x:v>Codex</x:v>
      </x:c>
    </x:row>
    <x:row r="979" ht="124" customHeight="1">
      <x:c r="A979" s="56" t="str">
        <x:v>SRC-DKL-044</x:v>
      </x:c>
      <x:c r="B979" s="56" t="str">
        <x:v>KB019</x:v>
      </x:c>
      <x:c r="C979" s="56" t="str">
        <x:v>Competitor — Beauty of Joseon Vitamin C</x:v>
      </x:c>
      <x:c r="D979" s="56" t="str">
        <x:v>Official U.S. store displayed Light On Serum 30 mL at $17 list, $12.75 sale and 4.8/836.</x:v>
      </x:c>
      <x:c r="E979" s="56" t="str">
        <x:v>Beauty of Joseon U.S.</x:v>
      </x:c>
      <x:c r="F979" s="56" t="str">
        <x:v>https://beautyofjoseon.com/products/light-on-serum-centella-vita-c</x:v>
      </x:c>
      <x:c r="G979" s="56" t="str">
        <x:v>Official Competitor DTC</x:v>
      </x:c>
      <x:c r="H979" s="56"/>
      <x:c r="I979" s="56" t="str">
        <x:v>2026-08-01</x:v>
      </x:c>
      <x:c r="J979" s="56" t="str">
        <x:v>Verified Competitor Fact</x:v>
      </x:c>
      <x:c r="K979" s="56" t="str">
        <x:v>High</x:v>
      </x:c>
      <x:c r="L979" s="56" t="str">
        <x:v>Yes</x:v>
      </x:c>
      <x:c r="M979" s="56"/>
      <x:c r="N979" s="56" t="str">
        <x:v>Dynamic sale/reviews.</x:v>
      </x:c>
      <x:c r="O979" s="56" t="str">
        <x:v>Codex</x:v>
      </x:c>
    </x:row>
    <x:row r="980" ht="124" customHeight="1">
      <x:c r="A980" s="56" t="str">
        <x:v>SRC-DKL-045</x:v>
      </x:c>
      <x:c r="B980" s="56" t="str">
        <x:v>KB019</x:v>
      </x:c>
      <x:c r="C980" s="56" t="str">
        <x:v>Competitor — SKIN1004 Soothing Cream</x:v>
      </x:c>
      <x:c r="D980" s="56" t="str">
        <x:v>Ulta displayed Madagascar Centella Soothing Cream 75 mL at $22 and 4.6/569.</x:v>
      </x:c>
      <x:c r="E980" s="56" t="str">
        <x:v>Ulta / SKIN1004</x:v>
      </x:c>
      <x:c r="F980" s="56" t="str">
        <x:v>https://www.ulta.com/p/madagascar-centella-soothing-cream-pimprod2045887?sku=2626861</x:v>
      </x:c>
      <x:c r="G980" s="56" t="str">
        <x:v>Authorized Competitor Retailer</x:v>
      </x:c>
      <x:c r="H980" s="56"/>
      <x:c r="I980" s="56" t="str">
        <x:v>2026-08-01</x:v>
      </x:c>
      <x:c r="J980" s="56" t="str">
        <x:v>Verified Competitor Fact</x:v>
      </x:c>
      <x:c r="K980" s="56" t="str">
        <x:v>High</x:v>
      </x:c>
      <x:c r="L980" s="56" t="str">
        <x:v>Yes</x:v>
      </x:c>
      <x:c r="M980" s="56"/>
      <x:c r="N980" s="56" t="str">
        <x:v>Dynamic price/reviews.</x:v>
      </x:c>
      <x:c r="O980" s="56" t="str">
        <x:v>Codex</x:v>
      </x:c>
    </x:row>
    <x:row r="981" ht="124" customHeight="1">
      <x:c r="A981" s="56" t="str">
        <x:v>SRC-DKL-046</x:v>
      </x:c>
      <x:c r="B981" s="56" t="str">
        <x:v>KB019</x:v>
      </x:c>
      <x:c r="C981" s="56" t="str">
        <x:v>Competitor — ETUDE Barrier Cream</x:v>
      </x:c>
      <x:c r="D981" s="56" t="str">
        <x:v>Ulta displayed SoonJung 2x Barrier Intensive Cream 60 mL at $20.99 and 4.8/256.</x:v>
      </x:c>
      <x:c r="E981" s="56" t="str">
        <x:v>Ulta / ETUDE</x:v>
      </x:c>
      <x:c r="F981" s="56" t="str">
        <x:v>https://www.ulta.com/p/soonjung-2x-barrier-intensive-cream-pimprod2049666?sku=2636347</x:v>
      </x:c>
      <x:c r="G981" s="56" t="str">
        <x:v>Authorized Competitor Retailer</x:v>
      </x:c>
      <x:c r="H981" s="56"/>
      <x:c r="I981" s="56" t="str">
        <x:v>2026-08-01</x:v>
      </x:c>
      <x:c r="J981" s="56" t="str">
        <x:v>Verified Competitor Fact</x:v>
      </x:c>
      <x:c r="K981" s="56" t="str">
        <x:v>High</x:v>
      </x:c>
      <x:c r="L981" s="56" t="str">
        <x:v>Yes</x:v>
      </x:c>
      <x:c r="M981" s="56"/>
      <x:c r="N981" s="56" t="str">
        <x:v>Online-only at time checked.</x:v>
      </x:c>
      <x:c r="O981" s="56" t="str">
        <x:v>Codex</x:v>
      </x:c>
    </x:row>
    <x:row r="982" ht="124" customHeight="1">
      <x:c r="A982" s="56" t="str">
        <x:v>SRC-DKL-047</x:v>
      </x:c>
      <x:c r="B982" s="56" t="str">
        <x:v>KB019</x:v>
      </x:c>
      <x:c r="C982" s="56" t="str">
        <x:v>Competitor — LANEIGE Cica Mask</x:v>
      </x:c>
      <x:c r="D982" s="56" t="str">
        <x:v>Sephora displayed Cica Sleeping Mask 60 mL at $35, about 220 reviews and 18.3K loves.</x:v>
      </x:c>
      <x:c r="E982" s="56" t="str">
        <x:v>Sephora / LANEIGE</x:v>
      </x:c>
      <x:c r="F982" s="56" t="str">
        <x:v>https://www.sephora.com/product/cica-sleeping-mask-for-soothing-relief-with-centella-asiatica-P518864?skuId=2895233</x:v>
      </x:c>
      <x:c r="G982" s="56" t="str">
        <x:v>Authorized Competitor Retailer</x:v>
      </x:c>
      <x:c r="H982" s="56"/>
      <x:c r="I982" s="56" t="str">
        <x:v>2026-08-01</x:v>
      </x:c>
      <x:c r="J982" s="56" t="str">
        <x:v>Verified Competitor Fact</x:v>
      </x:c>
      <x:c r="K982" s="56" t="str">
        <x:v>High</x:v>
      </x:c>
      <x:c r="L982" s="56" t="str">
        <x:v>Yes</x:v>
      </x:c>
      <x:c r="M982" s="56"/>
      <x:c r="N982" s="56" t="str">
        <x:v>Dynamic price/reviews/loves.</x:v>
      </x:c>
      <x:c r="O982" s="56" t="str">
        <x:v>Codex</x:v>
      </x:c>
    </x:row>
    <x:row r="983" ht="124" customHeight="1">
      <x:c r="A983" s="56" t="str">
        <x:v>SRC-DKL-048</x:v>
      </x:c>
      <x:c r="B983" s="56" t="str">
        <x:v>KB019</x:v>
      </x:c>
      <x:c r="C983" s="56" t="str">
        <x:v>FDA — MoCRA registration/listing</x:v>
      </x:c>
      <x:c r="D983" s="56" t="str">
        <x:v>FDA states responsible persons must list each marketed cosmetic product and update annually; facility registration/listing is not FDA approval.</x:v>
      </x:c>
      <x:c r="E983" s="56" t="str">
        <x:v>U.S. FDA</x:v>
      </x:c>
      <x:c r="F983" s="56" t="str">
        <x:v>https://www.fda.gov/cosmetics/registration-listing-cosmetic-product-facilities-and-products</x:v>
      </x:c>
      <x:c r="G983" s="56" t="str">
        <x:v>Regulator</x:v>
      </x:c>
      <x:c r="H983" s="56"/>
      <x:c r="I983" s="56" t="str">
        <x:v>2026-08-01</x:v>
      </x:c>
      <x:c r="J983" s="56" t="str">
        <x:v>Verified Regulatory Requirement</x:v>
      </x:c>
      <x:c r="K983" s="56" t="str">
        <x:v>High</x:v>
      </x:c>
      <x:c r="L983" s="56" t="str">
        <x:v>Yes</x:v>
      </x:c>
      <x:c r="M983" s="56"/>
      <x:c r="N983" s="56" t="str">
        <x:v>Request exact Dear Klairs evidence rather than relying on brand assertions.</x:v>
      </x:c>
      <x:c r="O983" s="56" t="str">
        <x:v>Codex</x:v>
      </x:c>
    </x:row>
    <x:row r="984" ht="124" customHeight="1">
      <x:c r="A984" s="56" t="str">
        <x:v>SRC-DKL-049</x:v>
      </x:c>
      <x:c r="B984" s="56" t="str">
        <x:v>KB019</x:v>
      </x:c>
      <x:c r="C984" s="56" t="str">
        <x:v>FDA — importing cosmetics and claims</x:v>
      </x:c>
      <x:c r="D984" s="56" t="str">
        <x:v>Imported cosmetics must comply with U.S. safety/labeling rules; treatment or structure/function claims can create drug status.</x:v>
      </x:c>
      <x:c r="E984" s="56" t="str">
        <x:v>U.S. FDA</x:v>
      </x:c>
      <x:c r="F984" s="56" t="str">
        <x:v>https://www.fda.gov/cosmetics/cosmetics-international-activities/cosmetics-importers</x:v>
      </x:c>
      <x:c r="G984" s="56" t="str">
        <x:v>Regulator</x:v>
      </x:c>
      <x:c r="H984" s="56"/>
      <x:c r="I984" s="56" t="str">
        <x:v>2026-08-01</x:v>
      </x:c>
      <x:c r="J984" s="56" t="str">
        <x:v>Verified Import / Claims Requirement</x:v>
      </x:c>
      <x:c r="K984" s="56" t="str">
        <x:v>High</x:v>
      </x:c>
      <x:c r="L984" s="56" t="str">
        <x:v>Yes</x:v>
      </x:c>
      <x:c r="M984" s="56"/>
      <x:c r="N984" s="56" t="str">
        <x:v>Review acne, inflammation, repair, post-treatment, EGF and penetration wording.</x:v>
      </x:c>
      <x:c r="O984" s="56" t="str">
        <x:v>Codex</x:v>
      </x:c>
    </x:row>
    <x:row r="985" ht="124" customHeight="1">
      <x:c r="A985" s="56" t="str">
        <x:v>SRC-DKL-050</x:v>
      </x:c>
      <x:c r="B985" s="56" t="str">
        <x:v>KB019</x:v>
      </x:c>
      <x:c r="C985" s="56" t="str">
        <x:v>FDA — cosmetic labeling</x:v>
      </x:c>
      <x:c r="D985" s="56" t="str">
        <x:v>FDA requires English labeling, identity/net quantity, ingredient declarations and marketing-firm name/address for U.S. cosmetics.</x:v>
      </x:c>
      <x:c r="E985" s="56" t="str">
        <x:v>U.S. FDA</x:v>
      </x:c>
      <x:c r="F985" s="56" t="str">
        <x:v>https://www.fda.gov/cosmetics/cosmetics-labeling-regulations/summary-cosmetics-labeling-requirements</x:v>
      </x:c>
      <x:c r="G985" s="56" t="str">
        <x:v>Regulator</x:v>
      </x:c>
      <x:c r="H985" s="56"/>
      <x:c r="I985" s="56" t="str">
        <x:v>2026-08-01</x:v>
      </x:c>
      <x:c r="J985" s="56" t="str">
        <x:v>Verified Labeling Requirement</x:v>
      </x:c>
      <x:c r="K985" s="56" t="str">
        <x:v>High</x:v>
      </x:c>
      <x:c r="L985" s="56" t="str">
        <x:v>Yes</x:v>
      </x:c>
      <x:c r="M985" s="56"/>
      <x:c r="N985" s="56" t="str">
        <x:v>Confirm exact current U.S. artwork and country of origin.</x:v>
      </x:c>
      <x:c r="O985" s="56" t="str">
        <x:v>Codex</x:v>
      </x:c>
    </x:row>
    <x:row r="986" ht="124" customHeight="1">
      <x:c r="A986" s="56" t="str">
        <x:v>SRC-DKL-051</x:v>
      </x:c>
      <x:c r="B986" s="56" t="str">
        <x:v>KB019</x:v>
      </x:c>
      <x:c r="C986" s="56" t="str">
        <x:v>FDA — OTC sunscreen requirements</x:v>
      </x:c>
      <x:c r="D986" s="56" t="str">
        <x:v>FDA requires OTC sunscreens to comply with monograph conditions and Drug Facts/drug-listing requirements.</x:v>
      </x:c>
      <x:c r="E986" s="56" t="str">
        <x:v>U.S. FDA</x:v>
      </x:c>
      <x:c r="F986" s="56" t="str">
        <x:v>https://www.fda.gov/regulatory-information/search-fda-guidance-documents/labeling-and-effectiveness-testing-sunscreen-drug-products-over-counter-human-use-small-entity</x:v>
      </x:c>
      <x:c r="G986" s="56" t="str">
        <x:v>Regulator</x:v>
      </x:c>
      <x:c r="H986" s="56"/>
      <x:c r="I986" s="56" t="str">
        <x:v>2026-08-01</x:v>
      </x:c>
      <x:c r="J986" s="56" t="str">
        <x:v>Verified OTC Requirement</x:v>
      </x:c>
      <x:c r="K986" s="56" t="str">
        <x:v>High</x:v>
      </x:c>
      <x:c r="L986" s="56" t="str">
        <x:v>Yes</x:v>
      </x:c>
      <x:c r="M986" s="56"/>
      <x:c r="N986" s="56" t="str">
        <x:v>Global SPF testing does not substitute for exact U.S. OTC compliance.</x:v>
      </x:c>
      <x:c r="O986" s="56" t="str">
        <x:v>Codex</x:v>
      </x:c>
    </x:row>
    <x:row r="987" ht="124" customHeight="1">
      <x:c r="A987" s="56" t="str">
        <x:v>SRC-DKL-052</x:v>
      </x:c>
      <x:c r="B987" s="56" t="str">
        <x:v>KB019</x:v>
      </x:c>
      <x:c r="C987" s="56" t="str">
        <x:v>DailyMed scoped Dear Klairs search</x:v>
      </x:c>
      <x:c r="D987" s="56" t="str">
        <x:v>Targeted DailyMed/web searches did not identify a current Dear Klairs-branded U.S. OTC sunscreen label in this pass.</x:v>
      </x:c>
      <x:c r="E987" s="56" t="str">
        <x:v>DailyMed / NLM</x:v>
      </x:c>
      <x:c r="F987" s="56" t="str">
        <x:v>https://dailymed.nlm.nih.gov/dailymed/search.cfm?query=Dear%20Klairs</x:v>
      </x:c>
      <x:c r="G987" s="56" t="str">
        <x:v>Official Drug Label Database Search</x:v>
      </x:c>
      <x:c r="H987" s="56"/>
      <x:c r="I987" s="56" t="str">
        <x:v>2026-08-01</x:v>
      </x:c>
      <x:c r="J987" s="56" t="str">
        <x:v>Scoped Negative Evidence</x:v>
      </x:c>
      <x:c r="K987" s="56" t="str">
        <x:v>Medium</x:v>
      </x:c>
      <x:c r="L987" s="56" t="str">
        <x:v>Yes</x:v>
      </x:c>
      <x:c r="M987" s="56"/>
      <x:c r="N987" s="56" t="str">
        <x:v>Not legal clearance; repeat exact product/NDC/manufacturer searches before sourcing any SPF.</x:v>
      </x:c>
      <x:c r="O987" s="56" t="str">
        <x:v>Codex</x:v>
      </x:c>
    </x:row>
    <x:row r="988" ht="126" customHeight="1">
      <x:c r="A988" s="56" t="str">
        <x:v>SRC-HHW-001</x:v>
      </x:c>
      <x:c r="B988" s="56" t="str">
        <x:v>KB020</x:v>
      </x:c>
      <x:c r="C988" s="56" t="str">
        <x:v>Controlling-source website verification</x:v>
      </x:c>
      <x:c r="D988" s="56" t="str">
        <x:v>The controlling workbook URL haruharuworld.com was preserved but was not corroborated as the current official site; current brand-controlled properties use haruharuwonder.com and haruharu.com.</x:v>
      </x:c>
      <x:c r="E988" s="56" t="str">
        <x:v>Controlling Workbook / Independent Verification</x:v>
      </x:c>
      <x:c r="F988" s="56" t="str">
        <x:v>https://haruharuworld.com</x:v>
      </x:c>
      <x:c r="G988" s="56" t="str">
        <x:v>Controlling Source / Conflicting Evidence</x:v>
      </x:c>
      <x:c r="H988" s="56"/>
      <x:c r="I988" s="56" t="str">
        <x:v>2026-08-01</x:v>
      </x:c>
      <x:c r="J988" s="56" t="str">
        <x:v>Source Preservation / Website Verification</x:v>
      </x:c>
      <x:c r="K988" s="56" t="str">
        <x:v>High</x:v>
      </x:c>
      <x:c r="L988" s="56" t="str">
        <x:v>Yes</x:v>
      </x:c>
      <x:c r="M988" s="56"/>
      <x:c r="N988" s="56" t="str">
        <x:v>Do not overwrite the original Source URL; use the Verified field for the current official site.</x:v>
      </x:c>
      <x:c r="O988" s="56" t="str">
        <x:v>Codex</x:v>
      </x:c>
    </x:row>
    <x:row r="989" ht="126" customHeight="1">
      <x:c r="A989" s="56" t="str">
        <x:v>SRC-HHW-002</x:v>
      </x:c>
      <x:c r="B989" s="56" t="str">
        <x:v>KB020</x:v>
      </x:c>
      <x:c r="C989" s="56" t="str">
        <x:v>Current official global website</x:v>
      </x:c>
      <x:c r="D989" s="56" t="str">
        <x:v>Current global/DTC site presents Haruharu Wonder skincare, brand navigation, customer support and U.S. regional-office information.</x:v>
      </x:c>
      <x:c r="E989" s="56" t="str">
        <x:v>Haruharu Wonder</x:v>
      </x:c>
      <x:c r="F989" s="56" t="str">
        <x:v>https://haruharuwonder.com</x:v>
      </x:c>
      <x:c r="G989" s="56" t="str">
        <x:v>Official Brand Website</x:v>
      </x:c>
      <x:c r="H989" s="56"/>
      <x:c r="I989" s="56" t="str">
        <x:v>2026-08-01</x:v>
      </x:c>
      <x:c r="J989" s="56" t="str">
        <x:v>Verified Official Website</x:v>
      </x:c>
      <x:c r="K989" s="56" t="str">
        <x:v>High</x:v>
      </x:c>
      <x:c r="L989" s="56" t="str">
        <x:v>Yes</x:v>
      </x:c>
      <x:c r="M989" s="56"/>
      <x:c r="N989" s="56" t="str">
        <x:v>Global availability does not establish U.S. regulatory clearance for every SKU.</x:v>
      </x:c>
      <x:c r="O989" s="56" t="str">
        <x:v>Codex</x:v>
      </x:c>
    </x:row>
    <x:row r="990" ht="126" customHeight="1">
      <x:c r="A990" s="56" t="str">
        <x:v>SRC-HHW-003</x:v>
      </x:c>
      <x:c r="B990" s="56" t="str">
        <x:v>KB020</x:v>
      </x:c>
      <x:c r="C990" s="56" t="str">
        <x:v>Brand story and category</x:v>
      </x:c>
      <x:c r="D990" s="56" t="str">
        <x:v>Official About page identifies founder/CEO Jae Jeong and positions the brand around fermented black rice, clean/vegan skincare and accessible ritual.</x:v>
      </x:c>
      <x:c r="E990" s="56" t="str">
        <x:v>Haruharu Wonder</x:v>
      </x:c>
      <x:c r="F990" s="56" t="str">
        <x:v>https://haruharuwonder.com/pages/about-us</x:v>
      </x:c>
      <x:c r="G990" s="56" t="str">
        <x:v>Official Brand About Page</x:v>
      </x:c>
      <x:c r="H990" s="56"/>
      <x:c r="I990" s="56" t="str">
        <x:v>2026-08-01</x:v>
      </x:c>
      <x:c r="J990" s="56" t="str">
        <x:v>Verified Category / Awareness</x:v>
      </x:c>
      <x:c r="K990" s="56" t="str">
        <x:v>High</x:v>
      </x:c>
      <x:c r="L990" s="56" t="str">
        <x:v>Yes</x:v>
      </x:c>
      <x:c r="M990" s="56"/>
      <x:c r="N990" s="56" t="str">
        <x:v>Brand claims and awards remain self-reported unless separately corroborated.</x:v>
      </x:c>
      <x:c r="O990" s="56" t="str">
        <x:v>Codex</x:v>
      </x:c>
    </x:row>
    <x:row r="991" ht="126" customHeight="1">
      <x:c r="A991" s="56" t="str">
        <x:v>SRC-HHW-004</x:v>
      </x:c>
      <x:c r="B991" s="56" t="str">
        <x:v>KB020</x:v>
      </x:c>
      <x:c r="C991" s="56" t="str">
        <x:v>Korean corporate identity</x:v>
      </x:c>
      <x:c r="D991" s="56" t="str">
        <x:v>Korean corporate site identifies DFS Company and representative Jaewon Jeong and provides business-registration and Seoul contact details.</x:v>
      </x:c>
      <x:c r="E991" s="56" t="str">
        <x:v>DFS Company</x:v>
      </x:c>
      <x:c r="F991" s="56" t="str">
        <x:v>https://www.haruharu.com/wonderus.html</x:v>
      </x:c>
      <x:c r="G991" s="56" t="str">
        <x:v>Official Corporate Website</x:v>
      </x:c>
      <x:c r="H991" s="56"/>
      <x:c r="I991" s="56" t="str">
        <x:v>2026-08-01</x:v>
      </x:c>
      <x:c r="J991" s="56" t="str">
        <x:v>Entity Verification</x:v>
      </x:c>
      <x:c r="K991" s="56" t="str">
        <x:v>High</x:v>
      </x:c>
      <x:c r="L991" s="56" t="str">
        <x:v>Yes</x:v>
      </x:c>
      <x:c r="M991" s="56"/>
      <x:c r="N991" s="56" t="str">
        <x:v>English transliteration and exact brand-rights ownership require corporate documents.</x:v>
      </x:c>
      <x:c r="O991" s="56" t="str">
        <x:v>Codex</x:v>
      </x:c>
    </x:row>
    <x:row r="992" ht="126" customHeight="1">
      <x:c r="A992" s="56" t="str">
        <x:v>SRC-HHW-005</x:v>
      </x:c>
      <x:c r="B992" s="56" t="str">
        <x:v>KB020</x:v>
      </x:c>
      <x:c r="C992" s="56" t="str">
        <x:v>U.S. regional office disclosure</x:v>
      </x:c>
      <x:c r="D992" s="56" t="str">
        <x:v>Global contact/about information identifies HARUHARU WONDER USA, INC. at 8 The Green, Suite B, Dover, Delaware.</x:v>
      </x:c>
      <x:c r="E992" s="56" t="str">
        <x:v>Haruharu Wonder</x:v>
      </x:c>
      <x:c r="F992" s="56" t="str">
        <x:v>https://haruharuwonder.com/pages/about-us</x:v>
      </x:c>
      <x:c r="G992" s="56" t="str">
        <x:v>Official Brand Disclosure</x:v>
      </x:c>
      <x:c r="H992" s="56"/>
      <x:c r="I992" s="56" t="str">
        <x:v>2026-08-01</x:v>
      </x:c>
      <x:c r="J992" s="56" t="str">
        <x:v>U.S. Entity Signal</x:v>
      </x:c>
      <x:c r="K992" s="56" t="str">
        <x:v>High</x:v>
      </x:c>
      <x:c r="L992" s="56" t="str">
        <x:v>Yes</x:v>
      </x:c>
      <x:c r="M992" s="56"/>
      <x:c r="N992" s="56" t="str">
        <x:v>A regional-office disclosure is not proof of importer, responsible-person or contracting authority.</x:v>
      </x:c>
      <x:c r="O992" s="56" t="str">
        <x:v>Codex</x:v>
      </x:c>
    </x:row>
    <x:row r="993" ht="126" customHeight="1">
      <x:c r="A993" s="56" t="str">
        <x:v>SRC-HHW-006</x:v>
      </x:c>
      <x:c r="B993" s="56" t="str">
        <x:v>KB020</x:v>
      </x:c>
      <x:c r="C993" s="56" t="str">
        <x:v>U.S. portal terms</x:v>
      </x:c>
      <x:c r="D993" s="56" t="str">
        <x:v>haruharuusa.com Terms of Use identify DFS USA INC and an Irvine, California address.</x:v>
      </x:c>
      <x:c r="E993" s="56" t="str">
        <x:v>Haruharu Wonder USA Portal</x:v>
      </x:c>
      <x:c r="F993" s="56" t="str">
        <x:v>https://haruharuusa.com/pages/terms-of-use</x:v>
      </x:c>
      <x:c r="G993" s="56" t="str">
        <x:v>Official U.S.-Facing Terms</x:v>
      </x:c>
      <x:c r="H993" s="56"/>
      <x:c r="I993" s="56" t="str">
        <x:v>2026-08-01</x:v>
      </x:c>
      <x:c r="J993" s="56" t="str">
        <x:v>Entity / Contracting Diligence</x:v>
      </x:c>
      <x:c r="K993" s="56" t="str">
        <x:v>High</x:v>
      </x:c>
      <x:c r="L993" s="56" t="str">
        <x:v>Yes</x:v>
      </x:c>
      <x:c r="M993" s="56"/>
      <x:c r="N993" s="56" t="str">
        <x:v>Relationship to DFS Company and Haruharu Wonder USA, Inc. is not explained on the page.</x:v>
      </x:c>
      <x:c r="O993" s="56" t="str">
        <x:v>Codex</x:v>
      </x:c>
    </x:row>
    <x:row r="994" ht="126" customHeight="1">
      <x:c r="A994" s="56" t="str">
        <x:v>SRC-HHW-007</x:v>
      </x:c>
      <x:c r="B994" s="56" t="str">
        <x:v>KB020</x:v>
      </x:c>
      <x:c r="C994" s="56" t="str">
        <x:v>U.S. portal privacy and StyleKorean relationship</x:v>
      </x:c>
      <x:c r="D994" s="56" t="str">
        <x:v>Privacy policy identifies StyleKorean, Inc. and affiliated brands/services including Haruharu Wonder USA Official.</x:v>
      </x:c>
      <x:c r="E994" s="56" t="str">
        <x:v>Haruharu Wonder USA Portal</x:v>
      </x:c>
      <x:c r="F994" s="56" t="str">
        <x:v>https://haruharuusa.com/pages/privacy-policy</x:v>
      </x:c>
      <x:c r="G994" s="56" t="str">
        <x:v>Official Privacy Policy</x:v>
      </x:c>
      <x:c r="H994" s="56"/>
      <x:c r="I994" s="56" t="str">
        <x:v>2026-08-01</x:v>
      </x:c>
      <x:c r="J994" s="56" t="str">
        <x:v>Entity / Channel Relationship Signal</x:v>
      </x:c>
      <x:c r="K994" s="56" t="str">
        <x:v>High</x:v>
      </x:c>
      <x:c r="L994" s="56" t="str">
        <x:v>Yes</x:v>
      </x:c>
      <x:c r="M994" s="56"/>
      <x:c r="N994" s="56" t="str">
        <x:v>Affiliation does not establish exclusive distribution or inventory ownership.</x:v>
      </x:c>
      <x:c r="O994" s="56" t="str">
        <x:v>Codex</x:v>
      </x:c>
    </x:row>
    <x:row r="995" ht="126" customHeight="1">
      <x:c r="A995" s="56" t="str">
        <x:v>SRC-HHW-008</x:v>
      </x:c>
      <x:c r="B995" s="56" t="str">
        <x:v>KB020</x:v>
      </x:c>
      <x:c r="C995" s="56" t="str">
        <x:v>Official wholesale contact</x:v>
      </x:c>
      <x:c r="D995" s="56" t="str">
        <x:v>Official contact page publishes overseas@thedfs.co.kr for wholesale/distribution inquiries.</x:v>
      </x:c>
      <x:c r="E995" s="56" t="str">
        <x:v>Haruharu Wonder</x:v>
      </x:c>
      <x:c r="F995" s="56" t="str">
        <x:v>https://haruharuwonder.com/policies/contact-information</x:v>
      </x:c>
      <x:c r="G995" s="56" t="str">
        <x:v>Official Contact Page</x:v>
      </x:c>
      <x:c r="H995" s="56"/>
      <x:c r="I995" s="56" t="str">
        <x:v>2026-08-01</x:v>
      </x:c>
      <x:c r="J995" s="56" t="str">
        <x:v>Verified Vendor Contact Route</x:v>
      </x:c>
      <x:c r="K995" s="56" t="str">
        <x:v>High</x:v>
      </x:c>
      <x:c r="L995" s="56" t="str">
        <x:v>Yes</x:v>
      </x:c>
      <x:c r="M995" s="56"/>
      <x:c r="N995" s="56" t="str">
        <x:v>No public MOQ, price list, territory, fulfillment or account-protection terms were provided.</x:v>
      </x:c>
      <x:c r="O995" s="56" t="str">
        <x:v>Codex</x:v>
      </x:c>
    </x:row>
    <x:row r="996" ht="126" customHeight="1">
      <x:c r="A996" s="56" t="str">
        <x:v>SRC-HHW-009</x:v>
      </x:c>
      <x:c r="B996" s="56" t="str">
        <x:v>KB020</x:v>
      </x:c>
      <x:c r="C996" s="56" t="str">
        <x:v>Official retail and social directory</x:v>
      </x:c>
      <x:c r="D996" s="56" t="str">
        <x:v>Official Linktree connects Target, Amazon U.S., Instagram, TikTok and the same wholesale email.</x:v>
      </x:c>
      <x:c r="E996" s="56" t="str">
        <x:v>Haruharu Wonder</x:v>
      </x:c>
      <x:c r="F996" s="56" t="str">
        <x:v>https://linktr.ee/haruharuwonder_official</x:v>
      </x:c>
      <x:c r="G996" s="56" t="str">
        <x:v>Official Link Directory</x:v>
      </x:c>
      <x:c r="H996" s="56"/>
      <x:c r="I996" s="56" t="str">
        <x:v>2026-08-01</x:v>
      </x:c>
      <x:c r="J996" s="56" t="str">
        <x:v>Authorized-Channel / Social Signal</x:v>
      </x:c>
      <x:c r="K996" s="56" t="str">
        <x:v>High</x:v>
      </x:c>
      <x:c r="L996" s="56" t="str">
        <x:v>Yes</x:v>
      </x:c>
      <x:c r="M996" s="56"/>
      <x:c r="N996" s="56" t="str">
        <x:v>Seller authorization still requires offer-level verification on marketplaces.</x:v>
      </x:c>
      <x:c r="O996" s="56" t="str">
        <x:v>Codex</x:v>
      </x:c>
    </x:row>
    <x:row r="997" ht="126" customHeight="1">
      <x:c r="A997" s="56" t="str">
        <x:v>SRC-HHW-010</x:v>
      </x:c>
      <x:c r="B997" s="56" t="str">
        <x:v>KB020</x:v>
      </x:c>
      <x:c r="C997" s="56" t="str">
        <x:v>Nationwide Target launch</x:v>
      </x:c>
      <x:c r="D997" s="56" t="str">
        <x:v>Official January 2026 announcement states Haruharu Wonder launched five core products in Target stores nationwide, all under $25.</x:v>
      </x:c>
      <x:c r="E997" s="56" t="str">
        <x:v>Haruharu Wonder / PR Newswire</x:v>
      </x:c>
      <x:c r="F997" s="56" t="str">
        <x:v>https://www.prnewswire.com/news-releases/viral-korean-skincare-brand-haruharu-wonder-brings-the-wonder-of-ritual-to-target-stores-nationwide-with-gentle-science-backed-vegan-formulas-302652773.html</x:v>
      </x:c>
      <x:c r="G997" s="56" t="str">
        <x:v>Official Brand Announcement</x:v>
      </x:c>
      <x:c r="H997" s="56" t="str">
        <x:v>2026-01-05</x:v>
      </x:c>
      <x:c r="I997" s="56" t="str">
        <x:v>2026-08-01</x:v>
      </x:c>
      <x:c r="J997" s="56" t="str">
        <x:v>Verified U.S. Awareness / Retail Expansion</x:v>
      </x:c>
      <x:c r="K997" s="56" t="str">
        <x:v>High</x:v>
      </x:c>
      <x:c r="L997" s="56" t="str">
        <x:v>Yes</x:v>
      </x:c>
      <x:c r="M997" s="56"/>
      <x:c r="N997" s="56" t="str">
        <x:v>Promotional release; store count and sell-through were not disclosed.</x:v>
      </x:c>
      <x:c r="O997" s="56" t="str">
        <x:v>Codex</x:v>
      </x:c>
    </x:row>
    <x:row r="998" ht="126" customHeight="1">
      <x:c r="A998" s="56" t="str">
        <x:v>SRC-HHW-011</x:v>
      </x:c>
      <x:c r="B998" s="56" t="str">
        <x:v>KB020</x:v>
      </x:c>
      <x:c r="C998" s="56" t="str">
        <x:v>Target brand assortment</x:v>
      </x:c>
      <x:c r="D998" s="56" t="str">
        <x:v>Target brand page displayed 12 current Haruharu Wonder items and multiple high monthly-purchase badges.</x:v>
      </x:c>
      <x:c r="E998" s="56" t="str">
        <x:v>Target</x:v>
      </x:c>
      <x:c r="F998" s="56" t="str">
        <x:v>https://www.target.com/b/haruharu-wonder/-/N-q643lerulhy</x:v>
      </x:c>
      <x:c r="G998" s="56" t="str">
        <x:v>First-Party Retailer Brand Page</x:v>
      </x:c>
      <x:c r="H998" s="56"/>
      <x:c r="I998" s="56" t="str">
        <x:v>2026-08-01</x:v>
      </x:c>
      <x:c r="J998" s="56" t="str">
        <x:v>Verified U.S. Retail Presence</x:v>
      </x:c>
      <x:c r="K998" s="56" t="str">
        <x:v>High</x:v>
      </x:c>
      <x:c r="L998" s="56" t="str">
        <x:v>Yes</x:v>
      </x:c>
      <x:c r="M998" s="56"/>
      <x:c r="N998" s="56" t="str">
        <x:v>Prices, badges, reviews and assortment are dynamic.</x:v>
      </x:c>
      <x:c r="O998" s="56" t="str">
        <x:v>Codex</x:v>
      </x:c>
    </x:row>
    <x:row r="999" ht="126" customHeight="1">
      <x:c r="A999" s="56" t="str">
        <x:v>SRC-HHW-012</x:v>
      </x:c>
      <x:c r="B999" s="56" t="str">
        <x:v>KB020</x:v>
      </x:c>
      <x:c r="C999" s="56" t="str">
        <x:v>Verified primary category</x:v>
      </x:c>
      <x:c r="D999" s="56" t="str">
        <x:v>Official site navigation and current assortment confirm facial skincare as the primary category, led by toners, essences, cleansers, moisturizers, eye care and serums.</x:v>
      </x:c>
      <x:c r="E999" s="56" t="str">
        <x:v>Haruharu Wonder</x:v>
      </x:c>
      <x:c r="F999" s="56" t="str">
        <x:v>https://haruharuwonder.com/collections/all</x:v>
      </x:c>
      <x:c r="G999" s="56" t="str">
        <x:v>Official Product Collection</x:v>
      </x:c>
      <x:c r="H999" s="56"/>
      <x:c r="I999" s="56" t="str">
        <x:v>2026-08-01</x:v>
      </x:c>
      <x:c r="J999" s="56" t="str">
        <x:v>Verified Primary Category</x:v>
      </x:c>
      <x:c r="K999" s="56" t="str">
        <x:v>High</x:v>
      </x:c>
      <x:c r="L999" s="56" t="str">
        <x:v>Yes</x:v>
      </x:c>
      <x:c r="M999" s="56"/>
      <x:c r="N999" s="56" t="str">
        <x:v>Global collection includes sun care; U.S. legality must be evaluated separately.</x:v>
      </x:c>
      <x:c r="O999" s="56" t="str">
        <x:v>Codex</x:v>
      </x:c>
    </x:row>
    <x:row r="1000" ht="126" customHeight="1">
      <x:c r="A1000" s="56" t="str">
        <x:v>SRC-HHW-013</x:v>
      </x:c>
      <x:c r="B1000" s="56" t="str">
        <x:v>KB020</x:v>
      </x:c>
      <x:c r="C1000" s="56" t="str">
        <x:v>Official Barrier Essence product</x:v>
      </x:c>
      <x:c r="D1000" s="56" t="str">
        <x:v>Official PDP describes a 120 mL fermented-black-rice, probiotic and multi-lipid barrier essence at $28 list.</x:v>
      </x:c>
      <x:c r="E1000" s="56" t="str">
        <x:v>Haruharu Wonder</x:v>
      </x:c>
      <x:c r="F1000" s="56" t="str">
        <x:v>https://haruharuwonder.com/products/haruharuwonder-black-rice-probiotics-barrier-essence</x:v>
      </x:c>
      <x:c r="G1000" s="56" t="str">
        <x:v>Official Product Page</x:v>
      </x:c>
      <x:c r="H1000" s="56"/>
      <x:c r="I1000" s="56" t="str">
        <x:v>2026-08-01</x:v>
      </x:c>
      <x:c r="J1000" s="56" t="str">
        <x:v>Hero Product / Price / Formula</x:v>
      </x:c>
      <x:c r="K1000" s="56" t="str">
        <x:v>High</x:v>
      </x:c>
      <x:c r="L1000" s="56" t="str">
        <x:v>Yes</x:v>
      </x:c>
      <x:c r="M1000" s="56"/>
      <x:c r="N1000" s="56" t="str">
        <x:v>Verify exact U.S. label, INCI, claims and current manufacturing specification.</x:v>
      </x:c>
      <x:c r="O1000" s="56" t="str">
        <x:v>Codex</x:v>
      </x:c>
    </x:row>
    <x:row r="1001" ht="126" customHeight="1">
      <x:c r="A1001" s="56" t="str">
        <x:v>SRC-HHW-014</x:v>
      </x:c>
      <x:c r="B1001" s="56" t="str">
        <x:v>KB020</x:v>
      </x:c>
      <x:c r="C1001" s="56" t="str">
        <x:v>Official Cleansing Oil product</x:v>
      </x:c>
      <x:c r="D1001" s="56" t="str">
        <x:v>Official PDP presents the 150 mL Black Rice Moisture Cleansing Oil at $25 with a short oil-based ingredient system.</x:v>
      </x:c>
      <x:c r="E1001" s="56" t="str">
        <x:v>Haruharu Wonder</x:v>
      </x:c>
      <x:c r="F1001" s="56" t="str">
        <x:v>https://haruharuwonder.com/products/haruharuwonder-black-rice-moisture-cleansing-oil</x:v>
      </x:c>
      <x:c r="G1001" s="56" t="str">
        <x:v>Official Product Page</x:v>
      </x:c>
      <x:c r="H1001" s="56"/>
      <x:c r="I1001" s="56" t="str">
        <x:v>2026-08-01</x:v>
      </x:c>
      <x:c r="J1001" s="56" t="str">
        <x:v>Hero Product / Price / Formula</x:v>
      </x:c>
      <x:c r="K1001" s="56" t="str">
        <x:v>High</x:v>
      </x:c>
      <x:c r="L1001" s="56" t="str">
        <x:v>Yes</x:v>
      </x:c>
      <x:c r="M1001" s="56"/>
      <x:c r="N1001" s="56" t="str">
        <x:v>Claims about acne, blackheads or inflammation require U.S. legal review.</x:v>
      </x:c>
      <x:c r="O1001" s="56" t="str">
        <x:v>Codex</x:v>
      </x:c>
    </x:row>
    <x:row r="1002" ht="126" customHeight="1">
      <x:c r="A1002" s="56" t="str">
        <x:v>SRC-HHW-015</x:v>
      </x:c>
      <x:c r="B1002" s="56" t="str">
        <x:v>KB020</x:v>
      </x:c>
      <x:c r="C1002" s="56" t="str">
        <x:v>Official fragrance-free toner product</x:v>
      </x:c>
      <x:c r="D1002" s="56" t="str">
        <x:v>Official PDP presents the alcohol- and fragrance-free Black Rice Hyaluronic Toner 150 mL at $18.</x:v>
      </x:c>
      <x:c r="E1002" s="56" t="str">
        <x:v>Haruharu Wonder</x:v>
      </x:c>
      <x:c r="F1002" s="56" t="str">
        <x:v>https://haruharuwonder.com/products/haruharuwonder-black-rice-hyaluronic-toner-for-sensitive-skin</x:v>
      </x:c>
      <x:c r="G1002" s="56" t="str">
        <x:v>Official Product Page</x:v>
      </x:c>
      <x:c r="H1002" s="56"/>
      <x:c r="I1002" s="56" t="str">
        <x:v>2026-08-01</x:v>
      </x:c>
      <x:c r="J1002" s="56" t="str">
        <x:v>Legacy Hero / Price / Formula</x:v>
      </x:c>
      <x:c r="K1002" s="56" t="str">
        <x:v>High</x:v>
      </x:c>
      <x:c r="L1002" s="56" t="str">
        <x:v>Yes</x:v>
      </x:c>
      <x:c r="M1002" s="56"/>
      <x:c r="N1002" s="56" t="str">
        <x:v>Confirm original-versus-unscented UPC, INCI, packaging and formula history.</x:v>
      </x:c>
      <x:c r="O1002" s="56" t="str">
        <x:v>Codex</x:v>
      </x:c>
    </x:row>
    <x:row r="1003" ht="126" customHeight="1">
      <x:c r="A1003" s="56" t="str">
        <x:v>SRC-HHW-016</x:v>
      </x:c>
      <x:c r="B1003" s="56" t="str">
        <x:v>KB020</x:v>
      </x:c>
      <x:c r="C1003" s="56" t="str">
        <x:v>Target Barrier Essence listing</x:v>
      </x:c>
      <x:c r="D1003" s="56" t="str">
        <x:v>Target displayed the Barrier Essence at $6.99-$19.99, about 4.78/90 and 6K+ bought/month across displayed size variants.</x:v>
      </x:c>
      <x:c r="E1003" s="56" t="str">
        <x:v>Target</x:v>
      </x:c>
      <x:c r="F1003" s="56" t="str">
        <x:v>https://www.target.com/p/-/A-94776501</x:v>
      </x:c>
      <x:c r="G1003" s="56" t="str">
        <x:v>First-Party Retailer Product Page</x:v>
      </x:c>
      <x:c r="H1003" s="56"/>
      <x:c r="I1003" s="56" t="str">
        <x:v>2026-08-01</x:v>
      </x:c>
      <x:c r="J1003" s="56" t="str">
        <x:v>Demand / Price / Review Signal</x:v>
      </x:c>
      <x:c r="K1003" s="56" t="str">
        <x:v>High</x:v>
      </x:c>
      <x:c r="L1003" s="56" t="str">
        <x:v>Yes</x:v>
      </x:c>
      <x:c r="M1003" s="56"/>
      <x:c r="N1003" s="56" t="str">
        <x:v>Variant-level badge may combine sizes; metrics are dynamic.</x:v>
      </x:c>
      <x:c r="O1003" s="56" t="str">
        <x:v>Codex</x:v>
      </x:c>
    </x:row>
    <x:row r="1004" ht="126" customHeight="1">
      <x:c r="A1004" s="56" t="str">
        <x:v>SRC-HHW-017</x:v>
      </x:c>
      <x:c r="B1004" s="56" t="str">
        <x:v>KB020</x:v>
      </x:c>
      <x:c r="C1004" s="56" t="str">
        <x:v>Target Bakuchiol Eye Cream listing</x:v>
      </x:c>
      <x:c r="D1004" s="56" t="str">
        <x:v>Target displayed the 20 mL eye cream at $12.99, about 4.3/21 and 4K+ bought/month.</x:v>
      </x:c>
      <x:c r="E1004" s="56" t="str">
        <x:v>Target</x:v>
      </x:c>
      <x:c r="F1004" s="56" t="str">
        <x:v>https://www.target.com/p/-/A-94743157</x:v>
      </x:c>
      <x:c r="G1004" s="56" t="str">
        <x:v>First-Party Retailer Product Page</x:v>
      </x:c>
      <x:c r="H1004" s="56"/>
      <x:c r="I1004" s="56" t="str">
        <x:v>2026-08-01</x:v>
      </x:c>
      <x:c r="J1004" s="56" t="str">
        <x:v>Demand / Price / Review Signal</x:v>
      </x:c>
      <x:c r="K1004" s="56" t="str">
        <x:v>High</x:v>
      </x:c>
      <x:c r="L1004" s="56" t="str">
        <x:v>Yes</x:v>
      </x:c>
      <x:c r="M1004" s="56"/>
      <x:c r="N1004" s="56" t="str">
        <x:v>Small early review base and dynamic purchase badge.</x:v>
      </x:c>
      <x:c r="O1004" s="56" t="str">
        <x:v>Codex</x:v>
      </x:c>
    </x:row>
    <x:row r="1005" ht="126" customHeight="1">
      <x:c r="A1005" s="56" t="str">
        <x:v>SRC-HHW-018</x:v>
      </x:c>
      <x:c r="B1005" s="56" t="str">
        <x:v>KB020</x:v>
      </x:c>
      <x:c r="C1005" s="56" t="str">
        <x:v>Official Airyfit sunscreen formula</x:v>
      </x:c>
      <x:c r="D1005" s="56" t="str">
        <x:v>Global PDP lists multiple UV filters and $22 pricing for Airyfit Daily Sunscreen SPF50+/PA++++.</x:v>
      </x:c>
      <x:c r="E1005" s="56" t="str">
        <x:v>Haruharu Wonder</x:v>
      </x:c>
      <x:c r="F1005" s="56" t="str">
        <x:v>https://haruharuwonder.com/products/haruharuwonder-black-rice-moisture-airyfit-daily-sunscreen-unscented-spf50-50ml</x:v>
      </x:c>
      <x:c r="G1005" s="56" t="str">
        <x:v>Official Global Product Page</x:v>
      </x:c>
      <x:c r="H1005" s="56"/>
      <x:c r="I1005" s="56" t="str">
        <x:v>2026-08-01</x:v>
      </x:c>
      <x:c r="J1005" s="56" t="str">
        <x:v>Market Hero / Formula / Regulatory Trigger</x:v>
      </x:c>
      <x:c r="K1005" s="56" t="str">
        <x:v>High</x:v>
      </x:c>
      <x:c r="L1005" s="56" t="str">
        <x:v>Yes</x:v>
      </x:c>
      <x:c r="M1005" s="56"/>
      <x:c r="N1005" s="56" t="str">
        <x:v>Global SPF labeling and INCI do not establish lawful U.S. OTC marketing.</x:v>
      </x:c>
      <x:c r="O1005" s="56" t="str">
        <x:v>Codex</x:v>
      </x:c>
    </x:row>
    <x:row r="1006" ht="126" customHeight="1">
      <x:c r="A1006" s="56" t="str">
        <x:v>SRC-HHW-019</x:v>
      </x:c>
      <x:c r="B1006" s="56" t="str">
        <x:v>KB020</x:v>
      </x:c>
      <x:c r="C1006" s="56" t="str">
        <x:v>Target 5 Ceramide Cream demand</x:v>
      </x:c>
      <x:c r="D1006" s="56" t="str">
        <x:v>Target brand page displayed the 5 Ceramide Barrier Moisturizing Cream at $19.99, about 4.5/50 and 6K+ bought/month.</x:v>
      </x:c>
      <x:c r="E1006" s="56" t="str">
        <x:v>Target</x:v>
      </x:c>
      <x:c r="F1006" s="56" t="str">
        <x:v>https://www.target.com/b/haruharu-wonder/-/N-q643lerulhy</x:v>
      </x:c>
      <x:c r="G1006" s="56" t="str">
        <x:v>First-Party Retailer Display</x:v>
      </x:c>
      <x:c r="H1006" s="56"/>
      <x:c r="I1006" s="56" t="str">
        <x:v>2026-08-01</x:v>
      </x:c>
      <x:c r="J1006" s="56" t="str">
        <x:v>Hero / Demand Signal</x:v>
      </x:c>
      <x:c r="K1006" s="56" t="str">
        <x:v>High</x:v>
      </x:c>
      <x:c r="L1006" s="56" t="str">
        <x:v>Yes</x:v>
      </x:c>
      <x:c r="M1006" s="56"/>
      <x:c r="N1006" s="56" t="str">
        <x:v>Metrics are dynamic and should be rechecked at quotation.</x:v>
      </x:c>
      <x:c r="O1006" s="56" t="str">
        <x:v>Codex</x:v>
      </x:c>
    </x:row>
    <x:row r="1007" ht="126" customHeight="1">
      <x:c r="A1007" s="56" t="str">
        <x:v>SRC-HHW-020</x:v>
      </x:c>
      <x:c r="B1007" s="56" t="str">
        <x:v>KB020</x:v>
      </x:c>
      <x:c r="C1007" s="56" t="str">
        <x:v>Amazon brand-store and seller verification</x:v>
      </x:c>
      <x:c r="D1007" s="56" t="str">
        <x:v>Official Linktree points to Amazon U.S., but sampled product offers showed both Haruharu wonder and third-party Breezesun sellers.</x:v>
      </x:c>
      <x:c r="E1007" s="56" t="str">
        <x:v>Amazon U.S. / Haruharu Wonder</x:v>
      </x:c>
      <x:c r="F1007" s="56" t="str">
        <x:v>https://www.amazon.com/stores/HARUHARU/page/</x:v>
      </x:c>
      <x:c r="G1007" s="56" t="str">
        <x:v>Official-Link / Marketplace Verification</x:v>
      </x:c>
      <x:c r="H1007" s="56"/>
      <x:c r="I1007" s="56" t="str">
        <x:v>2026-08-01</x:v>
      </x:c>
      <x:c r="J1007" s="56" t="str">
        <x:v>Seller-Level Channel Risk</x:v>
      </x:c>
      <x:c r="K1007" s="56" t="str">
        <x:v>High</x:v>
      </x:c>
      <x:c r="L1007" s="56" t="str">
        <x:v>Yes</x:v>
      </x:c>
      <x:c r="M1007" s="56"/>
      <x:c r="N1007" s="56" t="str">
        <x:v>Brand-store presence does not authenticate every offer or establish authorization per seller.</x:v>
      </x:c>
      <x:c r="O1007" s="56" t="str">
        <x:v>Codex</x:v>
      </x:c>
    </x:row>
    <x:row r="1008" ht="126" customHeight="1">
      <x:c r="A1008" s="56" t="str">
        <x:v>SRC-HHW-021</x:v>
      </x:c>
      <x:c r="B1008" s="56" t="str">
        <x:v>KB020</x:v>
      </x:c>
      <x:c r="C1008" s="56" t="str">
        <x:v>Amazon — Barrier Essence</x:v>
      </x:c>
      <x:c r="D1008" s="56" t="str">
        <x:v>ASIN B0D95M72BF displayed $19.99, 10K+ bought/month and #21 Facial Toners, sold by Haruharu wonder and shipped by Amazon.</x:v>
      </x:c>
      <x:c r="E1008" s="56" t="str">
        <x:v>Amazon U.S.</x:v>
      </x:c>
      <x:c r="F1008" s="56" t="str">
        <x:v>https://www.amazon.com/dp/B0D95M72BF</x:v>
      </x:c>
      <x:c r="G1008" s="56" t="str">
        <x:v>Marketplace Product Page</x:v>
      </x:c>
      <x:c r="H1008" s="56"/>
      <x:c r="I1008" s="56" t="str">
        <x:v>2026-08-01</x:v>
      </x:c>
      <x:c r="J1008" s="56" t="str">
        <x:v>Verified Offer / Demand Signal</x:v>
      </x:c>
      <x:c r="K1008" s="56" t="str">
        <x:v>High</x:v>
      </x:c>
      <x:c r="L1008" s="56" t="str">
        <x:v>Yes</x:v>
      </x:c>
      <x:c r="M1008" s="56"/>
      <x:c r="N1008" s="56" t="str">
        <x:v>Dynamic rounded badge and rank; brand ownership of seller account requires documentary proof.</x:v>
      </x:c>
      <x:c r="O1008" s="56" t="str">
        <x:v>Codex</x:v>
      </x:c>
    </x:row>
    <x:row r="1009" ht="126" customHeight="1">
      <x:c r="A1009" s="56" t="str">
        <x:v>SRC-HHW-022</x:v>
      </x:c>
      <x:c r="B1009" s="56" t="str">
        <x:v>KB020</x:v>
      </x:c>
      <x:c r="C1009" s="56" t="str">
        <x:v>Amazon — Cleansing Oil</x:v>
      </x:c>
      <x:c r="D1009" s="56" t="str">
        <x:v>ASIN B08W1ZHTL3 displayed $15.99 one-time, 8K+ bought/month, 800+ bought/week, 4.4/4,381 and #6 Makeup Cleansing Oils, sold by Haruharu wonder and shipped by Amazon.</x:v>
      </x:c>
      <x:c r="E1009" s="56" t="str">
        <x:v>Amazon U.S.</x:v>
      </x:c>
      <x:c r="F1009" s="56" t="str">
        <x:v>https://www.amazon.com/dp/B08W1ZHTL3</x:v>
      </x:c>
      <x:c r="G1009" s="56" t="str">
        <x:v>Marketplace Product Page</x:v>
      </x:c>
      <x:c r="H1009" s="56"/>
      <x:c r="I1009" s="56" t="str">
        <x:v>2026-08-01</x:v>
      </x:c>
      <x:c r="J1009" s="56" t="str">
        <x:v>Verified Offer / Demand / Review Signal</x:v>
      </x:c>
      <x:c r="K1009" s="56" t="str">
        <x:v>High</x:v>
      </x:c>
      <x:c r="L1009" s="56" t="str">
        <x:v>Yes</x:v>
      </x:c>
      <x:c r="M1009" s="56"/>
      <x:c r="N1009" s="56" t="str">
        <x:v>Dynamic marketplace display; review and seller details may change.</x:v>
      </x:c>
      <x:c r="O1009" s="56" t="str">
        <x:v>Codex</x:v>
      </x:c>
    </x:row>
    <x:row r="1010" ht="126" customHeight="1">
      <x:c r="A1010" s="56" t="str">
        <x:v>SRC-HHW-023</x:v>
      </x:c>
      <x:c r="B1010" s="56" t="str">
        <x:v>KB020</x:v>
      </x:c>
      <x:c r="C1010" s="56" t="str">
        <x:v>Amazon — Unscented Toner</x:v>
      </x:c>
      <x:c r="D1010" s="56" t="str">
        <x:v>ASIN B0971YC8W1 displayed $13.99, 3K+ bought/month and #41 Facial Toners, sold by Haruharu wonder and shipped by Amazon.</x:v>
      </x:c>
      <x:c r="E1010" s="56" t="str">
        <x:v>Amazon U.S.</x:v>
      </x:c>
      <x:c r="F1010" s="56" t="str">
        <x:v>https://www.amazon.com/dp/B0971YC8W1</x:v>
      </x:c>
      <x:c r="G1010" s="56" t="str">
        <x:v>Marketplace Product Page</x:v>
      </x:c>
      <x:c r="H1010" s="56"/>
      <x:c r="I1010" s="56" t="str">
        <x:v>2026-08-01</x:v>
      </x:c>
      <x:c r="J1010" s="56" t="str">
        <x:v>Verified Offer / Demand Signal</x:v>
      </x:c>
      <x:c r="K1010" s="56" t="str">
        <x:v>High</x:v>
      </x:c>
      <x:c r="L1010" s="56" t="str">
        <x:v>Yes</x:v>
      </x:c>
      <x:c r="M1010" s="56"/>
      <x:c r="N1010" s="56" t="str">
        <x:v>Dynamic rounded badge and rank; exact variant must remain controlled.</x:v>
      </x:c>
      <x:c r="O1010" s="56" t="str">
        <x:v>Codex</x:v>
      </x:c>
    </x:row>
    <x:row r="1011" ht="126" customHeight="1">
      <x:c r="A1011" s="56" t="str">
        <x:v>SRC-HHW-024</x:v>
      </x:c>
      <x:c r="B1011" s="56" t="str">
        <x:v>KB020</x:v>
      </x:c>
      <x:c r="C1011" s="56" t="str">
        <x:v>Amazon — Airyfit Sunscreen</x:v>
      </x:c>
      <x:c r="D1011" s="56" t="str">
        <x:v>ASIN B0BZ3G9GKL displayed 30K+ bought/month, Amazon's Choice, #350 Beauty and #11 Facial Sunscreens, but the offer seller was Breezesun.</x:v>
      </x:c>
      <x:c r="E1011" s="56" t="str">
        <x:v>Amazon U.S.</x:v>
      </x:c>
      <x:c r="F1011" s="56" t="str">
        <x:v>https://www.amazon.com/dp/B0BZ3G9GKL</x:v>
      </x:c>
      <x:c r="G1011" s="56" t="str">
        <x:v>Third-Party Marketplace Product Page</x:v>
      </x:c>
      <x:c r="H1011" s="56"/>
      <x:c r="I1011" s="56" t="str">
        <x:v>2026-08-01</x:v>
      </x:c>
      <x:c r="J1011" s="56" t="str">
        <x:v>Exceptional Demand / Authorization Risk</x:v>
      </x:c>
      <x:c r="K1011" s="56" t="str">
        <x:v>High</x:v>
      </x:c>
      <x:c r="L1011" s="56" t="str">
        <x:v>Yes</x:v>
      </x:c>
      <x:c r="M1011" s="56"/>
      <x:c r="N1011" s="56" t="str">
        <x:v>Excluded from official-seller floor; seller authorization, authenticity and U.S. OTC status are unresolved.</x:v>
      </x:c>
      <x:c r="O1011" s="56" t="str">
        <x:v>Codex</x:v>
      </x:c>
    </x:row>
    <x:row r="1012" ht="126" customHeight="1">
      <x:c r="A1012" s="56" t="str">
        <x:v>SRC-HHW-025</x:v>
      </x:c>
      <x:c r="B1012" s="56" t="str">
        <x:v>KB020</x:v>
      </x:c>
      <x:c r="C1012" s="56" t="str">
        <x:v>Target core assortment performance</x:v>
      </x:c>
      <x:c r="D1012" s="56" t="str">
        <x:v>Target displayed strong current purchase badges across Barrier Essence, 5 Ceramide Cream, Eye Cream, Toner, Cleansing Oil and newer lines.</x:v>
      </x:c>
      <x:c r="E1012" s="56" t="str">
        <x:v>Target</x:v>
      </x:c>
      <x:c r="F1012" s="56" t="str">
        <x:v>https://www.target.com/b/haruharu-wonder/-/N-q643lerulhy</x:v>
      </x:c>
      <x:c r="G1012" s="56" t="str">
        <x:v>First-Party Retailer Assortment</x:v>
      </x:c>
      <x:c r="H1012" s="56"/>
      <x:c r="I1012" s="56" t="str">
        <x:v>2026-08-01</x:v>
      </x:c>
      <x:c r="J1012" s="56" t="str">
        <x:v>Mainstream Scale / Basket Signal</x:v>
      </x:c>
      <x:c r="K1012" s="56" t="str">
        <x:v>High</x:v>
      </x:c>
      <x:c r="L1012" s="56" t="str">
        <x:v>Yes</x:v>
      </x:c>
      <x:c r="M1012" s="56"/>
      <x:c r="N1012" s="56" t="str">
        <x:v>Purchase badges and review totals are dynamic and may aggregate variants.</x:v>
      </x:c>
      <x:c r="O1012" s="56" t="str">
        <x:v>Codex</x:v>
      </x:c>
    </x:row>
    <x:row r="1013" ht="126" customHeight="1">
      <x:c r="A1013" s="56" t="str">
        <x:v>SRC-HHW-026</x:v>
      </x:c>
      <x:c r="B1013" s="56" t="str">
        <x:v>KB020</x:v>
      </x:c>
      <x:c r="C1013" s="56" t="str">
        <x:v>Amazon official-seller sales-floor calculation</x:v>
      </x:c>
      <x:c r="D1013" s="56" t="str">
        <x:v>Three sampled Haruharu-wonder seller offers imply at least 21,000 monthly units and about $369,790 gross proxy at observed one-time prices.</x:v>
      </x:c>
      <x:c r="E1013" s="56" t="str">
        <x:v>Analyst Calculation</x:v>
      </x:c>
      <x:c r="F1013" s="56" t="str">
        <x:v>https://www.amazon.com/dp/B0D95M72BF</x:v>
      </x:c>
      <x:c r="G1013" s="56" t="str">
        <x:v>Derived from Marketplace Displays</x:v>
      </x:c>
      <x:c r="H1013" s="56"/>
      <x:c r="I1013" s="56" t="str">
        <x:v>2026-08-01</x:v>
      </x:c>
      <x:c r="J1013" s="56" t="str">
        <x:v>Conservative Sales Proxy</x:v>
      </x:c>
      <x:c r="K1013" s="56" t="str">
        <x:v>Medium-High</x:v>
      </x:c>
      <x:c r="L1013" s="56" t="str">
        <x:v>Yes</x:v>
      </x:c>
      <x:c r="M1013" s="56"/>
      <x:c r="N1013" s="56" t="str">
        <x:v>$199,900 Barrier Essence + $127,920 Oil + $41,970 Toner; rounded badge minimums, asynchronous and not audited revenue.</x:v>
      </x:c>
      <x:c r="O1013" s="56" t="str">
        <x:v>Codex</x:v>
      </x:c>
    </x:row>
    <x:row r="1014" ht="126" customHeight="1">
      <x:c r="A1014" s="56" t="str">
        <x:v>SRC-HHW-027</x:v>
      </x:c>
      <x:c r="B1014" s="56" t="str">
        <x:v>KB020</x:v>
      </x:c>
      <x:c r="C1014" s="56" t="str">
        <x:v>Cleansing Oil Amazon category strength</x:v>
      </x:c>
      <x:c r="D1014" s="56" t="str">
        <x:v>Current Amazon display supports the cleansing oil as a repeat-purchase hero with deep review count and top-10 subcategory rank.</x:v>
      </x:c>
      <x:c r="E1014" s="56" t="str">
        <x:v>Amazon U.S.</x:v>
      </x:c>
      <x:c r="F1014" s="56" t="str">
        <x:v>https://www.amazon.com/dp/B08W1ZHTL3</x:v>
      </x:c>
      <x:c r="G1014" s="56" t="str">
        <x:v>Marketplace Category / Review Signal</x:v>
      </x:c>
      <x:c r="H1014" s="56"/>
      <x:c r="I1014" s="56" t="str">
        <x:v>2026-08-01</x:v>
      </x:c>
      <x:c r="J1014" s="56" t="str">
        <x:v>Hero Sales Strength</x:v>
      </x:c>
      <x:c r="K1014" s="56" t="str">
        <x:v>High</x:v>
      </x:c>
      <x:c r="L1014" s="56" t="str">
        <x:v>Yes</x:v>
      </x:c>
      <x:c r="M1014" s="56"/>
      <x:c r="N1014" s="56" t="str">
        <x:v>Rank and badge are snapshots, not inventory-adjusted sell-through.</x:v>
      </x:c>
      <x:c r="O1014" s="56" t="str">
        <x:v>Codex</x:v>
      </x:c>
    </x:row>
    <x:row r="1015" ht="126" customHeight="1">
      <x:c r="A1015" s="56" t="str">
        <x:v>SRC-HHW-028</x:v>
      </x:c>
      <x:c r="B1015" s="56" t="str">
        <x:v>KB020</x:v>
      </x:c>
      <x:c r="C1015" s="56" t="str">
        <x:v>Toner cross-retailer validation</x:v>
      </x:c>
      <x:c r="D1015" s="56" t="str">
        <x:v>Amazon and Target both showed the fragrance-free toner at $13.99 with sustained consumer activity.</x:v>
      </x:c>
      <x:c r="E1015" s="56" t="str">
        <x:v>Amazon U.S. / Target</x:v>
      </x:c>
      <x:c r="F1015" s="56" t="str">
        <x:v>https://www.amazon.com/dp/B0971YC8W1</x:v>
      </x:c>
      <x:c r="G1015" s="56" t="str">
        <x:v>Cross-Retailer Verification</x:v>
      </x:c>
      <x:c r="H1015" s="56"/>
      <x:c r="I1015" s="56" t="str">
        <x:v>2026-08-01</x:v>
      </x:c>
      <x:c r="J1015" s="56" t="str">
        <x:v>Legacy Hero / Price Signal</x:v>
      </x:c>
      <x:c r="K1015" s="56" t="str">
        <x:v>High</x:v>
      </x:c>
      <x:c r="L1015" s="56" t="str">
        <x:v>Yes</x:v>
      </x:c>
      <x:c r="M1015" s="56"/>
      <x:c r="N1015" s="56" t="str">
        <x:v>Target and Amazon metrics are dynamic and not directly additive.</x:v>
      </x:c>
      <x:c r="O1015" s="56" t="str">
        <x:v>Codex</x:v>
      </x:c>
    </x:row>
    <x:row r="1016" ht="126" customHeight="1">
      <x:c r="A1016" s="56" t="str">
        <x:v>SRC-HHW-029</x:v>
      </x:c>
      <x:c r="B1016" s="56" t="str">
        <x:v>KB020</x:v>
      </x:c>
      <x:c r="C1016" s="56" t="str">
        <x:v>Eye Cream Target traction</x:v>
      </x:c>
      <x:c r="D1016" s="56" t="str">
        <x:v>Target's 4K+ bought/month display materially expands the eye cream beyond an add-on-only role.</x:v>
      </x:c>
      <x:c r="E1016" s="56" t="str">
        <x:v>Target</x:v>
      </x:c>
      <x:c r="F1016" s="56" t="str">
        <x:v>https://www.target.com/p/-/A-94743157</x:v>
      </x:c>
      <x:c r="G1016" s="56" t="str">
        <x:v>First-Party Retailer Demand Signal</x:v>
      </x:c>
      <x:c r="H1016" s="56"/>
      <x:c r="I1016" s="56" t="str">
        <x:v>2026-08-01</x:v>
      </x:c>
      <x:c r="J1016" s="56" t="str">
        <x:v>Hero Sales Strength</x:v>
      </x:c>
      <x:c r="K1016" s="56" t="str">
        <x:v>High</x:v>
      </x:c>
      <x:c r="L1016" s="56" t="str">
        <x:v>Yes</x:v>
      </x:c>
      <x:c r="M1016" s="56"/>
      <x:c r="N1016" s="56" t="str">
        <x:v>Badge is dynamic; rating base remains modest.</x:v>
      </x:c>
      <x:c r="O1016" s="56" t="str">
        <x:v>Codex</x:v>
      </x:c>
    </x:row>
    <x:row r="1017" ht="126" customHeight="1">
      <x:c r="A1017" s="56" t="str">
        <x:v>SRC-HHW-030</x:v>
      </x:c>
      <x:c r="B1017" s="56" t="str">
        <x:v>KB020</x:v>
      </x:c>
      <x:c r="C1017" s="56" t="str">
        <x:v>TikTok Shop official U.S. store</x:v>
      </x:c>
      <x:c r="D1017" s="56" t="str">
        <x:v>Platform-labelled official shop displayed about 11.1K followers, 8,227 cumulative sold and 319 videos.</x:v>
      </x:c>
      <x:c r="E1017" s="56" t="str">
        <x:v>TikTok Shop U.S.</x:v>
      </x:c>
      <x:c r="F1017" s="56" t="str">
        <x:v>https://shop.tiktok.com/us/store/haruharu-wonder-official-us/7495510336228329611</x:v>
      </x:c>
      <x:c r="G1017" s="56" t="str">
        <x:v>Official Social-Commerce Store</x:v>
      </x:c>
      <x:c r="H1017" s="56"/>
      <x:c r="I1017" s="56" t="str">
        <x:v>2026-08-01</x:v>
      </x:c>
      <x:c r="J1017" s="56" t="str">
        <x:v>Social-Commerce Scale</x:v>
      </x:c>
      <x:c r="K1017" s="56" t="str">
        <x:v>Medium-High</x:v>
      </x:c>
      <x:c r="L1017" s="56" t="str">
        <x:v>Yes</x:v>
      </x:c>
      <x:c r="M1017" s="56"/>
      <x:c r="N1017" s="56" t="str">
        <x:v>Crawl was about three months old; counts are cumulative, overlapping and dynamic.</x:v>
      </x:c>
      <x:c r="O1017" s="56" t="str">
        <x:v>Codex</x:v>
      </x:c>
    </x:row>
    <x:row r="1018" ht="126" customHeight="1">
      <x:c r="A1018" s="56" t="str">
        <x:v>SRC-HHW-031</x:v>
      </x:c>
      <x:c r="B1018" s="56" t="str">
        <x:v>KB020</x:v>
      </x:c>
      <x:c r="C1018" s="56" t="str">
        <x:v>TikTok Shop seller mix</x:v>
      </x:c>
      <x:c r="D1018" s="56" t="str">
        <x:v>TikTok search surfaced official and third-party listings including StyleKorean US and iHerb.</x:v>
      </x:c>
      <x:c r="E1018" s="56" t="str">
        <x:v>TikTok Shop U.S.</x:v>
      </x:c>
      <x:c r="F1018" s="56" t="str">
        <x:v>https://shop.tiktok.com/us/k/haruharu-wonder-reviews</x:v>
      </x:c>
      <x:c r="G1018" s="56" t="str">
        <x:v>Social-Commerce Marketplace Search</x:v>
      </x:c>
      <x:c r="H1018" s="56"/>
      <x:c r="I1018" s="56" t="str">
        <x:v>2026-08-01</x:v>
      </x:c>
      <x:c r="J1018" s="56" t="str">
        <x:v>Seller / Channel-Conflict Signal</x:v>
      </x:c>
      <x:c r="K1018" s="56" t="str">
        <x:v>Medium</x:v>
      </x:c>
      <x:c r="L1018" s="56" t="str">
        <x:v>Yes</x:v>
      </x:c>
      <x:c r="M1018" s="56"/>
      <x:c r="N1018" s="56" t="str">
        <x:v>Search pages mix sellers and offers; authorization must be checked per listing.</x:v>
      </x:c>
      <x:c r="O1018" s="56" t="str">
        <x:v>Codex</x:v>
      </x:c>
    </x:row>
    <x:row r="1019" ht="126" customHeight="1">
      <x:c r="A1019" s="56" t="str">
        <x:v>SRC-HHW-032</x:v>
      </x:c>
      <x:c r="B1019" s="56" t="str">
        <x:v>KB020</x:v>
      </x:c>
      <x:c r="C1019" s="56" t="str">
        <x:v>StyleKorean assortment and discounting</x:v>
      </x:c>
      <x:c r="D1019" s="56" t="str">
        <x:v>StyleKorean displayed about 47 Haruharu Wonder items with frequent 40% promotional discounts.</x:v>
      </x:c>
      <x:c r="E1019" s="56" t="str">
        <x:v>StyleKorean</x:v>
      </x:c>
      <x:c r="F1019" s="56" t="str">
        <x:v>https://www.stylekorean.com/brands/345/</x:v>
      </x:c>
      <x:c r="G1019" s="56" t="str">
        <x:v>Cross-Border Retailer Brand Page</x:v>
      </x:c>
      <x:c r="H1019" s="56"/>
      <x:c r="I1019" s="56" t="str">
        <x:v>2026-08-01</x:v>
      </x:c>
      <x:c r="J1019" s="56" t="str">
        <x:v>Assortment / Price-Conflict Signal</x:v>
      </x:c>
      <x:c r="K1019" s="56" t="str">
        <x:v>Medium-High</x:v>
      </x:c>
      <x:c r="L1019" s="56" t="str">
        <x:v>Yes</x:v>
      </x:c>
      <x:c r="M1019" s="56"/>
      <x:c r="N1019" s="56" t="str">
        <x:v>Dynamic promotions; U.S. authorization and landed economics require confirmation.</x:v>
      </x:c>
      <x:c r="O1019" s="56" t="str">
        <x:v>Codex</x:v>
      </x:c>
    </x:row>
    <x:row r="1020" ht="126" customHeight="1">
      <x:c r="A1020" s="56" t="str">
        <x:v>SRC-HHW-033</x:v>
      </x:c>
      <x:c r="B1020" s="56" t="str">
        <x:v>KB020</x:v>
      </x:c>
      <x:c r="C1020" s="56" t="str">
        <x:v>iHerb assortment and demand</x:v>
      </x:c>
      <x:c r="D1020" s="56" t="str">
        <x:v>iHerb displayed 13 items; shown 30-day badges included cleansing oil 500+, eye cream 400+ and toner 300+.</x:v>
      </x:c>
      <x:c r="E1020" s="56" t="str">
        <x:v>iHerb</x:v>
      </x:c>
      <x:c r="F1020" s="56" t="str">
        <x:v>https://www.iherb.com/c/haruharu</x:v>
      </x:c>
      <x:c r="G1020" s="56" t="str">
        <x:v>Large Retailer Brand Page</x:v>
      </x:c>
      <x:c r="H1020" s="56"/>
      <x:c r="I1020" s="56" t="str">
        <x:v>2026-08-01</x:v>
      </x:c>
      <x:c r="J1020" s="56" t="str">
        <x:v>Retail / Demand / Review Signal</x:v>
      </x:c>
      <x:c r="K1020" s="56" t="str">
        <x:v>Medium-High</x:v>
      </x:c>
      <x:c r="L1020" s="56" t="str">
        <x:v>Yes</x:v>
      </x:c>
      <x:c r="M1020" s="56"/>
      <x:c r="N1020" s="56" t="str">
        <x:v>Sold badges and reviews may be global rather than U.S.-only; authorization terms are not public.</x:v>
      </x:c>
      <x:c r="O1020" s="56" t="str">
        <x:v>Codex</x:v>
      </x:c>
    </x:row>
    <x:row r="1021" ht="126" customHeight="1">
      <x:c r="A1021" s="56" t="str">
        <x:v>SRC-HHW-034</x:v>
      </x:c>
      <x:c r="B1021" s="56" t="str">
        <x:v>KB020</x:v>
      </x:c>
      <x:c r="C1021" s="56" t="str">
        <x:v>Official social and routine-bundle signal</x:v>
      </x:c>
      <x:c r="D1021" s="56" t="str">
        <x:v>Official directory links global and U.S. social accounts; TikTok displayed a toner-plus-Barrier-Essence bundle at about 1.1K sold.</x:v>
      </x:c>
      <x:c r="E1021" s="56" t="str">
        <x:v>Haruharu Wonder / TikTok Shop</x:v>
      </x:c>
      <x:c r="F1021" s="56" t="str">
        <x:v>https://linktr.ee/haruharuwonder_official</x:v>
      </x:c>
      <x:c r="G1021" s="56" t="str">
        <x:v>Official Social Directory / Dynamic Listing</x:v>
      </x:c>
      <x:c r="H1021" s="56"/>
      <x:c r="I1021" s="56" t="str">
        <x:v>2026-08-01</x:v>
      </x:c>
      <x:c r="J1021" s="56" t="str">
        <x:v>Social Presence / Bundle Signal</x:v>
      </x:c>
      <x:c r="K1021" s="56" t="str">
        <x:v>Medium-High</x:v>
      </x:c>
      <x:c r="L1021" s="56" t="str">
        <x:v>Yes</x:v>
      </x:c>
      <x:c r="M1021" s="56"/>
      <x:c r="N1021" s="56" t="str">
        <x:v>A reliable current Instagram follower count was not captured; bundle count overlaps store totals.</x:v>
      </x:c>
      <x:c r="O1021" s="56" t="str">
        <x:v>Codex</x:v>
      </x:c>
    </x:row>
    <x:row r="1022" ht="126" customHeight="1">
      <x:c r="A1022" s="56" t="str">
        <x:v>SRC-HHW-035</x:v>
      </x:c>
      <x:c r="B1022" s="56" t="str">
        <x:v>KB020</x:v>
      </x:c>
      <x:c r="C1022" s="56" t="str">
        <x:v>Walmart marketplace listing</x:v>
      </x:c>
      <x:c r="D1022" s="56" t="str">
        <x:v>Walmart displayed the toner through The Glowest/rotating marketplace sellers with strong ratings, not verified Walmart first-party retail.</x:v>
      </x:c>
      <x:c r="E1022" s="56" t="str">
        <x:v>Walmart</x:v>
      </x:c>
      <x:c r="F1022" s="56" t="str">
        <x:v>https://www.walmart.com/ip/270388504</x:v>
      </x:c>
      <x:c r="G1022" s="56" t="str">
        <x:v>Marketplace Retailer Product Page</x:v>
      </x:c>
      <x:c r="H1022" s="56"/>
      <x:c r="I1022" s="56" t="str">
        <x:v>2026-08-01</x:v>
      </x:c>
      <x:c r="J1022" s="56" t="str">
        <x:v>Visibility / Gray-Market Risk</x:v>
      </x:c>
      <x:c r="K1022" s="56" t="str">
        <x:v>Medium</x:v>
      </x:c>
      <x:c r="L1022" s="56" t="str">
        <x:v>Yes</x:v>
      </x:c>
      <x:c r="M1022" s="56"/>
      <x:c r="N1022" s="56" t="str">
        <x:v>Audit seller, authorization, UPC, lot, expiry and review/variant aggregation.</x:v>
      </x:c>
      <x:c r="O1022" s="56" t="str">
        <x:v>Codex</x:v>
      </x:c>
    </x:row>
    <x:row r="1023" ht="126" customHeight="1">
      <x:c r="A1023" s="56" t="str">
        <x:v>SRC-HHW-036</x:v>
      </x:c>
      <x:c r="B1023" s="56" t="str">
        <x:v>KB020</x:v>
      </x:c>
      <x:c r="C1023" s="56" t="str">
        <x:v>Reddit — Barrier Essence launch interest</x:v>
      </x:c>
      <x:c r="D1023" s="56" t="str">
        <x:v>AsianBeauty users showed strong interest in the fermented black-rice and ceramide concept and later described rich hydration and barrier comfort.</x:v>
      </x:c>
      <x:c r="E1023" s="56" t="str">
        <x:v>Reddit r/AsianBeauty</x:v>
      </x:c>
      <x:c r="F1023" s="56" t="str">
        <x:v>https://www.reddit.com/r/AsianBeauty/comments/1duhcvn/new_product_from_haruharu_wonder_black_rice/</x:v>
      </x:c>
      <x:c r="G1023" s="56" t="str">
        <x:v>Consumer Forum</x:v>
      </x:c>
      <x:c r="H1023" s="56"/>
      <x:c r="I1023" s="56" t="str">
        <x:v>2026-08-01</x:v>
      </x:c>
      <x:c r="J1023" s="56" t="str">
        <x:v>Anecdotal Consumer Evidence</x:v>
      </x:c>
      <x:c r="K1023" s="56" t="str">
        <x:v>Low-Medium</x:v>
      </x:c>
      <x:c r="L1023" s="56" t="str">
        <x:v>Yes</x:v>
      </x:c>
      <x:c r="M1023" s="56"/>
      <x:c r="N1023" s="56" t="str">
        <x:v>Self-selected discussion; no prevalence or efficacy inference.</x:v>
      </x:c>
      <x:c r="O1023" s="56" t="str">
        <x:v>Codex</x:v>
      </x:c>
    </x:row>
    <x:row r="1024" ht="126" customHeight="1">
      <x:c r="A1024" s="56" t="str">
        <x:v>SRC-HHW-037</x:v>
      </x:c>
      <x:c r="B1024" s="56" t="str">
        <x:v>KB020</x:v>
      </x:c>
      <x:c r="C1024" s="56" t="str">
        <x:v>Reddit — Barrier Essence and Airyfit mixed fit</x:v>
      </x:c>
      <x:c r="D1024" s="56" t="str">
        <x:v>Consumer threads include strong barrier/finish praise alongside congestion, irritation, pilling, dryness and eye-sting reports.</x:v>
      </x:c>
      <x:c r="E1024" s="56" t="str">
        <x:v>Reddit r/AsianBeauty</x:v>
      </x:c>
      <x:c r="F1024" s="56" t="str">
        <x:v>https://www.reddit.com/r/AsianBeauty/comments/1jw1faz/review_haruharu_wonder_black_rice_probiotics/</x:v>
      </x:c>
      <x:c r="G1024" s="56" t="str">
        <x:v>Consumer Forum</x:v>
      </x:c>
      <x:c r="H1024" s="56"/>
      <x:c r="I1024" s="56" t="str">
        <x:v>2026-08-01</x:v>
      </x:c>
      <x:c r="J1024" s="56" t="str">
        <x:v>Anecdotal Positive / Negative Signal</x:v>
      </x:c>
      <x:c r="K1024" s="56" t="str">
        <x:v>Low-Medium</x:v>
      </x:c>
      <x:c r="L1024" s="56" t="str">
        <x:v>Yes</x:v>
      </x:c>
      <x:c r="M1024" s="56"/>
      <x:c r="N1024" s="56" t="str">
        <x:v>Individual routines and formulas vary; no causality or prevalence inference.</x:v>
      </x:c>
      <x:c r="O1024" s="56" t="str">
        <x:v>Codex</x:v>
      </x:c>
    </x:row>
    <x:row r="1025" ht="126" customHeight="1">
      <x:c r="A1025" s="56" t="str">
        <x:v>SRC-HHW-038</x:v>
      </x:c>
      <x:c r="B1025" s="56" t="str">
        <x:v>KB020</x:v>
      </x:c>
      <x:c r="C1025" s="56" t="str">
        <x:v>Reddit — toner version concern</x:v>
      </x:c>
      <x:c r="D1025" s="56" t="str">
        <x:v>Recent users reported differences in toner feel across bottles/sizes and questioned packaging or formula changes.</x:v>
      </x:c>
      <x:c r="E1025" s="56" t="str">
        <x:v>Reddit r/AsianBeauty</x:v>
      </x:c>
      <x:c r="F1025" s="56" t="str">
        <x:v>https://www.reddit.com/r/AsianBeauty/comments/1r3j2q3/haruharu_wonder_black_rice_toner_feels_different/</x:v>
      </x:c>
      <x:c r="G1025" s="56" t="str">
        <x:v>Consumer Forum</x:v>
      </x:c>
      <x:c r="H1025" s="56"/>
      <x:c r="I1025" s="56" t="str">
        <x:v>2026-08-01</x:v>
      </x:c>
      <x:c r="J1025" s="56" t="str">
        <x:v>Version / Authenticity Risk Signal</x:v>
      </x:c>
      <x:c r="K1025" s="56" t="str">
        <x:v>Low-Medium</x:v>
      </x:c>
      <x:c r="L1025" s="56" t="str">
        <x:v>Yes</x:v>
      </x:c>
      <x:c r="M1025" s="56"/>
      <x:c r="N1025" s="56" t="str">
        <x:v>Does not establish reformulation or counterfeiting; triggers lot, UPC and INCI comparison.</x:v>
      </x:c>
      <x:c r="O1025" s="56" t="str">
        <x:v>Codex</x:v>
      </x:c>
    </x:row>
    <x:row r="1026" ht="126" customHeight="1">
      <x:c r="A1026" s="56" t="str">
        <x:v>SRC-HHW-039</x:v>
      </x:c>
      <x:c r="B1026" s="56" t="str">
        <x:v>KB020</x:v>
      </x:c>
      <x:c r="C1026" s="56" t="str">
        <x:v>Reddit — Cleansing Oil mixed tolerance</x:v>
      </x:c>
      <x:c r="D1026" s="56" t="str">
        <x:v>Consumers reported effective makeup removal for compatible users but eye sting, irritation, residue or breakout experiences for others.</x:v>
      </x:c>
      <x:c r="E1026" s="56" t="str">
        <x:v>Reddit r/AsianBeauty</x:v>
      </x:c>
      <x:c r="F1026" s="56" t="str">
        <x:v>https://www.reddit.com/r/AsianBeauty/comments/170z2e7/haruharu_wonder_black_rice_deep_cleansing_oil/</x:v>
      </x:c>
      <x:c r="G1026" s="56" t="str">
        <x:v>Consumer Forum</x:v>
      </x:c>
      <x:c r="H1026" s="56"/>
      <x:c r="I1026" s="56" t="str">
        <x:v>2026-08-01</x:v>
      </x:c>
      <x:c r="J1026" s="56" t="str">
        <x:v>Anecdotal Consumer Evidence</x:v>
      </x:c>
      <x:c r="K1026" s="56" t="str">
        <x:v>Low-Medium</x:v>
      </x:c>
      <x:c r="L1026" s="56" t="str">
        <x:v>Yes</x:v>
      </x:c>
      <x:c r="M1026" s="56"/>
      <x:c r="N1026" s="56" t="str">
        <x:v>Exact formula, lot and routines were uncontrolled.</x:v>
      </x:c>
      <x:c r="O1026" s="56" t="str">
        <x:v>Codex</x:v>
      </x:c>
    </x:row>
    <x:row r="1027" ht="126" customHeight="1">
      <x:c r="A1027" s="56" t="str">
        <x:v>SRC-HHW-040</x:v>
      </x:c>
      <x:c r="B1027" s="56" t="str">
        <x:v>KB020</x:v>
      </x:c>
      <x:c r="C1027" s="56" t="str">
        <x:v>Reddit — Amazon sunscreen authenticity concern</x:v>
      </x:c>
      <x:c r="D1027" s="56" t="str">
        <x:v>A high-visibility thread alleged fake or materially different Airyfit units; comments debated seller, packaging, formula and possible reformulation.</x:v>
      </x:c>
      <x:c r="E1027" s="56" t="str">
        <x:v>Reddit r/AsianBeauty</x:v>
      </x:c>
      <x:c r="F1027" s="56" t="str">
        <x:v>https://www.reddit.com/r/AsianBeauty/comments/1m3w9lr/beware_haruharu_amazon_shop_now_sells_inauthentic/</x:v>
      </x:c>
      <x:c r="G1027" s="56" t="str">
        <x:v>Consumer Forum / Risk Signal</x:v>
      </x:c>
      <x:c r="H1027" s="56"/>
      <x:c r="I1027" s="56" t="str">
        <x:v>2026-08-01</x:v>
      </x:c>
      <x:c r="J1027" s="56" t="str">
        <x:v>Unresolved Authenticity / Seller Risk</x:v>
      </x:c>
      <x:c r="K1027" s="56" t="str">
        <x:v>Medium as risk / Low as proof</x:v>
      </x:c>
      <x:c r="L1027" s="56" t="str">
        <x:v>Yes</x:v>
      </x:c>
      <x:c r="M1027" s="56"/>
      <x:c r="N1027" s="56" t="str">
        <x:v>Not proof of counterfeiting; requires brand, seller, lot, UPC and formula investigation.</x:v>
      </x:c>
      <x:c r="O1027" s="56" t="str">
        <x:v>Codex</x:v>
      </x:c>
    </x:row>
    <x:row r="1028" ht="126" customHeight="1">
      <x:c r="A1028" s="56" t="str">
        <x:v>SRC-HHW-041</x:v>
      </x:c>
      <x:c r="B1028" s="56" t="str">
        <x:v>KB020</x:v>
      </x:c>
      <x:c r="C1028" s="56" t="str">
        <x:v>Editorial product testing</x:v>
      </x:c>
      <x:c r="D1028" s="56" t="str">
        <x:v>Marie Claire review praised the Barrier Essence and Cleansing Oil for hydration, texture and accessible routine integration.</x:v>
      </x:c>
      <x:c r="E1028" s="56" t="str">
        <x:v>Marie Claire UK</x:v>
      </x:c>
      <x:c r="F1028" s="56" t="str">
        <x:v>https://www.marieclaire.co.uk/beauty/skincare/haruharu-wonder-review</x:v>
      </x:c>
      <x:c r="G1028" s="56" t="str">
        <x:v>Beauty Editorial</x:v>
      </x:c>
      <x:c r="H1028" s="56"/>
      <x:c r="I1028" s="56" t="str">
        <x:v>2026-08-01</x:v>
      </x:c>
      <x:c r="J1028" s="56" t="str">
        <x:v>Supporting Awareness / Product Experience</x:v>
      </x:c>
      <x:c r="K1028" s="56" t="str">
        <x:v>Medium</x:v>
      </x:c>
      <x:c r="L1028" s="56" t="str">
        <x:v>Yes</x:v>
      </x:c>
      <x:c r="M1028" s="56"/>
      <x:c r="N1028" s="56" t="str">
        <x:v>Editorial testing is not a neutral consumer sample; product seeding relationship should be checked.</x:v>
      </x:c>
      <x:c r="O1028" s="56" t="str">
        <x:v>Codex</x:v>
      </x:c>
    </x:row>
    <x:row r="1029" ht="126" customHeight="1">
      <x:c r="A1029" s="56" t="str">
        <x:v>SRC-HHW-042</x:v>
      </x:c>
      <x:c r="B1029" s="56" t="str">
        <x:v>KB020</x:v>
      </x:c>
      <x:c r="C1029" s="56" t="str">
        <x:v>Competitor — TIRTIR Milk Skin Toner</x:v>
      </x:c>
      <x:c r="D1029" s="56" t="str">
        <x:v>Ulta displayed Milk Skin Toner 150 mL at $25.</x:v>
      </x:c>
      <x:c r="E1029" s="56" t="str">
        <x:v>Ulta / TIRTIR</x:v>
      </x:c>
      <x:c r="F1029" s="56" t="str">
        <x:v>https://www.ulta.com/p/milk-skin-toner-pimprod2053385?sku=2643811</x:v>
      </x:c>
      <x:c r="G1029" s="56" t="str">
        <x:v>Authorized Competitor Retailer</x:v>
      </x:c>
      <x:c r="H1029" s="56"/>
      <x:c r="I1029" s="56" t="str">
        <x:v>2026-08-01</x:v>
      </x:c>
      <x:c r="J1029" s="56" t="str">
        <x:v>Verified Competitor Fact</x:v>
      </x:c>
      <x:c r="K1029" s="56" t="str">
        <x:v>High</x:v>
      </x:c>
      <x:c r="L1029" s="56" t="str">
        <x:v>Yes</x:v>
      </x:c>
      <x:c r="M1029" s="56"/>
      <x:c r="N1029" s="56" t="str">
        <x:v>Dynamic price, availability and reviews.</x:v>
      </x:c>
      <x:c r="O1029" s="56" t="str">
        <x:v>Codex</x:v>
      </x:c>
    </x:row>
    <x:row r="1030" ht="126" customHeight="1">
      <x:c r="A1030" s="56" t="str">
        <x:v>SRC-HHW-043</x:v>
      </x:c>
      <x:c r="B1030" s="56" t="str">
        <x:v>KB020</x:v>
      </x:c>
      <x:c r="C1030" s="56" t="str">
        <x:v>Competitor — Dr. Ceuracle Kombucha Essence</x:v>
      </x:c>
      <x:c r="D1030" s="56" t="str">
        <x:v>Official site displayed Vegan Kombucha Tea Essence 150 mL at $38.</x:v>
      </x:c>
      <x:c r="E1030" s="56" t="str">
        <x:v>Dr. Ceuracle</x:v>
      </x:c>
      <x:c r="F1030" s="56" t="str">
        <x:v>https://drceuracle-global.com/products/dr-ceuracle-vegan-kombucha-tea-essence-150ml</x:v>
      </x:c>
      <x:c r="G1030" s="56" t="str">
        <x:v>Official Competitor Product Page</x:v>
      </x:c>
      <x:c r="H1030" s="56"/>
      <x:c r="I1030" s="56" t="str">
        <x:v>2026-08-01</x:v>
      </x:c>
      <x:c r="J1030" s="56" t="str">
        <x:v>Verified Competitor Fact</x:v>
      </x:c>
      <x:c r="K1030" s="56" t="str">
        <x:v>High</x:v>
      </x:c>
      <x:c r="L1030" s="56" t="str">
        <x:v>Yes</x:v>
      </x:c>
      <x:c r="M1030" s="56"/>
      <x:c r="N1030" s="56" t="str">
        <x:v>Global DTC price; U.S. landed price/channel may differ.</x:v>
      </x:c>
      <x:c r="O1030" s="56" t="str">
        <x:v>Codex</x:v>
      </x:c>
    </x:row>
    <x:row r="1031" ht="126" customHeight="1">
      <x:c r="A1031" s="56" t="str">
        <x:v>SRC-HHW-044</x:v>
      </x:c>
      <x:c r="B1031" s="56" t="str">
        <x:v>KB020</x:v>
      </x:c>
      <x:c r="C1031" s="56" t="str">
        <x:v>Competitor — ANUA Cleansing Oil Mild</x:v>
      </x:c>
      <x:c r="D1031" s="56" t="str">
        <x:v>Target displayed ANUA Heartleaf Pore Control Cleansing Oil Mild 200 mL at $19.50.</x:v>
      </x:c>
      <x:c r="E1031" s="56" t="str">
        <x:v>Target / ANUA</x:v>
      </x:c>
      <x:c r="F1031" s="56" t="str">
        <x:v>https://www.target.com/c/makeup-removers-beauty/anua/-/N-cjmwvZq643len6gt9</x:v>
      </x:c>
      <x:c r="G1031" s="56" t="str">
        <x:v>Competitor Retailer Display</x:v>
      </x:c>
      <x:c r="H1031" s="56"/>
      <x:c r="I1031" s="56" t="str">
        <x:v>2026-08-01</x:v>
      </x:c>
      <x:c r="J1031" s="56" t="str">
        <x:v>Verified Competitor Fact</x:v>
      </x:c>
      <x:c r="K1031" s="56" t="str">
        <x:v>High</x:v>
      </x:c>
      <x:c r="L1031" s="56" t="str">
        <x:v>Yes</x:v>
      </x:c>
      <x:c r="M1031" s="56"/>
      <x:c r="N1031" s="56" t="str">
        <x:v>Dynamic price and seller/fulfillment details should be rechecked.</x:v>
      </x:c>
      <x:c r="O1031" s="56" t="str">
        <x:v>Codex</x:v>
      </x:c>
    </x:row>
    <x:row r="1032" ht="126" customHeight="1">
      <x:c r="A1032" s="56" t="str">
        <x:v>SRC-HHW-045</x:v>
      </x:c>
      <x:c r="B1032" s="56" t="str">
        <x:v>KB020</x:v>
      </x:c>
      <x:c r="C1032" s="56" t="str">
        <x:v>Competitor — Beauty of Joseon Eye Serum</x:v>
      </x:c>
      <x:c r="D1032" s="56" t="str">
        <x:v>Official site displayed Revive Eye Serum: Ginseng + Retinal 30 mL at $17.</x:v>
      </x:c>
      <x:c r="E1032" s="56" t="str">
        <x:v>Beauty of Joseon</x:v>
      </x:c>
      <x:c r="F1032" s="56" t="str">
        <x:v>https://beautyofjoseon.com/products/revive-eye-serum-ginseng-retinal</x:v>
      </x:c>
      <x:c r="G1032" s="56" t="str">
        <x:v>Official Competitor Product Page</x:v>
      </x:c>
      <x:c r="H1032" s="56"/>
      <x:c r="I1032" s="56" t="str">
        <x:v>2026-08-01</x:v>
      </x:c>
      <x:c r="J1032" s="56" t="str">
        <x:v>Verified Competitor Fact</x:v>
      </x:c>
      <x:c r="K1032" s="56" t="str">
        <x:v>High</x:v>
      </x:c>
      <x:c r="L1032" s="56" t="str">
        <x:v>Yes</x:v>
      </x:c>
      <x:c r="M1032" s="56"/>
      <x:c r="N1032" s="56" t="str">
        <x:v>Dynamic price and availability.</x:v>
      </x:c>
      <x:c r="O1032" s="56" t="str">
        <x:v>Codex</x:v>
      </x:c>
    </x:row>
    <x:row r="1033" ht="126" customHeight="1">
      <x:c r="A1033" s="56" t="str">
        <x:v>SRC-HHW-046</x:v>
      </x:c>
      <x:c r="B1033" s="56" t="str">
        <x:v>KB020</x:v>
      </x:c>
      <x:c r="C1033" s="56" t="str">
        <x:v>Competitor — SKIN1004 Sun Serum</x:v>
      </x:c>
      <x:c r="D1033" s="56" t="str">
        <x:v>Target displayed Hyalu-Cica Water-Fit Sun Serum 50 mL at $25.99.</x:v>
      </x:c>
      <x:c r="E1033" s="56" t="str">
        <x:v>Target / SKIN1004</x:v>
      </x:c>
      <x:c r="F1033" s="56" t="str">
        <x:v>https://www.target.com/c/face-serums-facial-hydration-skin-care-beauty/skin1004/-/N-s8lrwZq643lergpss</x:v>
      </x:c>
      <x:c r="G1033" s="56" t="str">
        <x:v>Competitor Retailer Display</x:v>
      </x:c>
      <x:c r="H1033" s="56"/>
      <x:c r="I1033" s="56" t="str">
        <x:v>2026-08-01</x:v>
      </x:c>
      <x:c r="J1033" s="56" t="str">
        <x:v>Competitor / Regulatory Comparison</x:v>
      </x:c>
      <x:c r="K1033" s="56" t="str">
        <x:v>High</x:v>
      </x:c>
      <x:c r="L1033" s="56" t="str">
        <x:v>Yes</x:v>
      </x:c>
      <x:c r="M1033" s="56"/>
      <x:c r="N1033" s="56" t="str">
        <x:v>Exact U.S. Drug Facts/formula must be checked independently; dynamic listing.</x:v>
      </x:c>
      <x:c r="O1033" s="56" t="str">
        <x:v>Codex</x:v>
      </x:c>
    </x:row>
    <x:row r="1034" ht="126" customHeight="1">
      <x:c r="A1034" s="56" t="str">
        <x:v>SRC-HHW-047</x:v>
      </x:c>
      <x:c r="B1034" s="56" t="str">
        <x:v>KB020</x:v>
      </x:c>
      <x:c r="C1034" s="56" t="str">
        <x:v>FDA — MoCRA registration and listing</x:v>
      </x:c>
      <x:c r="D1034" s="56" t="str">
        <x:v>FDA states responsible persons must list marketed cosmetic products and update annually; registration/listing is not FDA approval.</x:v>
      </x:c>
      <x:c r="E1034" s="56" t="str">
        <x:v>U.S. FDA</x:v>
      </x:c>
      <x:c r="F1034" s="56" t="str">
        <x:v>https://www.fda.gov/cosmetics/registration-listing-cosmetic-product-facilities-and-products</x:v>
      </x:c>
      <x:c r="G1034" s="56" t="str">
        <x:v>Regulator</x:v>
      </x:c>
      <x:c r="H1034" s="56"/>
      <x:c r="I1034" s="56" t="str">
        <x:v>2026-08-01</x:v>
      </x:c>
      <x:c r="J1034" s="56" t="str">
        <x:v>Verified Cosmetic Compliance Requirement</x:v>
      </x:c>
      <x:c r="K1034" s="56" t="str">
        <x:v>High</x:v>
      </x:c>
      <x:c r="L1034" s="56" t="str">
        <x:v>Yes</x:v>
      </x:c>
      <x:c r="M1034" s="56"/>
      <x:c r="N1034" s="56" t="str">
        <x:v>Request exact evidence for each proposed U.S. SKU and manufacturer.</x:v>
      </x:c>
      <x:c r="O1034" s="56" t="str">
        <x:v>Codex</x:v>
      </x:c>
    </x:row>
    <x:row r="1035" ht="126" customHeight="1">
      <x:c r="A1035" s="56" t="str">
        <x:v>SRC-HHW-048</x:v>
      </x:c>
      <x:c r="B1035" s="56" t="str">
        <x:v>KB020</x:v>
      </x:c>
      <x:c r="C1035" s="56" t="str">
        <x:v>FDA — cosmetic labeling</x:v>
      </x:c>
      <x:c r="D1035" s="56" t="str">
        <x:v>FDA summarizes identity, net quantity, ingredient declaration and marketing-firm name/address requirements for U.S. cosmetics.</x:v>
      </x:c>
      <x:c r="E1035" s="56" t="str">
        <x:v>U.S. FDA</x:v>
      </x:c>
      <x:c r="F1035" s="56" t="str">
        <x:v>https://www.fda.gov/cosmetics/cosmetics-labeling-regulations/summary-cosmetics-labeling-requirements</x:v>
      </x:c>
      <x:c r="G1035" s="56" t="str">
        <x:v>Regulator</x:v>
      </x:c>
      <x:c r="H1035" s="56"/>
      <x:c r="I1035" s="56" t="str">
        <x:v>2026-08-01</x:v>
      </x:c>
      <x:c r="J1035" s="56" t="str">
        <x:v>Verified Labeling Requirement</x:v>
      </x:c>
      <x:c r="K1035" s="56" t="str">
        <x:v>High</x:v>
      </x:c>
      <x:c r="L1035" s="56" t="str">
        <x:v>Yes</x:v>
      </x:c>
      <x:c r="M1035" s="56"/>
      <x:c r="N1035" s="56" t="str">
        <x:v>Review exact retail carton/container artwork and English claims.</x:v>
      </x:c>
      <x:c r="O1035" s="56" t="str">
        <x:v>Codex</x:v>
      </x:c>
    </x:row>
    <x:row r="1036" ht="126" customHeight="1">
      <x:c r="A1036" s="56" t="str">
        <x:v>SRC-HHW-049</x:v>
      </x:c>
      <x:c r="B1036" s="56" t="str">
        <x:v>KB020</x:v>
      </x:c>
      <x:c r="C1036" s="56" t="str">
        <x:v>FDA — cosmetic imports and claims</x:v>
      </x:c>
      <x:c r="D1036" s="56" t="str">
        <x:v>Imported cosmetics must meet U.S. safety and labeling rules; disease-treatment or structure/function claims can create drug status.</x:v>
      </x:c>
      <x:c r="E1036" s="56" t="str">
        <x:v>U.S. FDA</x:v>
      </x:c>
      <x:c r="F1036" s="56" t="str">
        <x:v>https://www.fda.gov/cosmetics/cosmetics-international-activities/cosmetics-importers</x:v>
      </x:c>
      <x:c r="G1036" s="56" t="str">
        <x:v>Regulator</x:v>
      </x:c>
      <x:c r="H1036" s="56"/>
      <x:c r="I1036" s="56" t="str">
        <x:v>2026-08-01</x:v>
      </x:c>
      <x:c r="J1036" s="56" t="str">
        <x:v>Verified Import / Claims Requirement</x:v>
      </x:c>
      <x:c r="K1036" s="56" t="str">
        <x:v>High</x:v>
      </x:c>
      <x:c r="L1036" s="56" t="str">
        <x:v>Yes</x:v>
      </x:c>
      <x:c r="M1036" s="56"/>
      <x:c r="N1036" s="56" t="str">
        <x:v>Review acne, inflammation, repair, penetration and other therapeutic wording.</x:v>
      </x:c>
      <x:c r="O1036" s="56" t="str">
        <x:v>Codex</x:v>
      </x:c>
    </x:row>
    <x:row r="1037" ht="126" customHeight="1">
      <x:c r="A1037" s="56" t="str">
        <x:v>SRC-HHW-050</x:v>
      </x:c>
      <x:c r="B1037" s="56" t="str">
        <x:v>KB020</x:v>
      </x:c>
      <x:c r="C1037" s="56" t="str">
        <x:v>FDA OTC sunscreen monograph</x:v>
      </x:c>
      <x:c r="D1037" s="56" t="str">
        <x:v>FDA monograph defines active ingredients and conditions for nonprescription sunscreen drug products marketed without an approved application.</x:v>
      </x:c>
      <x:c r="E1037" s="56" t="str">
        <x:v>U.S. FDA</x:v>
      </x:c>
      <x:c r="F1037" s="56" t="str">
        <x:v>https://dps-admin.fda.gov/omuf/sites/omuf/files/monograph-documents/2022-09/OTCMonograph_M020-SunscreenDrugProductsforOTCHumanUse09242021.pdf</x:v>
      </x:c>
      <x:c r="G1037" s="56" t="str">
        <x:v>OTC Drug Monograph</x:v>
      </x:c>
      <x:c r="H1037" s="56"/>
      <x:c r="I1037" s="56" t="str">
        <x:v>2026-08-01</x:v>
      </x:c>
      <x:c r="J1037" s="56" t="str">
        <x:v>Verified Sunscreen Regulatory Baseline</x:v>
      </x:c>
      <x:c r="K1037" s="56" t="str">
        <x:v>High</x:v>
      </x:c>
      <x:c r="L1037" s="56" t="str">
        <x:v>Yes</x:v>
      </x:c>
      <x:c r="M1037" s="56"/>
      <x:c r="N1037" s="56" t="str">
        <x:v>Confirm current amendments and obtain counsel for exact proposed formula and claims.</x:v>
      </x:c>
      <x:c r="O1037" s="56" t="str">
        <x:v>Codex</x:v>
      </x:c>
    </x:row>
    <x:row r="1038" ht="126" customHeight="1">
      <x:c r="A1038" s="56" t="str">
        <x:v>SRC-HHW-051</x:v>
      </x:c>
      <x:c r="B1038" s="56" t="str">
        <x:v>KB020</x:v>
      </x:c>
      <x:c r="C1038" s="56" t="str">
        <x:v>FDA sunscreen labeling and testing guidance</x:v>
      </x:c>
      <x:c r="D1038" s="56" t="str">
        <x:v>FDA guidance addresses Drug Facts, broad-spectrum testing, SPF testing and other OTC sunscreen requirements.</x:v>
      </x:c>
      <x:c r="E1038" s="56" t="str">
        <x:v>U.S. FDA</x:v>
      </x:c>
      <x:c r="F1038" s="56" t="str">
        <x:v>https://www.fda.gov/regulatory-information/search-fda-guidance-documents/labeling-and-effectiveness-testing-sunscreen-drug-products-over-counter-human-use-small-entity</x:v>
      </x:c>
      <x:c r="G1038" s="56" t="str">
        <x:v>Regulator Guidance</x:v>
      </x:c>
      <x:c r="H1038" s="56"/>
      <x:c r="I1038" s="56" t="str">
        <x:v>2026-08-01</x:v>
      </x:c>
      <x:c r="J1038" s="56" t="str">
        <x:v>Verified OTC Compliance Requirement</x:v>
      </x:c>
      <x:c r="K1038" s="56" t="str">
        <x:v>High</x:v>
      </x:c>
      <x:c r="L1038" s="56" t="str">
        <x:v>Yes</x:v>
      </x:c>
      <x:c r="M1038" s="56"/>
      <x:c r="N1038" s="56" t="str">
        <x:v>Global SPF/PA testing alone does not establish U.S. legal marketing.</x:v>
      </x:c>
      <x:c r="O1038" s="56" t="str">
        <x:v>Codex</x:v>
      </x:c>
    </x:row>
    <x:row r="1039" ht="126" customHeight="1">
      <x:c r="A1039" s="56" t="str">
        <x:v>SRC-HHW-052</x:v>
      </x:c>
      <x:c r="B1039" s="56" t="str">
        <x:v>KB020</x:v>
      </x:c>
      <x:c r="C1039" s="56" t="str">
        <x:v>DailyMed scoped Haruharu search</x:v>
      </x:c>
      <x:c r="D1039" s="56" t="str">
        <x:v>Scoped DailyMed/web searches did not identify a current Haruharu Wonder-branded U.S. OTC sunscreen label in this pass.</x:v>
      </x:c>
      <x:c r="E1039" s="56" t="str">
        <x:v>DailyMed / NLM</x:v>
      </x:c>
      <x:c r="F1039" s="56" t="str">
        <x:v>https://dailymed.nlm.nih.gov/dailymed/search.cfm?query=Haruharu%20Wonder</x:v>
      </x:c>
      <x:c r="G1039" s="56" t="str">
        <x:v>Official Drug Label Database Search</x:v>
      </x:c>
      <x:c r="H1039" s="56"/>
      <x:c r="I1039" s="56" t="str">
        <x:v>2026-08-01</x:v>
      </x:c>
      <x:c r="J1039" s="56" t="str">
        <x:v>Scoped Negative Evidence</x:v>
      </x:c>
      <x:c r="K1039" s="56" t="str">
        <x:v>Medium</x:v>
      </x:c>
      <x:c r="L1039" s="56" t="str">
        <x:v>Yes</x:v>
      </x:c>
      <x:c r="M1039" s="56"/>
      <x:c r="N1039" s="56" t="str">
        <x:v>Not legal clearance; repeat exact product, NDC, manufacturer and establishment searches before sourcing.</x:v>
      </x:c>
      <x:c r="O1039" s="56" t="str">
        <x:v>Codex</x:v>
      </x:c>
    </x:row>
    <x:row r="1040" ht="126" customHeight="1">
      <x:c r="A1040" s="56" t="str">
        <x:v>SRC-HHW-053</x:v>
      </x:c>
      <x:c r="B1040" s="56" t="str">
        <x:v>KB020</x:v>
      </x:c>
      <x:c r="C1040" s="56" t="str">
        <x:v>Airyfit formula versus U.S. OTC pathway</x:v>
      </x:c>
      <x:c r="D1040" s="56" t="str">
        <x:v>Official Airyfit INCI includes ethylhexyl triazone, ecamsule, diethylamino hydroxybenzoyl hexyl benzoate, polysilicone-15 and bemotrizinol; exact U.S. approved application/Drug Facts was not established.</x:v>
      </x:c>
      <x:c r="E1040" s="56" t="str">
        <x:v>Haruharu Wonder / FDA Analysis</x:v>
      </x:c>
      <x:c r="F1040" s="56" t="str">
        <x:v>https://haruharuwonder.com/products/haruharuwonder-black-rice-moisture-airyfit-daily-sunscreen-unscented-spf50-50ml</x:v>
      </x:c>
      <x:c r="G1040" s="56" t="str">
        <x:v>Regulatory Gap Analysis</x:v>
      </x:c>
      <x:c r="H1040" s="56"/>
      <x:c r="I1040" s="56" t="str">
        <x:v>2026-08-01</x:v>
      </x:c>
      <x:c r="J1040" s="56" t="str">
        <x:v>SPF Hold Decision</x:v>
      </x:c>
      <x:c r="K1040" s="56" t="str">
        <x:v>High for formula / Medium for legal conclusion</x:v>
      </x:c>
      <x:c r="L1040" s="56" t="str">
        <x:v>Yes</x:v>
      </x:c>
      <x:c r="M1040" s="56"/>
      <x:c r="N1040" s="56" t="str">
        <x:v>Counsel must verify the current monograph/application status; do not infer clearance from retailer presence.</x:v>
      </x:c>
      <x:c r="O1040" s="56" t="str">
        <x:v>Codex</x:v>
      </x:c>
    </x:row>
    <x:row r="1041" ht="126" customHeight="1">
      <x:c r="A1041" s="56" t="str">
        <x:v>SRC-HHW-054</x:v>
      </x:c>
      <x:c r="B1041" s="56" t="str">
        <x:v>KB020</x:v>
      </x:c>
      <x:c r="C1041" s="56" t="str">
        <x:v>Current U.S. awareness expansion</x:v>
      </x:c>
      <x:c r="D1041" s="56" t="str">
        <x:v>The 2026 Target rollout and current retailer demand show awareness has broadened beyond the legacy toner to barrier, cleansing, cream and eye-care heroes.</x:v>
      </x:c>
      <x:c r="E1041" s="56" t="str">
        <x:v>Haruharu Wonder / Target</x:v>
      </x:c>
      <x:c r="F1041" s="56" t="str">
        <x:v>https://www.prnewswire.com/news-releases/viral-korean-skincare-brand-haruharu-wonder-brings-the-wonder-of-ritual-to-target-stores-nationwide-with-gentle-science-backed-vegan-formulas-302652773.html</x:v>
      </x:c>
      <x:c r="G1041" s="56" t="str">
        <x:v>Synthesis from Official Announcement / Retail Displays</x:v>
      </x:c>
      <x:c r="H1041" s="56"/>
      <x:c r="I1041" s="56" t="str">
        <x:v>2026-08-01</x:v>
      </x:c>
      <x:c r="J1041" s="56" t="str">
        <x:v>Verified Awareness Factor Update</x:v>
      </x:c>
      <x:c r="K1041" s="56" t="str">
        <x:v>High</x:v>
      </x:c>
      <x:c r="L1041" s="56" t="str">
        <x:v>Yes</x:v>
      </x:c>
      <x:c r="M1041" s="56"/>
      <x:c r="N1041" s="56" t="str">
        <x:v>Retail purchase badges are snapshots; no aided-awareness survey was available.</x:v>
      </x:c>
      <x:c r="O1041" s="56" t="str">
        <x:v>Codex</x:v>
      </x:c>
    </x:row>
    <x:row r="1042" ht="126" customHeight="1">
      <x:c r="A1042" s="56" t="str">
        <x:v>SRC-HHW-055</x:v>
      </x:c>
      <x:c r="B1042" s="56" t="str">
        <x:v>KB020</x:v>
      </x:c>
      <x:c r="C1042" s="56" t="str">
        <x:v>Brand design and fermented-black-rice positioning</x:v>
      </x:c>
      <x:c r="D1042" s="56" t="str">
        <x:v>Official About page emphasizes distinct packaging, sustainable choices and proprietary fermented black-rice ingredient stories.</x:v>
      </x:c>
      <x:c r="E1042" s="56" t="str">
        <x:v>Haruharu Wonder</x:v>
      </x:c>
      <x:c r="F1042" s="56" t="str">
        <x:v>https://haruharuwonder.com/pages/about-us</x:v>
      </x:c>
      <x:c r="G1042" s="56" t="str">
        <x:v>Official Brand Positioning</x:v>
      </x:c>
      <x:c r="H1042" s="56"/>
      <x:c r="I1042" s="56" t="str">
        <x:v>2026-08-01</x:v>
      </x:c>
      <x:c r="J1042" s="56" t="str">
        <x:v>Legacy Awareness Corroboration</x:v>
      </x:c>
      <x:c r="K1042" s="56" t="str">
        <x:v>High</x:v>
      </x:c>
      <x:c r="L1042" s="56" t="str">
        <x:v>Yes</x:v>
      </x:c>
      <x:c r="M1042" s="56"/>
      <x:c r="N1042" s="56" t="str">
        <x:v>Self-reported brand positioning; avoid unsubstantiated superiority claims.</x:v>
      </x:c>
      <x:c r="O1042" s="56" t="str">
        <x:v>Codex</x:v>
      </x:c>
    </x:row>
    <x:row r="1043" ht="126" customHeight="1">
      <x:c r="A1043" s="56" t="str">
        <x:v>SRC-HHW-056</x:v>
      </x:c>
      <x:c r="B1043" s="56" t="str">
        <x:v>KB020</x:v>
      </x:c>
      <x:c r="C1043" s="56" t="str">
        <x:v>Scoped U.S. retail gap check</x:v>
      </x:c>
      <x:c r="D1043" s="56" t="str">
        <x:v>Target is the verified mass-retail partner; scoped checks did not establish current U.S. Haruharu Wonder assortments at Sephora, Ulta or Costco.</x:v>
      </x:c>
      <x:c r="E1043" s="56" t="str">
        <x:v>Official Brand / Retailer Scoped Search</x:v>
      </x:c>
      <x:c r="F1043" s="56" t="str">
        <x:v>https://haruharuwonder.com</x:v>
      </x:c>
      <x:c r="G1043" s="56" t="str">
        <x:v>Scoped Negative Evidence</x:v>
      </x:c>
      <x:c r="H1043" s="56"/>
      <x:c r="I1043" s="56" t="str">
        <x:v>2026-08-01</x:v>
      </x:c>
      <x:c r="J1043" s="56" t="str">
        <x:v>Further Verification Required</x:v>
      </x:c>
      <x:c r="K1043" s="56" t="str">
        <x:v>Medium</x:v>
      </x:c>
      <x:c r="L1043" s="56" t="str">
        <x:v>Yes</x:v>
      </x:c>
      <x:c r="M1043" s="56"/>
      <x:c r="N1043" s="56" t="str">
        <x:v>Negative search evidence is not proof of no account relationship; confirm current authorized-account list and restrictions.</x:v>
      </x:c>
      <x:c r="O1043" s="56" t="str">
        <x:v>Codex</x:v>
      </x:c>
    </x:row>
  </x:sheetData>
  <x:dataValidations count="4">
    <x:dataValidation type="list" sqref="G2:G201">
      <x:formula1>"Official Brand,Official Retailer,Government / Regulator,Editorial / Beauty Media,Market Research,Social Media,Consumer Review,Reddit,Other"</x:formula1>
    </x:dataValidation>
    <x:dataValidation type="list" sqref="J2:J201">
      <x:formula1>"Verified Fact,Estimate,Brand Claim,Consumer Opinion,Unable to Verify"</x:formula1>
    </x:dataValidation>
    <x:dataValidation type="list" sqref="K2:K201">
      <x:formula1>"High,Medium,Low"</x:formula1>
    </x:dataValidation>
    <x:dataValidation type="list" sqref="L2:L201">
      <x:formula1>"Yes,No,Partial"</x:formula1>
    </x:dataValidation>
  </x:dataValidations>
  <x:pageMargins left="0.7" right="0.7" top="0.75" bottom="0.75" header="0.3" footer="0.3"/>
  <x:tableParts count="1">
    <x:tablePart xmlns:r="http://schemas.openxmlformats.org/officeDocument/2006/relationships" r:id="Rcaf73036a1f744d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20" hidden="0" customWidth="1"/>
    <x:col min="5" max="5" width="32" hidden="0" customWidth="1"/>
    <x:col min="6" max="6" width="42" hidden="0" customWidth="1"/>
    <x:col min="7" max="7" width="42" hidden="0" customWidth="1"/>
    <x:col min="8" max="8" width="42" hidden="0" customWidth="1"/>
    <x:col min="9" max="9" width="26" hidden="0" customWidth="1"/>
    <x:col min="10" max="10" width="14" hidden="0" customWidth="1"/>
    <x:col min="11" max="11" width="14" hidden="0" customWidth="1"/>
    <x:col min="12" max="12" width="38" hidden="0" customWidth="1"/>
    <x:col min="13" max="13" width="20" hidden="0" customWidth="1"/>
    <x:col min="14" max="14" width="20" hidden="0" customWidth="1"/>
    <x:col min="15" max="15" width="20" hidden="0" customWidth="1"/>
    <x:col min="16" max="16" width="32" hidden="0" customWidth="1"/>
  </x:cols>
  <x:sheetData>
    <x:row r="1">
      <x:c r="A1" s="14" t="str">
        <x:v>Image_ID</x:v>
      </x:c>
      <x:c r="B1" s="14" t="str">
        <x:v>Brand_ID</x:v>
      </x:c>
      <x:c r="C1" s="14" t="str">
        <x:v>Product_ID</x:v>
      </x:c>
      <x:c r="D1" s="14" t="str">
        <x:v>Image Type</x:v>
      </x:c>
      <x:c r="E1" s="14" t="str">
        <x:v>Image Description</x:v>
      </x:c>
      <x:c r="F1" s="14" t="str">
        <x:v>Original Image URL</x:v>
      </x:c>
      <x:c r="G1" s="14" t="str">
        <x:v>Source Page URL</x:v>
      </x:c>
      <x:c r="H1" s="14" t="str">
        <x:v>Local File Path</x:v>
      </x:c>
      <x:c r="I1" s="14" t="str">
        <x:v>Excel Location</x:v>
      </x:c>
      <x:c r="J1" s="14" t="str">
        <x:v>Photo / Publication Date</x:v>
      </x:c>
      <x:c r="K1" s="14" t="str">
        <x:v>Check Date</x:v>
      </x:c>
      <x:c r="L1" s="14" t="str">
        <x:v>Rights / Copyright Notes</x:v>
      </x:c>
      <x:c r="M1" s="14" t="str">
        <x:v>Commercial Use Allowed</x:v>
      </x:c>
      <x:c r="N1" s="14" t="str">
        <x:v>Hero Image</x:v>
      </x:c>
      <x:c r="O1" s="14" t="str">
        <x:v>Source_ID</x:v>
      </x:c>
      <x:c r="P1" s="14" t="str">
        <x:v>Notes</x:v>
      </x:c>
    </x:row>
    <x:row r="2" ht="84" customHeight="1">
      <x:c r="A2" s="20" t="str">
        <x:v>IMG-COSRX-001</x:v>
      </x:c>
      <x:c r="B2" s="20" t="str">
        <x:v>KB001</x:v>
      </x:c>
      <x:c r="C2" s="20"/>
      <x:c r="D2" s="20" t="str">
        <x:v>Brand Logo</x:v>
      </x:c>
      <x:c r="E2" s="20" t="str">
        <x:v>COSRX official wordmark/logo.</x:v>
      </x:c>
      <x:c r="F2" s="20" t="str">
        <x:v>https://www.cosrx.com/cdn/shop/files/COSRX_150x.png?v=1658313147</x:v>
      </x:c>
      <x:c r="G2" s="20" t="str">
        <x:v>https://www.cosrx.com</x:v>
      </x:c>
      <x:c r="H2" s="20"/>
      <x:c r="I2" s="20" t="str">
        <x:v>Link only</x:v>
      </x:c>
      <x:c r="J2" s="24"/>
      <x:c r="K2" s="24" t="str">
        <x:v>2026-07-29</x:v>
      </x:c>
      <x:c r="L2" s="20" t="str">
        <x:v>Brand-owned image; internal research reference only.</x:v>
      </x:c>
      <x:c r="M2" s="20" t="str">
        <x:v>Review Required</x:v>
      </x:c>
      <x:c r="N2" s="20" t="str">
        <x:v>Yes</x:v>
      </x:c>
      <x:c r="O2" s="20" t="str">
        <x:v>SRC-COSRX-001</x:v>
      </x:c>
      <x:c r="P2" s="20" t="str">
        <x:v>Do not assume advertising/commercial-use rights.</x:v>
      </x:c>
    </x:row>
    <x:row r="3" ht="84" customHeight="1">
      <x:c r="A3" s="21" t="str">
        <x:v>IMG-COSRX-002</x:v>
      </x:c>
      <x:c r="B3" s="21" t="str">
        <x:v>KB001</x:v>
      </x:c>
      <x:c r="C3" s="21" t="str">
        <x:v>COSRX-P001</x:v>
      </x:c>
      <x:c r="D3" s="21" t="str">
        <x:v>Product Image</x:v>
      </x:c>
      <x:c r="E3" s="21" t="str">
        <x:v>Advanced Snail 96 Mucin Power Essence official product visual.</x:v>
      </x:c>
      <x:c r="F3" s="21" t="str">
        <x:v>https://www.cosrx.com/cdn/shop/files/advanced-snail-96-mucin-power-essence-cosrx-official-4_900x.jpg?v=1763111577</x:v>
      </x:c>
      <x:c r="G3" s="21" t="str">
        <x:v>https://www.cosrx.com/products/advanced-snail-96-mucin-power-essence</x:v>
      </x:c>
      <x:c r="H3" s="21"/>
      <x:c r="I3" s="21" t="str">
        <x:v>Link only</x:v>
      </x:c>
      <x:c r="J3" s="25"/>
      <x:c r="K3" s="25" t="str">
        <x:v>2026-07-29</x:v>
      </x:c>
      <x:c r="L3" s="21" t="str">
        <x:v>Brand-owned image; internal research reference only.</x:v>
      </x:c>
      <x:c r="M3" s="21" t="str">
        <x:v>Review Required</x:v>
      </x:c>
      <x:c r="N3" s="21" t="str">
        <x:v>Yes</x:v>
      </x:c>
      <x:c r="O3" s="21" t="str">
        <x:v>SRC-COSRX-013</x:v>
      </x:c>
      <x:c r="P3" s="21" t="str">
        <x:v>Image URL may change; obtain licensed sell sheet before commercial use.</x:v>
      </x:c>
    </x:row>
    <x:row r="4" ht="84" customHeight="1">
      <x:c r="A4" s="21" t="str">
        <x:v>IMG-COSRX-003</x:v>
      </x:c>
      <x:c r="B4" s="21" t="str">
        <x:v>KB001</x:v>
      </x:c>
      <x:c r="C4" s="21" t="str">
        <x:v>COSRX-P002</x:v>
      </x:c>
      <x:c r="D4" s="21" t="str">
        <x:v>Product Image</x:v>
      </x:c>
      <x:c r="E4" s="21" t="str">
        <x:v>Acne Pimple Master Patch official product visual.</x:v>
      </x:c>
      <x:c r="F4" s="21" t="str">
        <x:v>https://www.cosrx.com/cdn/shop/files/acne-pimple-master-patch-cosrx-official-1_900x.jpg?v=1724835736</x:v>
      </x:c>
      <x:c r="G4" s="21" t="str">
        <x:v>https://www.cosrx.com/products/acne-pimple-master-patch</x:v>
      </x:c>
      <x:c r="H4" s="21"/>
      <x:c r="I4" s="21" t="str">
        <x:v>Link only</x:v>
      </x:c>
      <x:c r="J4" s="25"/>
      <x:c r="K4" s="25" t="str">
        <x:v>2026-07-29</x:v>
      </x:c>
      <x:c r="L4" s="21" t="str">
        <x:v>Brand-owned image; internal research reference only.</x:v>
      </x:c>
      <x:c r="M4" s="21" t="str">
        <x:v>Review Required</x:v>
      </x:c>
      <x:c r="N4" s="21" t="str">
        <x:v>No</x:v>
      </x:c>
      <x:c r="O4" s="21" t="str">
        <x:v>SRC-COSRX-014</x:v>
      </x:c>
      <x:c r="P4" s="21" t="str">
        <x:v>Obtain authorized asset pack before resale/marketing.</x:v>
      </x:c>
    </x:row>
    <x:row r="5" ht="84" customHeight="1">
      <x:c r="A5" s="21" t="str">
        <x:v>IMG-COSRX-004</x:v>
      </x:c>
      <x:c r="B5" s="21" t="str">
        <x:v>KB001</x:v>
      </x:c>
      <x:c r="C5" s="21" t="str">
        <x:v>COSRX-P003</x:v>
      </x:c>
      <x:c r="D5" s="21" t="str">
        <x:v>Product Image</x:v>
      </x:c>
      <x:c r="E5" s="21" t="str">
        <x:v>Low pH Good Morning Gel Cleanser official product visual.</x:v>
      </x:c>
      <x:c r="F5" s="21" t="str">
        <x:v>https://www.cosrx.com/cdn/shop/files/low-ph-good-morning-gel-cleanser-cosrx-official-1_900x.jpg?v=1768785801</x:v>
      </x:c>
      <x:c r="G5" s="21" t="str">
        <x:v>https://www.cosrx.com/products/low-ph-good-morning-gel-cleanser/1000</x:v>
      </x:c>
      <x:c r="H5" s="21"/>
      <x:c r="I5" s="21" t="str">
        <x:v>Link only</x:v>
      </x:c>
      <x:c r="J5" s="25"/>
      <x:c r="K5" s="25" t="str">
        <x:v>2026-07-29</x:v>
      </x:c>
      <x:c r="L5" s="21" t="str">
        <x:v>Brand-owned image; internal research reference only.</x:v>
      </x:c>
      <x:c r="M5" s="21" t="str">
        <x:v>Review Required</x:v>
      </x:c>
      <x:c r="N5" s="21" t="str">
        <x:v>No</x:v>
      </x:c>
      <x:c r="O5" s="21" t="str">
        <x:v>SRC-COSRX-015</x:v>
      </x:c>
      <x:c r="P5" s="21" t="str">
        <x:v>Obtain authorized asset pack before resale/marketing.</x:v>
      </x:c>
    </x:row>
    <x:row r="6" ht="84" customHeight="1">
      <x:c r="A6" s="21" t="str">
        <x:v>IMG-COSRX-005</x:v>
      </x:c>
      <x:c r="B6" s="21" t="str">
        <x:v>KB001</x:v>
      </x:c>
      <x:c r="C6" s="21" t="str">
        <x:v>COSRX-P004</x:v>
      </x:c>
      <x:c r="D6" s="21" t="str">
        <x:v>Product Image</x:v>
      </x:c>
      <x:c r="E6" s="21" t="str">
        <x:v>The 6 Peptide Skin Booster Serum official product visual.</x:v>
      </x:c>
      <x:c r="F6" s="21" t="str">
        <x:v>https://www.cosrx.com/cdn/shop/files/THE_6_PEPTIDE_SKIN_BOOSTER_SERUM___800x1067_1_900x.webp?v=1784097536</x:v>
      </x:c>
      <x:c r="G6" s="21" t="str">
        <x:v>https://www.cosrx.com/products/the-6-peptide-skin-booster-serum</x:v>
      </x:c>
      <x:c r="H6" s="21"/>
      <x:c r="I6" s="21" t="str">
        <x:v>Link only</x:v>
      </x:c>
      <x:c r="J6" s="25"/>
      <x:c r="K6" s="25" t="str">
        <x:v>2026-07-29</x:v>
      </x:c>
      <x:c r="L6" s="21" t="str">
        <x:v>Brand-owned image; internal research reference only.</x:v>
      </x:c>
      <x:c r="M6" s="21" t="str">
        <x:v>Review Required</x:v>
      </x:c>
      <x:c r="N6" s="21" t="str">
        <x:v>No</x:v>
      </x:c>
      <x:c r="O6" s="21" t="str">
        <x:v>SRC-COSRX-016</x:v>
      </x:c>
      <x:c r="P6" s="21" t="str">
        <x:v>Obtain authorized asset pack before resale/marketing.</x:v>
      </x:c>
    </x:row>
    <x:row r="7" ht="84" customHeight="1">
      <x:c r="A7" s="21" t="str">
        <x:v>IMG-COSRX-006</x:v>
      </x:c>
      <x:c r="B7" s="21" t="str">
        <x:v>KB001</x:v>
      </x:c>
      <x:c r="C7" s="21" t="str">
        <x:v>COSRX-P005</x:v>
      </x:c>
      <x:c r="D7" s="21" t="str">
        <x:v>Product Image</x:v>
      </x:c>
      <x:c r="E7" s="21" t="str">
        <x:v>Advanced Snail 92 All In One Cream official product visual.</x:v>
      </x:c>
      <x:c r="F7" s="21" t="str">
        <x:v>https://www.cosrx.com/cdn/shop/files/snail_cream_thumbnail_900x.png?v=1748420673</x:v>
      </x:c>
      <x:c r="G7" s="21" t="str">
        <x:v>https://www.cosrx.com/products/advanced-snail-92-all-in-one-cream</x:v>
      </x:c>
      <x:c r="H7" s="21"/>
      <x:c r="I7" s="21" t="str">
        <x:v>Link only</x:v>
      </x:c>
      <x:c r="J7" s="25"/>
      <x:c r="K7" s="25" t="str">
        <x:v>2026-07-29</x:v>
      </x:c>
      <x:c r="L7" s="21" t="str">
        <x:v>Brand-owned image; internal research reference only.</x:v>
      </x:c>
      <x:c r="M7" s="21" t="str">
        <x:v>Review Required</x:v>
      </x:c>
      <x:c r="N7" s="21" t="str">
        <x:v>No</x:v>
      </x:c>
      <x:c r="O7" s="21" t="str">
        <x:v>SRC-COSRX-017</x:v>
      </x:c>
      <x:c r="P7" s="21" t="str">
        <x:v>Official page may show format/size variants; confirm sellable SKU artwork.</x:v>
      </x:c>
    </x:row>
    <x:row r="8" ht="78" customHeight="1">
      <x:c r="A8" s="21" t="str">
        <x:v>IMG-BOJ-001</x:v>
      </x:c>
      <x:c r="B8" s="21" t="str">
        <x:v>KB002</x:v>
      </x:c>
      <x:c r="C8" s="21"/>
      <x:c r="D8" s="21" t="str">
        <x:v>Brand / Lifestyle Image</x:v>
      </x:c>
      <x:c r="E8" s="21" t="str">
        <x:v>Official Beauty of Joseon brand image from site open-graph metadata.</x:v>
      </x:c>
      <x:c r="F8" s="21" t="str">
        <x:v>https://beautyofjoseon.com/cdn/shop/files/boj_domain.webp?v=1780891480</x:v>
      </x:c>
      <x:c r="G8" s="21" t="str">
        <x:v>https://beautyofjoseon.com</x:v>
      </x:c>
      <x:c r="H8" s="21"/>
      <x:c r="I8" s="21" t="str">
        <x:v>Link only</x:v>
      </x:c>
      <x:c r="J8" s="25"/>
      <x:c r="K8" s="25" t="str">
        <x:v>2026-07-29</x:v>
      </x:c>
      <x:c r="L8" s="21" t="str">
        <x:v>Brand-owned image; internal research reference only.</x:v>
      </x:c>
      <x:c r="M8" s="21" t="str">
        <x:v>Review Required</x:v>
      </x:c>
      <x:c r="N8" s="21" t="str">
        <x:v>Yes</x:v>
      </x:c>
      <x:c r="O8" s="21" t="str">
        <x:v>SRC-BOJ-001</x:v>
      </x:c>
      <x:c r="P8" s="21" t="str">
        <x:v>Do not assume advertising or commercial-use rights; request an authorized brand asset pack.</x:v>
      </x:c>
    </x:row>
    <x:row r="9" ht="78" customHeight="1">
      <x:c r="A9" s="21" t="str">
        <x:v>IMG-BOJ-002</x:v>
      </x:c>
      <x:c r="B9" s="21" t="str">
        <x:v>KB002</x:v>
      </x:c>
      <x:c r="C9" s="21" t="str">
        <x:v>BOJ-P001</x:v>
      </x:c>
      <x:c r="D9" s="21" t="str">
        <x:v>Product Image</x:v>
      </x:c>
      <x:c r="E9" s="21" t="str">
        <x:v>Daily Relief Sunscreen official product image.</x:v>
      </x:c>
      <x:c r="F9" s="21" t="str">
        <x:v>https://beautyofjoseon.com/cdn/shop/files/02_0529.jpg?v=1780214476</x:v>
      </x:c>
      <x:c r="G9" s="21" t="str">
        <x:v>https://beautyofjoseon.com/products/daily-relief-sunscreen</x:v>
      </x:c>
      <x:c r="H9" s="21"/>
      <x:c r="I9" s="21" t="str">
        <x:v>Link only</x:v>
      </x:c>
      <x:c r="J9" s="25"/>
      <x:c r="K9" s="25" t="str">
        <x:v>2026-07-29</x:v>
      </x:c>
      <x:c r="L9" s="21" t="str">
        <x:v>Brand-owned image; internal research reference only.</x:v>
      </x:c>
      <x:c r="M9" s="21" t="str">
        <x:v>Review Required</x:v>
      </x:c>
      <x:c r="N9" s="21" t="str">
        <x:v>No</x:v>
      </x:c>
      <x:c r="O9" s="21" t="str">
        <x:v>SRC-BOJ-014</x:v>
      </x:c>
      <x:c r="P9" s="21" t="str">
        <x:v>Obtain licensed U.S.-label artwork before commercial use.</x:v>
      </x:c>
    </x:row>
    <x:row r="10" ht="78" customHeight="1">
      <x:c r="A10" s="21" t="str">
        <x:v>IMG-BOJ-003</x:v>
      </x:c>
      <x:c r="B10" s="21" t="str">
        <x:v>KB002</x:v>
      </x:c>
      <x:c r="C10" s="21" t="str">
        <x:v>BOJ-P002</x:v>
      </x:c>
      <x:c r="D10" s="21" t="str">
        <x:v>Product Image</x:v>
      </x:c>
      <x:c r="E10" s="21" t="str">
        <x:v>Revive Eye Serum: Ginseng + Retinal official front image.</x:v>
      </x:c>
      <x:c r="F10" s="21" t="str">
        <x:v>https://beautyofjoseon.com/cdn/shop/files/revive-eye-serum-ginseng-retinal-1-front.webp?v=1770287139</x:v>
      </x:c>
      <x:c r="G10" s="21" t="str">
        <x:v>https://beautyofjoseon.com/products/revive-eye-serum-ginseng-retinal</x:v>
      </x:c>
      <x:c r="H10" s="21"/>
      <x:c r="I10" s="21" t="str">
        <x:v>Link only</x:v>
      </x:c>
      <x:c r="J10" s="25"/>
      <x:c r="K10" s="25" t="str">
        <x:v>2026-07-29</x:v>
      </x:c>
      <x:c r="L10" s="21" t="str">
        <x:v>Brand-owned image; internal research reference only.</x:v>
      </x:c>
      <x:c r="M10" s="21" t="str">
        <x:v>Review Required</x:v>
      </x:c>
      <x:c r="N10" s="21" t="str">
        <x:v>No</x:v>
      </x:c>
      <x:c r="O10" s="21" t="str">
        <x:v>SRC-BOJ-015</x:v>
      </x:c>
      <x:c r="P10" s="21" t="str">
        <x:v>Obtain licensed sell sheet and current U.S. packaging artwork.</x:v>
      </x:c>
    </x:row>
    <x:row r="11" ht="78" customHeight="1">
      <x:c r="A11" s="21" t="str">
        <x:v>IMG-BOJ-004</x:v>
      </x:c>
      <x:c r="B11" s="21" t="str">
        <x:v>KB002</x:v>
      </x:c>
      <x:c r="C11" s="21" t="str">
        <x:v>BOJ-P003</x:v>
      </x:c>
      <x:c r="D11" s="21" t="str">
        <x:v>Product Image</x:v>
      </x:c>
      <x:c r="E11" s="21" t="str">
        <x:v>Glow Serum: Propolis + Niacinamide official front image.</x:v>
      </x:c>
      <x:c r="F11" s="21" t="str">
        <x:v>https://beautyofjoseon.com/cdn/shop/files/glow-serum-propolis-niacinamide-1-front.webp?v=1770278801</x:v>
      </x:c>
      <x:c r="G11" s="21" t="str">
        <x:v>https://beautyofjoseon.com/products/glow-serum-propolis-niacinamide</x:v>
      </x:c>
      <x:c r="H11" s="21"/>
      <x:c r="I11" s="21" t="str">
        <x:v>Link only</x:v>
      </x:c>
      <x:c r="J11" s="25"/>
      <x:c r="K11" s="25" t="str">
        <x:v>2026-07-29</x:v>
      </x:c>
      <x:c r="L11" s="21" t="str">
        <x:v>Brand-owned image; internal research reference only.</x:v>
      </x:c>
      <x:c r="M11" s="21" t="str">
        <x:v>Review Required</x:v>
      </x:c>
      <x:c r="N11" s="21" t="str">
        <x:v>No</x:v>
      </x:c>
      <x:c r="O11" s="21" t="str">
        <x:v>SRC-BOJ-016</x:v>
      </x:c>
      <x:c r="P11" s="21" t="str">
        <x:v>Obtain licensed sell sheet and current U.S. packaging artwork.</x:v>
      </x:c>
    </x:row>
    <x:row r="12" ht="78" customHeight="1">
      <x:c r="A12" s="21" t="str">
        <x:v>IMG-BOJ-005</x:v>
      </x:c>
      <x:c r="B12" s="21" t="str">
        <x:v>KB002</x:v>
      </x:c>
      <x:c r="C12" s="21" t="str">
        <x:v>BOJ-P004</x:v>
      </x:c>
      <x:c r="D12" s="21" t="str">
        <x:v>Product Image</x:v>
      </x:c>
      <x:c r="E12" s="21" t="str">
        <x:v>Dynasty Cream official front image.</x:v>
      </x:c>
      <x:c r="F12" s="21" t="str">
        <x:v>https://beautyofjoseon.com/cdn/shop/files/dynasty-cream-1-front.webp?v=1770618339</x:v>
      </x:c>
      <x:c r="G12" s="21" t="str">
        <x:v>https://beautyofjoseon.com/products/dynasty-cream</x:v>
      </x:c>
      <x:c r="H12" s="21"/>
      <x:c r="I12" s="21" t="str">
        <x:v>Link only</x:v>
      </x:c>
      <x:c r="J12" s="25"/>
      <x:c r="K12" s="25" t="str">
        <x:v>2026-07-29</x:v>
      </x:c>
      <x:c r="L12" s="21" t="str">
        <x:v>Brand-owned image; internal research reference only.</x:v>
      </x:c>
      <x:c r="M12" s="21" t="str">
        <x:v>Review Required</x:v>
      </x:c>
      <x:c r="N12" s="21" t="str">
        <x:v>No</x:v>
      </x:c>
      <x:c r="O12" s="21" t="str">
        <x:v>SRC-BOJ-017</x:v>
      </x:c>
      <x:c r="P12" s="21" t="str">
        <x:v>Confirm 50 mL packaging/variant artwork before commercial use.</x:v>
      </x:c>
    </x:row>
    <x:row r="13" ht="78" customHeight="1">
      <x:c r="A13" s="21" t="str">
        <x:v>IMG-BOJ-006</x:v>
      </x:c>
      <x:c r="B13" s="21" t="str">
        <x:v>KB002</x:v>
      </x:c>
      <x:c r="C13" s="21" t="str">
        <x:v>BOJ-P005</x:v>
      </x:c>
      <x:c r="D13" s="21" t="str">
        <x:v>Product Image</x:v>
      </x:c>
      <x:c r="E13" s="21" t="str">
        <x:v>Green Plum Refreshing Cleanser official front image.</x:v>
      </x:c>
      <x:c r="F13" s="21" t="str">
        <x:v>https://beautyofjoseon.com/cdn/shop/files/green-plum-refreshing-cleanser-1-front.webp?v=1770618132</x:v>
      </x:c>
      <x:c r="G13" s="21" t="str">
        <x:v>https://beautyofjoseon.com/products/green-plum-refreshing-cleanser</x:v>
      </x:c>
      <x:c r="H13" s="21"/>
      <x:c r="I13" s="21" t="str">
        <x:v>Link only</x:v>
      </x:c>
      <x:c r="J13" s="25"/>
      <x:c r="K13" s="25" t="str">
        <x:v>2026-07-29</x:v>
      </x:c>
      <x:c r="L13" s="21" t="str">
        <x:v>Brand-owned image; internal research reference only.</x:v>
      </x:c>
      <x:c r="M13" s="21" t="str">
        <x:v>Review Required</x:v>
      </x:c>
      <x:c r="N13" s="21" t="str">
        <x:v>No</x:v>
      </x:c>
      <x:c r="O13" s="21" t="str">
        <x:v>SRC-BOJ-018</x:v>
      </x:c>
      <x:c r="P13" s="21" t="str">
        <x:v>Obtain licensed sell sheet and current U.S. packaging artwork.</x:v>
      </x:c>
    </x:row>
    <x:row r="14" ht="80" customHeight="1">
      <x:c r="A14" s="21" t="str">
        <x:v>IMG-ANUA-001</x:v>
      </x:c>
      <x:c r="B14" s="21" t="str">
        <x:v>KB003</x:v>
      </x:c>
      <x:c r="C14" s="21"/>
      <x:c r="D14" s="21" t="str">
        <x:v>Brand / Lifestyle Image</x:v>
      </x:c>
      <x:c r="E14" s="21" t="str">
        <x:v>Official Anua U.S. brand image from open-graph metadata.</x:v>
      </x:c>
      <x:c r="F14" s="21" t="str">
        <x:v>https://anua.com/cdn/shop/files/1200X600_ANUA.jpg?v=1738611627&amp;width=2048</x:v>
      </x:c>
      <x:c r="G14" s="21" t="str">
        <x:v>https://anua.com</x:v>
      </x:c>
      <x:c r="H14" s="21"/>
      <x:c r="I14" s="21" t="str">
        <x:v>Link only</x:v>
      </x:c>
      <x:c r="J14" s="25"/>
      <x:c r="K14" s="25" t="str">
        <x:v>2026-07-29</x:v>
      </x:c>
      <x:c r="L14" s="21" t="str">
        <x:v>Brand-owned image; internal research reference only.</x:v>
      </x:c>
      <x:c r="M14" s="21" t="str">
        <x:v>Review Required</x:v>
      </x:c>
      <x:c r="N14" s="21" t="str">
        <x:v>Yes</x:v>
      </x:c>
      <x:c r="O14" s="21" t="str">
        <x:v>SRC-ANUA-001</x:v>
      </x:c>
      <x:c r="P14" s="21" t="str">
        <x:v>Do not assume advertising/commercial-use rights; request an authorized asset pack.</x:v>
      </x:c>
    </x:row>
    <x:row r="15" ht="80" customHeight="1">
      <x:c r="A15" s="21" t="str">
        <x:v>IMG-ANUA-002</x:v>
      </x:c>
      <x:c r="B15" s="21" t="str">
        <x:v>KB003</x:v>
      </x:c>
      <x:c r="C15" s="21" t="str">
        <x:v>ANUA-P001</x:v>
      </x:c>
      <x:c r="D15" s="21" t="str">
        <x:v>Product Image</x:v>
      </x:c>
      <x:c r="E15" s="21" t="str">
        <x:v>Heartleaf Quercetinol Pore Deep Cleansing Foam official product image.</x:v>
      </x:c>
      <x:c r="F15" s="21" t="str">
        <x:v>https://anua.com/cdn/shop/files/anua-us-cleanser-heartleaf-quercetinol-pore-deep-cleansing-foam-1239193718.jpg?v=1779181814&amp;width=2048</x:v>
      </x:c>
      <x:c r="G15" s="21" t="str">
        <x:v>https://anua.com/products/heartleaf-quercetinol-pore-deep-cleansing-foam</x:v>
      </x:c>
      <x:c r="H15" s="21"/>
      <x:c r="I15" s="21" t="str">
        <x:v>Link only</x:v>
      </x:c>
      <x:c r="J15" s="25"/>
      <x:c r="K15" s="25" t="str">
        <x:v>2026-07-29</x:v>
      </x:c>
      <x:c r="L15" s="21" t="str">
        <x:v>Brand-owned image; internal research reference only.</x:v>
      </x:c>
      <x:c r="M15" s="21" t="str">
        <x:v>Review Required</x:v>
      </x:c>
      <x:c r="N15" s="21" t="str">
        <x:v>No</x:v>
      </x:c>
      <x:c r="O15" s="21" t="str">
        <x:v>SRC-ANUA-013</x:v>
      </x:c>
      <x:c r="P15" s="21" t="str">
        <x:v>Obtain licensed sell sheet and current U.S. packaging artwork.</x:v>
      </x:c>
    </x:row>
    <x:row r="16" ht="80" customHeight="1">
      <x:c r="A16" s="21" t="str">
        <x:v>IMG-ANUA-003</x:v>
      </x:c>
      <x:c r="B16" s="21" t="str">
        <x:v>KB003</x:v>
      </x:c>
      <x:c r="C16" s="21" t="str">
        <x:v>ANUA-P002</x:v>
      </x:c>
      <x:c r="D16" s="21" t="str">
        <x:v>Product Image</x:v>
      </x:c>
      <x:c r="E16" s="21" t="str">
        <x:v>Azelaic Acid 10 Hyaluron Redness Soothing Serum official product image.</x:v>
      </x:c>
      <x:c r="F16" s="21" t="str">
        <x:v>https://anua.com/cdn/shop/files/anua-us-ampoule-serum-azelaic-acid-10-hyaluron-redness-soothing-serum-1239193732.jpg?v=1779177969&amp;width=2048</x:v>
      </x:c>
      <x:c r="G16" s="21" t="str">
        <x:v>https://anua.com/products/azelaic-acid-10-hyaluron-redness-soothing-serum</x:v>
      </x:c>
      <x:c r="H16" s="21"/>
      <x:c r="I16" s="21" t="str">
        <x:v>Link only</x:v>
      </x:c>
      <x:c r="J16" s="25"/>
      <x:c r="K16" s="25" t="str">
        <x:v>2026-07-29</x:v>
      </x:c>
      <x:c r="L16" s="21" t="str">
        <x:v>Brand-owned image; internal research reference only.</x:v>
      </x:c>
      <x:c r="M16" s="21" t="str">
        <x:v>Review Required</x:v>
      </x:c>
      <x:c r="N16" s="21" t="str">
        <x:v>No</x:v>
      </x:c>
      <x:c r="O16" s="21" t="str">
        <x:v>SRC-ANUA-014</x:v>
      </x:c>
      <x:c r="P16" s="21" t="str">
        <x:v>Obtain licensed sell sheet and claim-approved U.S. artwork.</x:v>
      </x:c>
    </x:row>
    <x:row r="17" ht="80" customHeight="1">
      <x:c r="A17" s="21" t="str">
        <x:v>IMG-ANUA-004</x:v>
      </x:c>
      <x:c r="B17" s="21" t="str">
        <x:v>KB003</x:v>
      </x:c>
      <x:c r="C17" s="21" t="str">
        <x:v>ANUA-P003</x:v>
      </x:c>
      <x:c r="D17" s="21" t="str">
        <x:v>Product Image</x:v>
      </x:c>
      <x:c r="E17" s="21" t="str">
        <x:v>Heartleaf Pore Control Cleansing Oil official product image.</x:v>
      </x:c>
      <x:c r="F17" s="21" t="str">
        <x:v>https://anua.com/cdn/shop/files/anua-us-cleanser-heartleaf-pore-control-cleansing-oil-1239193742.jpg?v=1779181871&amp;width=2048</x:v>
      </x:c>
      <x:c r="G17" s="21" t="str">
        <x:v>https://anua.com/products/heartleaf-pore-control-cleansing-oil-200ml</x:v>
      </x:c>
      <x:c r="H17" s="21"/>
      <x:c r="I17" s="21" t="str">
        <x:v>Link only</x:v>
      </x:c>
      <x:c r="J17" s="25"/>
      <x:c r="K17" s="25" t="str">
        <x:v>2026-07-29</x:v>
      </x:c>
      <x:c r="L17" s="21" t="str">
        <x:v>Brand-owned image; internal research reference only.</x:v>
      </x:c>
      <x:c r="M17" s="21" t="str">
        <x:v>Review Required</x:v>
      </x:c>
      <x:c r="N17" s="21" t="str">
        <x:v>No</x:v>
      </x:c>
      <x:c r="O17" s="21" t="str">
        <x:v>SRC-ANUA-015</x:v>
      </x:c>
      <x:c r="P17" s="21" t="str">
        <x:v>Obtain licensed sell sheet and current U.S. packaging artwork.</x:v>
      </x:c>
    </x:row>
    <x:row r="18" ht="80" customHeight="1">
      <x:c r="A18" s="21" t="str">
        <x:v>IMG-ANUA-005</x:v>
      </x:c>
      <x:c r="B18" s="21" t="str">
        <x:v>KB003</x:v>
      </x:c>
      <x:c r="C18" s="21" t="str">
        <x:v>ANUA-P004</x:v>
      </x:c>
      <x:c r="D18" s="21" t="str">
        <x:v>Product Image</x:v>
      </x:c>
      <x:c r="E18" s="21" t="str">
        <x:v>Niacinamide 10 TXA 4 Serum official product image.</x:v>
      </x:c>
      <x:c r="F18" s="21" t="str">
        <x:v>https://anua.com/cdn/shop/files/anua-global-ampoule-serum-niacinamide-10-txa-4-serum-for-brightening-and-dark-spots-1239193722.jpg?v=1779177130&amp;width=2048</x:v>
      </x:c>
      <x:c r="G18" s="21" t="str">
        <x:v>https://anua.com/products/niacinamide-10-txa-4-serum-2</x:v>
      </x:c>
      <x:c r="H18" s="21"/>
      <x:c r="I18" s="21" t="str">
        <x:v>Link only</x:v>
      </x:c>
      <x:c r="J18" s="25"/>
      <x:c r="K18" s="25" t="str">
        <x:v>2026-07-29</x:v>
      </x:c>
      <x:c r="L18" s="21" t="str">
        <x:v>Brand-owned image; internal research reference only.</x:v>
      </x:c>
      <x:c r="M18" s="21" t="str">
        <x:v>Review Required</x:v>
      </x:c>
      <x:c r="N18" s="21" t="str">
        <x:v>No</x:v>
      </x:c>
      <x:c r="O18" s="21" t="str">
        <x:v>SRC-ANUA-016</x:v>
      </x:c>
      <x:c r="P18" s="21" t="str">
        <x:v>Obtain licensed sell sheet and claim-approved U.S. artwork.</x:v>
      </x:c>
    </x:row>
    <x:row r="19" ht="80" customHeight="1">
      <x:c r="A19" s="21" t="str">
        <x:v>IMG-ANUA-006</x:v>
      </x:c>
      <x:c r="B19" s="21" t="str">
        <x:v>KB003</x:v>
      </x:c>
      <x:c r="C19" s="21" t="str">
        <x:v>ANUA-P005</x:v>
      </x:c>
      <x:c r="D19" s="21" t="str">
        <x:v>Product Image</x:v>
      </x:c>
      <x:c r="E19" s="21" t="str">
        <x:v>Heartleaf 77 Soothing Toner official product image.</x:v>
      </x:c>
      <x:c r="F19" s="21" t="str">
        <x:v>https://anua.com/cdn/shop/files/anua-us-toner-heartleaf-77-soothing-toner-1239193744.jpg?v=1779181932&amp;width=2048</x:v>
      </x:c>
      <x:c r="G19" s="21" t="str">
        <x:v>https://anua.com/products/heartleaf-77-soothing-toner</x:v>
      </x:c>
      <x:c r="H19" s="21"/>
      <x:c r="I19" s="21" t="str">
        <x:v>Link only</x:v>
      </x:c>
      <x:c r="J19" s="25"/>
      <x:c r="K19" s="25" t="str">
        <x:v>2026-07-29</x:v>
      </x:c>
      <x:c r="L19" s="21" t="str">
        <x:v>Brand-owned image; internal research reference only.</x:v>
      </x:c>
      <x:c r="M19" s="21" t="str">
        <x:v>Review Required</x:v>
      </x:c>
      <x:c r="N19" s="21" t="str">
        <x:v>No</x:v>
      </x:c>
      <x:c r="O19" s="21" t="str">
        <x:v>SRC-ANUA-017</x:v>
      </x:c>
      <x:c r="P19" s="21" t="str">
        <x:v>Do not reuse the undated Amazon #1 wording without a current qualified basis.</x:v>
      </x:c>
    </x:row>
    <x:row r="20" ht="82" customHeight="1">
      <x:c r="A20" s="21" t="str">
        <x:v>IMG-LAN-001</x:v>
      </x:c>
      <x:c r="B20" s="21" t="str">
        <x:v>KB005</x:v>
      </x:c>
      <x:c r="C20" s="21"/>
      <x:c r="D20" s="21" t="str">
        <x:v>Brand / Lifestyle Image</x:v>
      </x:c>
      <x:c r="E20" s="21" t="str">
        <x:v>Official Laneige U.S. brand image.</x:v>
      </x:c>
      <x:c r="F20" s="21" t="str">
        <x:v>https://us.laneige.com/cdn/shop/files/URL_Image_02.jpg?v=1724771888</x:v>
      </x:c>
      <x:c r="G20" s="21" t="str">
        <x:v>https://us.laneige.com/pages/about-laneige</x:v>
      </x:c>
      <x:c r="H20" s="21"/>
      <x:c r="I20" s="21" t="str">
        <x:v>Link only</x:v>
      </x:c>
      <x:c r="J20" s="25"/>
      <x:c r="K20" s="25" t="str">
        <x:v>2026-07-30</x:v>
      </x:c>
      <x:c r="L20" s="21" t="str">
        <x:v>Brand-owned image; internal research reference only.</x:v>
      </x:c>
      <x:c r="M20" s="21" t="str">
        <x:v>Review Required</x:v>
      </x:c>
      <x:c r="N20" s="21" t="str">
        <x:v>Yes</x:v>
      </x:c>
      <x:c r="O20" s="21" t="str">
        <x:v>SRC-LAN-002</x:v>
      </x:c>
      <x:c r="P20" s="21" t="str">
        <x:v>Do not assume advertising/commercial-use rights; request an authorized asset pack.</x:v>
      </x:c>
    </x:row>
    <x:row r="21" ht="82" customHeight="1">
      <x:c r="A21" s="21" t="str">
        <x:v>IMG-LAN-002</x:v>
      </x:c>
      <x:c r="B21" s="21" t="str">
        <x:v>KB005</x:v>
      </x:c>
      <x:c r="C21" s="21" t="str">
        <x:v>LAN-P001</x:v>
      </x:c>
      <x:c r="D21" s="21" t="str">
        <x:v>Product Image</x:v>
      </x:c>
      <x:c r="E21" s="21" t="str">
        <x:v>Lip Sleeping Mask official product image.</x:v>
      </x:c>
      <x:c r="F21" s="21" t="str">
        <x:v>https://us.laneige.com/cdn/shop/files/LSM_AMS_Infographic_2000x2000_Product_1_1.jpg?v=1782825855&amp;width=1080</x:v>
      </x:c>
      <x:c r="G21" s="21" t="str">
        <x:v>https://us.laneige.com/products/lip-sleeping-mask</x:v>
      </x:c>
      <x:c r="H21" s="21"/>
      <x:c r="I21" s="21" t="str">
        <x:v>Link only</x:v>
      </x:c>
      <x:c r="J21" s="25"/>
      <x:c r="K21" s="25" t="str">
        <x:v>2026-07-30</x:v>
      </x:c>
      <x:c r="L21" s="21" t="str">
        <x:v>Brand-owned image; internal research reference only.</x:v>
      </x:c>
      <x:c r="M21" s="21" t="str">
        <x:v>Review Required</x:v>
      </x:c>
      <x:c r="N21" s="21" t="str">
        <x:v>No</x:v>
      </x:c>
      <x:c r="O21" s="21" t="str">
        <x:v>SRC-LAN-004</x:v>
      </x:c>
      <x:c r="P21" s="21" t="str">
        <x:v>Obtain licensed U.S. sell sheet, current packaging and claim-approved artwork.</x:v>
      </x:c>
    </x:row>
    <x:row r="22" ht="82" customHeight="1">
      <x:c r="A22" s="21" t="str">
        <x:v>IMG-LAN-003</x:v>
      </x:c>
      <x:c r="B22" s="21" t="str">
        <x:v>KB005</x:v>
      </x:c>
      <x:c r="C22" s="21" t="str">
        <x:v>LAN-P002</x:v>
      </x:c>
      <x:c r="D22" s="21" t="str">
        <x:v>Product Image</x:v>
      </x:c>
      <x:c r="E22" s="21" t="str">
        <x:v>Lip Glowy Balm official product image.</x:v>
      </x:c>
      <x:c r="F22" s="21" t="str">
        <x:v>https://us.laneige.com/cdn/shop/files/LGB_AMS_Infographic_2000x2000_Product_2_1.jpg?v=1782826928&amp;width=1080</x:v>
      </x:c>
      <x:c r="G22" s="21" t="str">
        <x:v>https://us.laneige.com/products/lip-glowy-balm</x:v>
      </x:c>
      <x:c r="H22" s="21"/>
      <x:c r="I22" s="21" t="str">
        <x:v>Link only</x:v>
      </x:c>
      <x:c r="J22" s="25"/>
      <x:c r="K22" s="25" t="str">
        <x:v>2026-07-30</x:v>
      </x:c>
      <x:c r="L22" s="21" t="str">
        <x:v>Brand-owned image; internal research reference only.</x:v>
      </x:c>
      <x:c r="M22" s="21" t="str">
        <x:v>Review Required</x:v>
      </x:c>
      <x:c r="N22" s="21" t="str">
        <x:v>No</x:v>
      </x:c>
      <x:c r="O22" s="21" t="str">
        <x:v>SRC-LAN-017</x:v>
      </x:c>
      <x:c r="P22" s="21" t="str">
        <x:v>Obtain licensed U.S. sell sheet and current flavor artwork.</x:v>
      </x:c>
    </x:row>
    <x:row r="23" ht="82" customHeight="1">
      <x:c r="A23" s="21" t="str">
        <x:v>IMG-LAN-004</x:v>
      </x:c>
      <x:c r="B23" s="21" t="str">
        <x:v>KB005</x:v>
      </x:c>
      <x:c r="C23" s="21" t="str">
        <x:v>LAN-P003</x:v>
      </x:c>
      <x:c r="D23" s="21" t="str">
        <x:v>Product Image</x:v>
      </x:c>
      <x:c r="E23" s="21" t="str">
        <x:v>Cream Skin Toner &amp; Moisturizer official product image.</x:v>
      </x:c>
      <x:c r="F23" s="21" t="str">
        <x:v>https://us.laneige.com/cdn/shop/files/1080x10800_Thumbnail_Product.jpg?height=520&amp;v=1739393277&amp;width=520</x:v>
      </x:c>
      <x:c r="G23" s="21" t="str">
        <x:v>https://us.laneige.com/products/cream-skin-toner-moisturizer</x:v>
      </x:c>
      <x:c r="H23" s="21"/>
      <x:c r="I23" s="21" t="str">
        <x:v>Link only</x:v>
      </x:c>
      <x:c r="J23" s="25"/>
      <x:c r="K23" s="25" t="str">
        <x:v>2026-07-30</x:v>
      </x:c>
      <x:c r="L23" s="21" t="str">
        <x:v>Brand-owned image; internal research reference only.</x:v>
      </x:c>
      <x:c r="M23" s="21" t="str">
        <x:v>Review Required</x:v>
      </x:c>
      <x:c r="N23" s="21" t="str">
        <x:v>No</x:v>
      </x:c>
      <x:c r="O23" s="21" t="str">
        <x:v>SRC-LAN-018</x:v>
      </x:c>
      <x:c r="P23" s="21" t="str">
        <x:v>Obtain licensed U.S. sell sheet and refill/packaging documentation.</x:v>
      </x:c>
    </x:row>
    <x:row r="24" ht="82" customHeight="1">
      <x:c r="A24" s="21" t="str">
        <x:v>IMG-LAN-005</x:v>
      </x:c>
      <x:c r="B24" s="21" t="str">
        <x:v>KB005</x:v>
      </x:c>
      <x:c r="C24" s="21" t="str">
        <x:v>LAN-P004</x:v>
      </x:c>
      <x:c r="D24" s="21" t="str">
        <x:v>Product Image</x:v>
      </x:c>
      <x:c r="E24" s="21" t="str">
        <x:v>Water Bank Blue Hyaluronic Cream Moisturizer official product image.</x:v>
      </x:c>
      <x:c r="F24" s="21" t="str">
        <x:v>https://us.laneige.com/cdn/shop/files/WBCM_Infographic_2000x2000POD1.jpg?v=1773934612&amp;width=1080</x:v>
      </x:c>
      <x:c r="G24" s="21" t="str">
        <x:v>https://us.laneige.com/products/water-bank-blue-hyaluronic-cream-moisturizer</x:v>
      </x:c>
      <x:c r="H24" s="21"/>
      <x:c r="I24" s="21" t="str">
        <x:v>Link only</x:v>
      </x:c>
      <x:c r="J24" s="25"/>
      <x:c r="K24" s="25" t="str">
        <x:v>2026-07-30</x:v>
      </x:c>
      <x:c r="L24" s="21" t="str">
        <x:v>Brand-owned image; internal research reference only.</x:v>
      </x:c>
      <x:c r="M24" s="21" t="str">
        <x:v>Review Required</x:v>
      </x:c>
      <x:c r="N24" s="21" t="str">
        <x:v>No</x:v>
      </x:c>
      <x:c r="O24" s="21" t="str">
        <x:v>SRC-LAN-019</x:v>
      </x:c>
      <x:c r="P24" s="21" t="str">
        <x:v>Obtain licensed U.S. sell sheet and claim substantiation.</x:v>
      </x:c>
    </x:row>
    <x:row r="25" ht="82" customHeight="1">
      <x:c r="A25" s="21" t="str">
        <x:v>IMG-LAN-006</x:v>
      </x:c>
      <x:c r="B25" s="21" t="str">
        <x:v>KB005</x:v>
      </x:c>
      <x:c r="C25" s="21" t="str">
        <x:v>LAN-P005</x:v>
      </x:c>
      <x:c r="D25" s="21" t="str">
        <x:v>Product Image</x:v>
      </x:c>
      <x:c r="E25" s="21" t="str">
        <x:v>Bouncy &amp; Firm Sleeping Mask official product image.</x:v>
      </x:c>
      <x:c r="F25" s="21" t="str">
        <x:v>https://us.laneige.com/cdn/shop/files/Product_01_9129acd1-a5ce-46e2-9d30-bbd77479f839.jpg?height=520&amp;v=1724612072&amp;width=520</x:v>
      </x:c>
      <x:c r="G25" s="21" t="str">
        <x:v>https://us.laneige.com/products/bouncy-firm-sleeping-mask</x:v>
      </x:c>
      <x:c r="H25" s="21"/>
      <x:c r="I25" s="21" t="str">
        <x:v>Link only</x:v>
      </x:c>
      <x:c r="J25" s="25"/>
      <x:c r="K25" s="25" t="str">
        <x:v>2026-07-30</x:v>
      </x:c>
      <x:c r="L25" s="21" t="str">
        <x:v>Brand-owned image; internal research reference only.</x:v>
      </x:c>
      <x:c r="M25" s="21" t="str">
        <x:v>Review Required</x:v>
      </x:c>
      <x:c r="N25" s="21" t="str">
        <x:v>No</x:v>
      </x:c>
      <x:c r="O25" s="21" t="str">
        <x:v>SRC-LAN-020</x:v>
      </x:c>
      <x:c r="P25" s="21" t="str">
        <x:v>Obtain licensed U.S. artwork and approved firming/plumping language.</x:v>
      </x:c>
    </x:row>
    <x:row r="26" ht="86" customHeight="1">
      <x:c r="A26" s="21" t="str">
        <x:v>IMG-SKN-001</x:v>
      </x:c>
      <x:c r="B26" s="21" t="str">
        <x:v>KB004</x:v>
      </x:c>
      <x:c r="C26" s="21"/>
      <x:c r="D26" s="21" t="str">
        <x:v>Brand Logo</x:v>
      </x:c>
      <x:c r="E26" s="21" t="str">
        <x:v>Official SKIN1004 logo image used on the brand page.</x:v>
      </x:c>
      <x:c r="F26" s="21" t="str">
        <x:v>https://www.skin1004.com/cdn/shop/files/logo_3ce60e3c-e671-45a3-b6b2-1c7f4cd826e5.png?v=1738772075</x:v>
      </x:c>
      <x:c r="G26" s="21" t="str">
        <x:v>https://www.skin1004.com/pages/brand-1</x:v>
      </x:c>
      <x:c r="H26" s="21"/>
      <x:c r="I26" s="21" t="str">
        <x:v>Link only</x:v>
      </x:c>
      <x:c r="J26" s="25"/>
      <x:c r="K26" s="25" t="str">
        <x:v>2026-07-30</x:v>
      </x:c>
      <x:c r="L26" s="21" t="str">
        <x:v>Brand-owned image; internal research reference only.</x:v>
      </x:c>
      <x:c r="M26" s="21" t="str">
        <x:v>Internal Research Reference Only</x:v>
      </x:c>
      <x:c r="N26" s="21" t="str">
        <x:v>Yes</x:v>
      </x:c>
      <x:c r="O26" s="21" t="str">
        <x:v>SRC-SKN-002</x:v>
      </x:c>
      <x:c r="P26" s="21" t="str">
        <x:v>Do not assume advertising/commercial-use rights; request a licensed U.S. asset pack.</x:v>
      </x:c>
    </x:row>
    <x:row r="27" ht="86" customHeight="1">
      <x:c r="A27" s="21" t="str">
        <x:v>IMG-SKN-002</x:v>
      </x:c>
      <x:c r="B27" s="21" t="str">
        <x:v>KB004</x:v>
      </x:c>
      <x:c r="C27" s="21" t="str">
        <x:v>SKN-P001</x:v>
      </x:c>
      <x:c r="D27" s="21" t="str">
        <x:v>Product Image</x:v>
      </x:c>
      <x:c r="E27" s="21" t="str">
        <x:v>Centella Ampoule official product image.</x:v>
      </x:c>
      <x:c r="F27" s="21" t="str">
        <x:v>https://www.skin1004.com/cdn/shop/files/skin1004-ampoule-serum-centella-ampoule-1246455500.png?v=1782787571</x:v>
      </x:c>
      <x:c r="G27" s="21" t="str">
        <x:v>https://www.skin1004.com/products/skin1004-madagascar-centella-ampoule</x:v>
      </x:c>
      <x:c r="H27" s="21"/>
      <x:c r="I27" s="21" t="str">
        <x:v>Link only</x:v>
      </x:c>
      <x:c r="J27" s="25"/>
      <x:c r="K27" s="25" t="str">
        <x:v>2026-07-30</x:v>
      </x:c>
      <x:c r="L27" s="21" t="str">
        <x:v>Brand-owned image; internal research reference only.</x:v>
      </x:c>
      <x:c r="M27" s="21" t="str">
        <x:v>Internal Research Reference Only</x:v>
      </x:c>
      <x:c r="N27" s="21" t="str">
        <x:v>No</x:v>
      </x:c>
      <x:c r="O27" s="21" t="str">
        <x:v>SRC-SKN-019</x:v>
      </x:c>
      <x:c r="P27" s="21" t="str">
        <x:v>Request current U.S. packaging, sell sheet and claim-approved artwork.</x:v>
      </x:c>
    </x:row>
    <x:row r="28" ht="86" customHeight="1">
      <x:c r="A28" s="21" t="str">
        <x:v>IMG-SKN-003</x:v>
      </x:c>
      <x:c r="B28" s="21" t="str">
        <x:v>KB004</x:v>
      </x:c>
      <x:c r="C28" s="21" t="str">
        <x:v>SKN-P002</x:v>
      </x:c>
      <x:c r="D28" s="21" t="str">
        <x:v>Product Image</x:v>
      </x:c>
      <x:c r="E28" s="21" t="str">
        <x:v>Light Cleansing Oil official product image.</x:v>
      </x:c>
      <x:c r="F28" s="21" t="str">
        <x:v>https://www.skin1004.com/cdn/shop/files/skin1004-cleanser-centella-light-cleansing-oil-42321970594038.jpg?v=1733104905</x:v>
      </x:c>
      <x:c r="G28" s="21" t="str">
        <x:v>https://www.skin1004.com/products/skin1004-madagascar-centella-light-cleansing-oil</x:v>
      </x:c>
      <x:c r="H28" s="21"/>
      <x:c r="I28" s="21" t="str">
        <x:v>Link only</x:v>
      </x:c>
      <x:c r="J28" s="25"/>
      <x:c r="K28" s="25" t="str">
        <x:v>2026-07-30</x:v>
      </x:c>
      <x:c r="L28" s="21" t="str">
        <x:v>Brand-owned image; internal research reference only.</x:v>
      </x:c>
      <x:c r="M28" s="21" t="str">
        <x:v>Internal Research Reference Only</x:v>
      </x:c>
      <x:c r="N28" s="21" t="str">
        <x:v>No</x:v>
      </x:c>
      <x:c r="O28" s="21" t="str">
        <x:v>SRC-SKN-020</x:v>
      </x:c>
      <x:c r="P28" s="21" t="str">
        <x:v>Request current U.S. packaging and licensed routine images.</x:v>
      </x:c>
    </x:row>
    <x:row r="29" ht="86" customHeight="1">
      <x:c r="A29" s="21" t="str">
        <x:v>IMG-SKN-004</x:v>
      </x:c>
      <x:c r="B29" s="21" t="str">
        <x:v>KB004</x:v>
      </x:c>
      <x:c r="C29" s="21" t="str">
        <x:v>SKN-P003</x:v>
      </x:c>
      <x:c r="D29" s="21" t="str">
        <x:v>Product Image</x:v>
      </x:c>
      <x:c r="E29" s="21" t="str">
        <x:v>Poremizing Quick Clay Stick official product image.</x:v>
      </x:c>
      <x:c r="F29" s="21" t="str">
        <x:v>https://www.skin1004.com/cdn/shop/files/skin1004-mask-pad-27g-poremizing-quick-clay-stick-mask-1246455499.png?v=1782787390</x:v>
      </x:c>
      <x:c r="G29" s="21" t="str">
        <x:v>https://www.skin1004.com/products/poremizing-quick-clay-stick-mask</x:v>
      </x:c>
      <x:c r="H29" s="21"/>
      <x:c r="I29" s="21" t="str">
        <x:v>Link only</x:v>
      </x:c>
      <x:c r="J29" s="25"/>
      <x:c r="K29" s="25" t="str">
        <x:v>2026-07-30</x:v>
      </x:c>
      <x:c r="L29" s="21" t="str">
        <x:v>Brand-owned image; internal research reference only.</x:v>
      </x:c>
      <x:c r="M29" s="21" t="str">
        <x:v>Internal Research Reference Only</x:v>
      </x:c>
      <x:c r="N29" s="21" t="str">
        <x:v>No</x:v>
      </x:c>
      <x:c r="O29" s="21" t="str">
        <x:v>SRC-SKN-021</x:v>
      </x:c>
      <x:c r="P29" s="21" t="str">
        <x:v>Request claim-approved pore-care demonstration assets.</x:v>
      </x:c>
    </x:row>
    <x:row r="30" ht="86" customHeight="1">
      <x:c r="A30" s="21" t="str">
        <x:v>IMG-SKN-005</x:v>
      </x:c>
      <x:c r="B30" s="21" t="str">
        <x:v>KB004</x:v>
      </x:c>
      <x:c r="C30" s="21" t="str">
        <x:v>SKN-P004</x:v>
      </x:c>
      <x:c r="D30" s="21" t="str">
        <x:v>Product Image</x:v>
      </x:c>
      <x:c r="E30" s="21" t="str">
        <x:v>Ampoule Foam official product image.</x:v>
      </x:c>
      <x:c r="F30" s="21" t="str">
        <x:v>https://www.skin1004.com/cdn/shop/products/skin1004-cleanser-centella-ampoule-foam-38642819825910.png?v=1677149057</x:v>
      </x:c>
      <x:c r="G30" s="21" t="str">
        <x:v>https://www.skin1004.com/products/skin1004-madagascar-centella-ampoule-foam</x:v>
      </x:c>
      <x:c r="H30" s="21"/>
      <x:c r="I30" s="21" t="str">
        <x:v>Link only</x:v>
      </x:c>
      <x:c r="J30" s="25"/>
      <x:c r="K30" s="25" t="str">
        <x:v>2026-07-30</x:v>
      </x:c>
      <x:c r="L30" s="21" t="str">
        <x:v>Brand-owned image; internal research reference only.</x:v>
      </x:c>
      <x:c r="M30" s="21" t="str">
        <x:v>Internal Research Reference Only</x:v>
      </x:c>
      <x:c r="N30" s="21" t="str">
        <x:v>No</x:v>
      </x:c>
      <x:c r="O30" s="21" t="str">
        <x:v>SRC-SKN-022</x:v>
      </x:c>
      <x:c r="P30" s="21" t="str">
        <x:v>Request current U.S. packaging and cleansing-routine assets.</x:v>
      </x:c>
    </x:row>
    <x:row r="31" ht="86" customHeight="1">
      <x:c r="A31" s="21" t="str">
        <x:v>IMG-SKN-006</x:v>
      </x:c>
      <x:c r="B31" s="21" t="str">
        <x:v>KB004</x:v>
      </x:c>
      <x:c r="C31" s="21" t="str">
        <x:v>SKN-P005</x:v>
      </x:c>
      <x:c r="D31" s="21" t="str">
        <x:v>Product Image</x:v>
      </x:c>
      <x:c r="E31" s="21" t="str">
        <x:v>U.S.-specific Sun Serum UV SPF 50 image from authorized Ulta SKU page.</x:v>
      </x:c>
      <x:c r="F31" s="21" t="str">
        <x:v>https://media.ulta.com/i/ulta/2650029?w=500&amp;h=500</x:v>
      </x:c>
      <x:c r="G31" s="21" t="str">
        <x:v>https://www.ulta.com/p/madagascar-centella-hyalu-cica-water-fit-sun-serum-uv-spf50-pimprod2055614?sku=2650029</x:v>
      </x:c>
      <x:c r="H31" s="21"/>
      <x:c r="I31" s="21" t="str">
        <x:v>Link only</x:v>
      </x:c>
      <x:c r="J31" s="25"/>
      <x:c r="K31" s="25" t="str">
        <x:v>2026-07-30</x:v>
      </x:c>
      <x:c r="L31" s="21" t="str">
        <x:v>Retailer/brand product image; internal research reference only.</x:v>
      </x:c>
      <x:c r="M31" s="21" t="str">
        <x:v>Internal Research Reference Only</x:v>
      </x:c>
      <x:c r="N31" s="21" t="str">
        <x:v>No</x:v>
      </x:c>
      <x:c r="O31" s="21" t="str">
        <x:v>SRC-SKN-029,SRC-SKN-030</x:v>
      </x:c>
      <x:c r="P31" s="21" t="str">
        <x:v>Obtain licensed U.S. OTC artwork tied to NDC 85796-2805; never substitute global/Korean images.</x:v>
      </x:c>
    </x:row>
    <x:row r="32" ht="90" customHeight="1">
      <x:c r="A32" s="21" t="str">
        <x:v>IMG-TIR-001</x:v>
      </x:c>
      <x:c r="B32" s="21" t="str">
        <x:v>KB006</x:v>
      </x:c>
      <x:c r="C32" s="21"/>
      <x:c r="D32" s="21" t="str">
        <x:v>Brand Image</x:v>
      </x:c>
      <x:c r="E32" s="21" t="str">
        <x:v>Official TIRTIR homepage/share image.</x:v>
      </x:c>
      <x:c r="F32" s="21" t="str">
        <x:v>https://tirtir.global/cdn/shop/files/7c24b3d66fee6b80dbb4f1a53861468d.png?v=1780380616</x:v>
      </x:c>
      <x:c r="G32" s="21" t="str">
        <x:v>https://tirtir.global</x:v>
      </x:c>
      <x:c r="H32" s="21"/>
      <x:c r="I32" s="21" t="str">
        <x:v>Link only</x:v>
      </x:c>
      <x:c r="J32" s="25"/>
      <x:c r="K32" s="25" t="str">
        <x:v>2026-07-30</x:v>
      </x:c>
      <x:c r="L32" s="21" t="str">
        <x:v>Brand-owned image; internal research reference only.</x:v>
      </x:c>
      <x:c r="M32" s="21" t="str">
        <x:v>Review Required</x:v>
      </x:c>
      <x:c r="N32" s="21" t="str">
        <x:v>Yes</x:v>
      </x:c>
      <x:c r="O32" s="21" t="str">
        <x:v>SRC-TIR-001</x:v>
      </x:c>
      <x:c r="P32" s="21" t="str">
        <x:v>Do not assume advertising/commercial-use rights; request a licensed U.S. asset pack.</x:v>
      </x:c>
    </x:row>
    <x:row r="33" ht="90" customHeight="1">
      <x:c r="A33" s="21" t="str">
        <x:v>IMG-TIR-002</x:v>
      </x:c>
      <x:c r="B33" s="21" t="str">
        <x:v>KB006</x:v>
      </x:c>
      <x:c r="C33" s="21" t="str">
        <x:v>TIR-P001</x:v>
      </x:c>
      <x:c r="D33" s="21" t="str">
        <x:v>Product Image</x:v>
      </x:c>
      <x:c r="E33" s="21" t="str">
        <x:v>Mask Fit Red Cushion official product image.</x:v>
      </x:c>
      <x:c r="F33" s="21" t="str">
        <x:v>https://tirtir.global/cdn/shop/files/Group_596.png?v=1780882591</x:v>
      </x:c>
      <x:c r="G33" s="21" t="str">
        <x:v>https://tirtir.global/collections/cushion/products/mask-fit-red-cushion</x:v>
      </x:c>
      <x:c r="H33" s="21"/>
      <x:c r="I33" s="21" t="str">
        <x:v>Link only</x:v>
      </x:c>
      <x:c r="J33" s="25"/>
      <x:c r="K33" s="25" t="str">
        <x:v>2026-07-30</x:v>
      </x:c>
      <x:c r="L33" s="21" t="str">
        <x:v>Brand-owned image; internal research reference only.</x:v>
      </x:c>
      <x:c r="M33" s="21" t="str">
        <x:v>Review Required</x:v>
      </x:c>
      <x:c r="N33" s="21" t="str">
        <x:v>No</x:v>
      </x:c>
      <x:c r="O33" s="21" t="str">
        <x:v>SRC-TIR-022</x:v>
      </x:c>
      <x:c r="P33" s="21" t="str">
        <x:v>Request current U.S. packaging and licensed 40-shade assets; exclude cross-border SPF artwork.</x:v>
      </x:c>
    </x:row>
    <x:row r="34" ht="90" customHeight="1">
      <x:c r="A34" s="21" t="str">
        <x:v>IMG-TIR-003</x:v>
      </x:c>
      <x:c r="B34" s="21" t="str">
        <x:v>KB006</x:v>
      </x:c>
      <x:c r="C34" s="21" t="str">
        <x:v>TIR-P002</x:v>
      </x:c>
      <x:c r="D34" s="21" t="str">
        <x:v>Product Image</x:v>
      </x:c>
      <x:c r="E34" s="21" t="str">
        <x:v>Mask Fit AI Filter Cushion official product image.</x:v>
      </x:c>
      <x:c r="F34" s="21" t="str">
        <x:v>https://tirtir.global/cdn/shop/files/AI_2x_0bde60f5-6a35-4215-a506-1f956025b3b8.png?v=1770792602</x:v>
      </x:c>
      <x:c r="G34" s="21" t="str">
        <x:v>https://tirtir.global/collections/la-pop-up/products/mask-fit-ai-filter-cushion</x:v>
      </x:c>
      <x:c r="H34" s="21"/>
      <x:c r="I34" s="21" t="str">
        <x:v>Link only</x:v>
      </x:c>
      <x:c r="J34" s="25"/>
      <x:c r="K34" s="25" t="str">
        <x:v>2026-07-30</x:v>
      </x:c>
      <x:c r="L34" s="21" t="str">
        <x:v>Brand-owned image; internal research reference only.</x:v>
      </x:c>
      <x:c r="M34" s="21" t="str">
        <x:v>Review Required</x:v>
      </x:c>
      <x:c r="N34" s="21" t="str">
        <x:v>No</x:v>
      </x:c>
      <x:c r="O34" s="21" t="str">
        <x:v>SRC-TIR-023</x:v>
      </x:c>
      <x:c r="P34" s="21" t="str">
        <x:v>Request current U.S. 30-shade sell sheet and claim-approved assets.</x:v>
      </x:c>
    </x:row>
    <x:row r="35" ht="90" customHeight="1">
      <x:c r="A35" s="21" t="str">
        <x:v>IMG-TIR-004</x:v>
      </x:c>
      <x:c r="B35" s="21" t="str">
        <x:v>KB006</x:v>
      </x:c>
      <x:c r="C35" s="21" t="str">
        <x:v>TIR-P003</x:v>
      </x:c>
      <x:c r="D35" s="21" t="str">
        <x:v>Product Image</x:v>
      </x:c>
      <x:c r="E35" s="21" t="str">
        <x:v>Mask Fit Waterproof Setting Spray official product image.</x:v>
      </x:c>
      <x:c r="F35" s="21" t="str">
        <x:v>https://tirtir.global/cdn/shop/files/main_01_a7700731-f69a-44da-84ce-f446777a8635.jpg?v=1784791803</x:v>
      </x:c>
      <x:c r="G35" s="21" t="str">
        <x:v>https://tirtir.global/products/mask-fit-waterproof-setting-spray</x:v>
      </x:c>
      <x:c r="H35" s="21"/>
      <x:c r="I35" s="21" t="str">
        <x:v>Link only</x:v>
      </x:c>
      <x:c r="J35" s="25"/>
      <x:c r="K35" s="25" t="str">
        <x:v>2026-07-30</x:v>
      </x:c>
      <x:c r="L35" s="21" t="str">
        <x:v>Brand-owned image; internal research reference only.</x:v>
      </x:c>
      <x:c r="M35" s="21" t="str">
        <x:v>Review Required</x:v>
      </x:c>
      <x:c r="N35" s="21" t="str">
        <x:v>No</x:v>
      </x:c>
      <x:c r="O35" s="21" t="str">
        <x:v>SRC-TIR-024</x:v>
      </x:c>
      <x:c r="P35" s="21" t="str">
        <x:v>Request substantiated waterproof/multi-proof marketing assets.</x:v>
      </x:c>
    </x:row>
    <x:row r="36" ht="90" customHeight="1">
      <x:c r="A36" s="21" t="str">
        <x:v>IMG-TIR-005</x:v>
      </x:c>
      <x:c r="B36" s="21" t="str">
        <x:v>KB006</x:v>
      </x:c>
      <x:c r="C36" s="21" t="str">
        <x:v>TIR-P004</x:v>
      </x:c>
      <x:c r="D36" s="21" t="str">
        <x:v>Product Image</x:v>
      </x:c>
      <x:c r="E36" s="21" t="str">
        <x:v>Glide &amp; Hide Blurring Concealer official product image.</x:v>
      </x:c>
      <x:c r="F36" s="21" t="str">
        <x:v>https://tirtir.global/cdn/shop/files/Thumbnail_2x_d55e2ad4-eb4d-480c-9408-e96663ddcb79.png?v=1770794101</x:v>
      </x:c>
      <x:c r="G36" s="21" t="str">
        <x:v>https://tirtir.global/collections/la-pop-up/products/glide-hide-blurring-concealer</x:v>
      </x:c>
      <x:c r="H36" s="21"/>
      <x:c r="I36" s="21" t="str">
        <x:v>Link only</x:v>
      </x:c>
      <x:c r="J36" s="25"/>
      <x:c r="K36" s="25" t="str">
        <x:v>2026-07-30</x:v>
      </x:c>
      <x:c r="L36" s="21" t="str">
        <x:v>Brand-owned image; internal research reference only.</x:v>
      </x:c>
      <x:c r="M36" s="21" t="str">
        <x:v>Review Required</x:v>
      </x:c>
      <x:c r="N36" s="21" t="str">
        <x:v>No</x:v>
      </x:c>
      <x:c r="O36" s="21" t="str">
        <x:v>SRC-TIR-025</x:v>
      </x:c>
      <x:c r="P36" s="21" t="str">
        <x:v>Request current U.S. shade chart and dual-format demonstration assets.</x:v>
      </x:c>
    </x:row>
    <x:row r="37" ht="90" customHeight="1">
      <x:c r="A37" s="21" t="str">
        <x:v>IMG-TIR-006</x:v>
      </x:c>
      <x:c r="B37" s="21" t="str">
        <x:v>KB006</x:v>
      </x:c>
      <x:c r="C37" s="21" t="str">
        <x:v>TIR-P005</x:v>
      </x:c>
      <x:c r="D37" s="21" t="str">
        <x:v>Product Image</x:v>
      </x:c>
      <x:c r="E37" s="21" t="str">
        <x:v>Milk Skin Toner official product image.</x:v>
      </x:c>
      <x:c r="F37" s="21" t="str">
        <x:v>https://tirtir.global/cdn/shop/files/8_30db1d99-f6f2-4762-9bc3-4e761c933acc.png?v=1770347983</x:v>
      </x:c>
      <x:c r="G37" s="21" t="str">
        <x:v>https://tirtir.global/products/milk-skin-toner</x:v>
      </x:c>
      <x:c r="H37" s="21"/>
      <x:c r="I37" s="21" t="str">
        <x:v>Link only</x:v>
      </x:c>
      <x:c r="J37" s="25"/>
      <x:c r="K37" s="25" t="str">
        <x:v>2026-07-30</x:v>
      </x:c>
      <x:c r="L37" s="21" t="str">
        <x:v>Brand-owned image; internal research reference only.</x:v>
      </x:c>
      <x:c r="M37" s="21" t="str">
        <x:v>Review Required</x:v>
      </x:c>
      <x:c r="N37" s="21" t="str">
        <x:v>No</x:v>
      </x:c>
      <x:c r="O37" s="21" t="str">
        <x:v>SRC-TIR-026</x:v>
      </x:c>
      <x:c r="P37" s="21" t="str">
        <x:v>Request current 150 mL U.S. packaging and ingredient-approved artwork.</x:v>
      </x:c>
    </x:row>
    <x:row r="38" ht="94" customHeight="1">
      <x:c r="A38" s="21" t="str">
        <x:v>IMG-VT-001</x:v>
      </x:c>
      <x:c r="B38" s="21" t="str">
        <x:v>KB007</x:v>
      </x:c>
      <x:c r="C38" s="21"/>
      <x:c r="D38" s="21" t="str">
        <x:v>Brand Logo</x:v>
      </x:c>
      <x:c r="E38" s="21" t="str">
        <x:v>Official VT Cosmetics logo from the global storefront.</x:v>
      </x:c>
      <x:c r="F38" s="21" t="str">
        <x:v>https://globalvt-cosmetics.com/cdn/shop/files/1vt_cosmetics_logo.svg?v=1729167728&amp;width=600</x:v>
      </x:c>
      <x:c r="G38" s="21" t="str">
        <x:v>https://globalvt-cosmetics.com</x:v>
      </x:c>
      <x:c r="H38" s="21"/>
      <x:c r="I38" s="21" t="str">
        <x:v>Link only</x:v>
      </x:c>
      <x:c r="J38" s="25"/>
      <x:c r="K38" s="25" t="str">
        <x:v>2026-07-30</x:v>
      </x:c>
      <x:c r="L38" s="21" t="str">
        <x:v>Brand-owned image; internal research reference only.</x:v>
      </x:c>
      <x:c r="M38" s="21" t="str">
        <x:v>Review Required</x:v>
      </x:c>
      <x:c r="N38" s="21" t="str">
        <x:v>Yes</x:v>
      </x:c>
      <x:c r="O38" s="21" t="str">
        <x:v>SRC-VT-001</x:v>
      </x:c>
      <x:c r="P38" s="21" t="str">
        <x:v>Do not assume advertising/commercial-use rights; request a licensed U.S. asset pack.</x:v>
      </x:c>
    </x:row>
    <x:row r="39" ht="94" customHeight="1">
      <x:c r="A39" s="21" t="str">
        <x:v>IMG-VT-002</x:v>
      </x:c>
      <x:c r="B39" s="21" t="str">
        <x:v>KB007</x:v>
      </x:c>
      <x:c r="C39" s="21" t="str">
        <x:v>VT-P001</x:v>
      </x:c>
      <x:c r="D39" s="21" t="str">
        <x:v>Product Image</x:v>
      </x:c>
      <x:c r="E39" s="21" t="str">
        <x:v>Reedle Shot 100 official product image.</x:v>
      </x:c>
      <x:c r="F39" s="21" t="str">
        <x:v>https://globalvt-cosmetics.com/cdn/shop/files/1_504a2c47-bbed-49f4-9b18-5da61adca62c.jpg?v=1764212666&amp;width=416</x:v>
      </x:c>
      <x:c r="G39" s="21" t="str">
        <x:v>https://globalvt-cosmetics.com/products/vt-reedle-shot-100</x:v>
      </x:c>
      <x:c r="H39" s="21"/>
      <x:c r="I39" s="21" t="str">
        <x:v>Link only</x:v>
      </x:c>
      <x:c r="J39" s="25"/>
      <x:c r="K39" s="25" t="str">
        <x:v>2026-07-30</x:v>
      </x:c>
      <x:c r="L39" s="21" t="str">
        <x:v>Brand-owned image; internal research reference only.</x:v>
      </x:c>
      <x:c r="M39" s="21" t="str">
        <x:v>Review Required</x:v>
      </x:c>
      <x:c r="N39" s="21" t="str">
        <x:v>No</x:v>
      </x:c>
      <x:c r="O39" s="21" t="str">
        <x:v>SRC-VT-021</x:v>
      </x:c>
      <x:c r="P39" s="21" t="str">
        <x:v>Request current U.S. packaging and claims-approved image set.</x:v>
      </x:c>
    </x:row>
    <x:row r="40" ht="94" customHeight="1">
      <x:c r="A40" s="21" t="str">
        <x:v>IMG-VT-003</x:v>
      </x:c>
      <x:c r="B40" s="21" t="str">
        <x:v>KB007</x:v>
      </x:c>
      <x:c r="C40" s="21" t="str">
        <x:v>VT-P002</x:v>
      </x:c>
      <x:c r="D40" s="21" t="str">
        <x:v>Product Image</x:v>
      </x:c>
      <x:c r="E40" s="21" t="str">
        <x:v>PDRN Essence 100 official product image.</x:v>
      </x:c>
      <x:c r="F40" s="21" t="str">
        <x:v>https://globalvt-cosmetics.com/cdn/shop/files/PDRNessence100.jpg?v=1776824467&amp;width=416</x:v>
      </x:c>
      <x:c r="G40" s="21" t="str">
        <x:v>https://globalvt-cosmetics.com/products/pdrn-essence-100</x:v>
      </x:c>
      <x:c r="H40" s="21"/>
      <x:c r="I40" s="21" t="str">
        <x:v>Link only</x:v>
      </x:c>
      <x:c r="J40" s="25"/>
      <x:c r="K40" s="25" t="str">
        <x:v>2026-07-30</x:v>
      </x:c>
      <x:c r="L40" s="21" t="str">
        <x:v>Brand-owned image; internal research reference only.</x:v>
      </x:c>
      <x:c r="M40" s="21" t="str">
        <x:v>Review Required</x:v>
      </x:c>
      <x:c r="N40" s="21" t="str">
        <x:v>No</x:v>
      </x:c>
      <x:c r="O40" s="21" t="str">
        <x:v>SRC-VT-022</x:v>
      </x:c>
      <x:c r="P40" s="21" t="str">
        <x:v>Request licensed U.S. plant-PDRN/packaging assets and substantiated claims.</x:v>
      </x:c>
    </x:row>
    <x:row r="41" ht="94" customHeight="1">
      <x:c r="A41" s="21" t="str">
        <x:v>IMG-VT-004</x:v>
      </x:c>
      <x:c r="B41" s="21" t="str">
        <x:v>KB007</x:v>
      </x:c>
      <x:c r="C41" s="21" t="str">
        <x:v>VT-P003</x:v>
      </x:c>
      <x:c r="D41" s="21" t="str">
        <x:v>Product Image</x:v>
      </x:c>
      <x:c r="E41" s="21" t="str">
        <x:v>PDRN Capsule Cream 100 official product image.</x:v>
      </x:c>
      <x:c r="F41" s="21" t="str">
        <x:v>https://globalvt-cosmetics.com/cdn/shop/files/1_f0231e7d-9155-42d1-8f97-442372038e74.jpg?v=1764212911&amp;width=1946</x:v>
      </x:c>
      <x:c r="G41" s="21" t="str">
        <x:v>https://globalvt-cosmetics.com/products/pdrn-capsule-cream-100</x:v>
      </x:c>
      <x:c r="H41" s="21"/>
      <x:c r="I41" s="21" t="str">
        <x:v>Link only</x:v>
      </x:c>
      <x:c r="J41" s="25"/>
      <x:c r="K41" s="25" t="str">
        <x:v>2026-07-30</x:v>
      </x:c>
      <x:c r="L41" s="21" t="str">
        <x:v>Brand-owned image; internal research reference only.</x:v>
      </x:c>
      <x:c r="M41" s="21" t="str">
        <x:v>Review Required</x:v>
      </x:c>
      <x:c r="N41" s="21" t="str">
        <x:v>No</x:v>
      </x:c>
      <x:c r="O41" s="21" t="str">
        <x:v>SRC-VT-023</x:v>
      </x:c>
      <x:c r="P41" s="21" t="str">
        <x:v>Request current U.S. tub/capsule imagery and formula artwork.</x:v>
      </x:c>
    </x:row>
    <x:row r="42" ht="94" customHeight="1">
      <x:c r="A42" s="21" t="str">
        <x:v>IMG-VT-005</x:v>
      </x:c>
      <x:c r="B42" s="21" t="str">
        <x:v>KB007</x:v>
      </x:c>
      <x:c r="C42" s="21" t="str">
        <x:v>VT-P004</x:v>
      </x:c>
      <x:c r="D42" s="21" t="str">
        <x:v>Product Image</x:v>
      </x:c>
      <x:c r="E42" s="21" t="str">
        <x:v>Reedle Shot Lip Plumper Expert official product image.</x:v>
      </x:c>
      <x:c r="F42" s="21" t="str">
        <x:v>https://globalvt-cosmetics.com/cdn/shop/files/1_1319c938-4a55-4a92-8f79-407e535b8e95.jpg?v=1764212728&amp;width=416</x:v>
      </x:c>
      <x:c r="G42" s="21" t="str">
        <x:v>https://globalvt-cosmetics.com/products/reedle-shot-lip-plumper_expert</x:v>
      </x:c>
      <x:c r="H42" s="21"/>
      <x:c r="I42" s="21" t="str">
        <x:v>Link only</x:v>
      </x:c>
      <x:c r="J42" s="25"/>
      <x:c r="K42" s="25" t="str">
        <x:v>2026-07-30</x:v>
      </x:c>
      <x:c r="L42" s="21" t="str">
        <x:v>Brand-owned image; internal research reference only.</x:v>
      </x:c>
      <x:c r="M42" s="21" t="str">
        <x:v>Review Required</x:v>
      </x:c>
      <x:c r="N42" s="21" t="str">
        <x:v>No</x:v>
      </x:c>
      <x:c r="O42" s="21" t="str">
        <x:v>SRC-VT-024</x:v>
      </x:c>
      <x:c r="P42" s="21" t="str">
        <x:v>Request licensed U.S. caution/patch-test and approved before/after assets.</x:v>
      </x:c>
    </x:row>
    <x:row r="43" ht="94" customHeight="1">
      <x:c r="A43" s="21" t="str">
        <x:v>IMG-VT-006</x:v>
      </x:c>
      <x:c r="B43" s="21" t="str">
        <x:v>KB007</x:v>
      </x:c>
      <x:c r="C43" s="21" t="str">
        <x:v>VT-P005</x:v>
      </x:c>
      <x:c r="D43" s="21" t="str">
        <x:v>Product Image</x:v>
      </x:c>
      <x:c r="E43" s="21" t="str">
        <x:v>Cica Daily Soothing Mask 30pcs official product image.</x:v>
      </x:c>
      <x:c r="F43" s="21" t="str">
        <x:v>https://globalvt-cosmetics.com/cdn/shop/files/02.jpg?v=1741672849&amp;width=1946</x:v>
      </x:c>
      <x:c r="G43" s="21" t="str">
        <x:v>https://globalvt-cosmetics.com/products/vt-cica-daily-soothing-mask-30pcs</x:v>
      </x:c>
      <x:c r="H43" s="21"/>
      <x:c r="I43" s="21" t="str">
        <x:v>Link only</x:v>
      </x:c>
      <x:c r="J43" s="25"/>
      <x:c r="K43" s="25" t="str">
        <x:v>2026-07-30</x:v>
      </x:c>
      <x:c r="L43" s="21" t="str">
        <x:v>Brand-owned image; internal research reference only.</x:v>
      </x:c>
      <x:c r="M43" s="21" t="str">
        <x:v>Review Required</x:v>
      </x:c>
      <x:c r="N43" s="21" t="str">
        <x:v>No</x:v>
      </x:c>
      <x:c r="O43" s="21" t="str">
        <x:v>SRC-VT-025</x:v>
      </x:c>
      <x:c r="P43" s="21" t="str">
        <x:v>Request current U.S. packaging, hygiene/storage guidance and licensed daily-mask assets.</x:v>
      </x:c>
    </x:row>
    <x:row r="44" ht="94" customHeight="1">
      <x:c r="A44" s="21" t="str">
        <x:v>IMG-RL-001</x:v>
      </x:c>
      <x:c r="B44" s="21" t="str">
        <x:v>KB008</x:v>
      </x:c>
      <x:c r="C44" s="21"/>
      <x:c r="D44" s="21" t="str">
        <x:v>Brand Image</x:v>
      </x:c>
      <x:c r="E44" s="21" t="str">
        <x:v>Official Round Lab U.S. storefront hero/share image.</x:v>
      </x:c>
      <x:c r="F44" s="21" t="str">
        <x:v>https://roundlab.com/cdn/shop/files/Web_banner_2_2e4ecb22-a31e-488d-a5dd-214d706b20bc.png?v=1772852267</x:v>
      </x:c>
      <x:c r="G44" s="21" t="str">
        <x:v>https://roundlab.com</x:v>
      </x:c>
      <x:c r="H44" s="21"/>
      <x:c r="I44" s="21" t="str">
        <x:v>Link only</x:v>
      </x:c>
      <x:c r="J44" s="25"/>
      <x:c r="K44" s="25" t="str">
        <x:v>2026-07-30</x:v>
      </x:c>
      <x:c r="L44" s="21" t="str">
        <x:v>Brand-owned image; internal research reference only.</x:v>
      </x:c>
      <x:c r="M44" s="21" t="str">
        <x:v>Review Required</x:v>
      </x:c>
      <x:c r="N44" s="21" t="str">
        <x:v>Yes</x:v>
      </x:c>
      <x:c r="O44" s="21" t="str">
        <x:v>SRC-RL-002</x:v>
      </x:c>
      <x:c r="P44" s="21" t="str">
        <x:v>Do not assume advertising/commercial-use rights; request a licensed U.S. asset pack.</x:v>
      </x:c>
    </x:row>
    <x:row r="45" ht="94" customHeight="1">
      <x:c r="A45" s="21" t="str">
        <x:v>IMG-RL-002</x:v>
      </x:c>
      <x:c r="B45" s="21" t="str">
        <x:v>KB008</x:v>
      </x:c>
      <x:c r="C45" s="21" t="str">
        <x:v>RL-P001</x:v>
      </x:c>
      <x:c r="D45" s="21" t="str">
        <x:v>Product Image</x:v>
      </x:c>
      <x:c r="E45" s="21" t="str">
        <x:v>Birch Juice Moisturizing UVLock SPF45 official U.S. product image.</x:v>
      </x:c>
      <x:c r="F45" s="21" t="str">
        <x:v>https://roundlab.com/cdn/shop/files/BIRCH_JUICE_MOISTURIZING_UVLOCK3_Large_10126e46-dfcc-4cd5-970c-146d4be65989.webp?v=1772852134</x:v>
      </x:c>
      <x:c r="G45" s="21" t="str">
        <x:v>https://roundlab.com/products/birch-moisturizing-uv-sunscreen</x:v>
      </x:c>
      <x:c r="H45" s="21"/>
      <x:c r="I45" s="21" t="str">
        <x:v>Link only</x:v>
      </x:c>
      <x:c r="J45" s="25"/>
      <x:c r="K45" s="25" t="str">
        <x:v>2026-07-30</x:v>
      </x:c>
      <x:c r="L45" s="21" t="str">
        <x:v>Brand-owned image; internal research reference only.</x:v>
      </x:c>
      <x:c r="M45" s="21" t="str">
        <x:v>Review Required</x:v>
      </x:c>
      <x:c r="N45" s="21" t="str">
        <x:v>No</x:v>
      </x:c>
      <x:c r="O45" s="21" t="str">
        <x:v>SRC-RL-019,SRC-RL-020</x:v>
      </x:c>
      <x:c r="P45" s="21" t="str">
        <x:v>Request licensed artwork tied to current U.S. NDC 84616-005 and final Drug Facts.</x:v>
      </x:c>
    </x:row>
    <x:row r="46" ht="94" customHeight="1">
      <x:c r="A46" s="21" t="str">
        <x:v>IMG-RL-003</x:v>
      </x:c>
      <x:c r="B46" s="21" t="str">
        <x:v>KB008</x:v>
      </x:c>
      <x:c r="C46" s="21" t="str">
        <x:v>RL-P002</x:v>
      </x:c>
      <x:c r="D46" s="21" t="str">
        <x:v>Product Image</x:v>
      </x:c>
      <x:c r="E46" s="21" t="str">
        <x:v>1025 Dokdo Toner official product image.</x:v>
      </x:c>
      <x:c r="F46" s="21" t="str">
        <x:v>https://roundlab.com/cdn/shop/files/Dokdo_Toner_2025.png?v=1772851199</x:v>
      </x:c>
      <x:c r="G46" s="21" t="str">
        <x:v>https://roundlab.com/products/1025-dokdo-toner</x:v>
      </x:c>
      <x:c r="H46" s="21"/>
      <x:c r="I46" s="21" t="str">
        <x:v>Link only</x:v>
      </x:c>
      <x:c r="J46" s="25"/>
      <x:c r="K46" s="25" t="str">
        <x:v>2026-07-30</x:v>
      </x:c>
      <x:c r="L46" s="21" t="str">
        <x:v>Brand-owned image; internal research reference only.</x:v>
      </x:c>
      <x:c r="M46" s="21" t="str">
        <x:v>Review Required</x:v>
      </x:c>
      <x:c r="N46" s="21" t="str">
        <x:v>No</x:v>
      </x:c>
      <x:c r="O46" s="21" t="str">
        <x:v>SRC-RL-021</x:v>
      </x:c>
      <x:c r="P46" s="21" t="str">
        <x:v>Request current U.S. 200 mL packaging and claims-approved assets.</x:v>
      </x:c>
    </x:row>
    <x:row r="47" ht="94" customHeight="1">
      <x:c r="A47" s="21" t="str">
        <x:v>IMG-RL-004</x:v>
      </x:c>
      <x:c r="B47" s="21" t="str">
        <x:v>KB008</x:v>
      </x:c>
      <x:c r="C47" s="21" t="str">
        <x:v>RL-P003</x:v>
      </x:c>
      <x:c r="D47" s="21" t="str">
        <x:v>Product Image</x:v>
      </x:c>
      <x:c r="E47" s="21" t="str">
        <x:v>1025 Dokdo Cleanser official product image.</x:v>
      </x:c>
      <x:c r="F47" s="21" t="str">
        <x:v>https://roundlab.com/cdn/shop/files/Dokdo_cleanser_renewed.webp?v=1772852868</x:v>
      </x:c>
      <x:c r="G47" s="21" t="str">
        <x:v>https://roundlab.com/products/1025-dokdo-cleanser</x:v>
      </x:c>
      <x:c r="H47" s="21"/>
      <x:c r="I47" s="21" t="str">
        <x:v>Link only</x:v>
      </x:c>
      <x:c r="J47" s="25"/>
      <x:c r="K47" s="25" t="str">
        <x:v>2026-07-30</x:v>
      </x:c>
      <x:c r="L47" s="21" t="str">
        <x:v>Brand-owned image; internal research reference only.</x:v>
      </x:c>
      <x:c r="M47" s="21" t="str">
        <x:v>Review Required</x:v>
      </x:c>
      <x:c r="N47" s="21" t="str">
        <x:v>No</x:v>
      </x:c>
      <x:c r="O47" s="21" t="str">
        <x:v>SRC-RL-022</x:v>
      </x:c>
      <x:c r="P47" s="21" t="str">
        <x:v>Request current U.S. 150 mL package and distinguish it from Cleansing Gel.</x:v>
      </x:c>
    </x:row>
    <x:row r="48" ht="94" customHeight="1">
      <x:c r="A48" s="21" t="str">
        <x:v>IMG-RL-005</x:v>
      </x:c>
      <x:c r="B48" s="21" t="str">
        <x:v>KB008</x:v>
      </x:c>
      <x:c r="C48" s="21" t="str">
        <x:v>RL-P004</x:v>
      </x:c>
      <x:c r="D48" s="21" t="str">
        <x:v>Product Image</x:v>
      </x:c>
      <x:c r="E48" s="21" t="str">
        <x:v>Birch Moisturizing Cream official product image.</x:v>
      </x:c>
      <x:c r="F48" s="21" t="str">
        <x:v>https://roundlab.com/cdn/shop/files/birch-moisturizing-cream-round-lab-3.jpg?v=1775165383</x:v>
      </x:c>
      <x:c r="G48" s="21" t="str">
        <x:v>https://roundlab.com/products/birch-moisturizing-cream</x:v>
      </x:c>
      <x:c r="H48" s="21"/>
      <x:c r="I48" s="21" t="str">
        <x:v>Link only</x:v>
      </x:c>
      <x:c r="J48" s="25"/>
      <x:c r="K48" s="25" t="str">
        <x:v>2026-07-30</x:v>
      </x:c>
      <x:c r="L48" s="21" t="str">
        <x:v>Brand-owned image; internal research reference only.</x:v>
      </x:c>
      <x:c r="M48" s="21" t="str">
        <x:v>Review Required</x:v>
      </x:c>
      <x:c r="N48" s="21" t="str">
        <x:v>No</x:v>
      </x:c>
      <x:c r="O48" s="21" t="str">
        <x:v>SRC-RL-023</x:v>
      </x:c>
      <x:c r="P48" s="21" t="str">
        <x:v>Request licensed U.S. packaging and counsel-approved appearance-only claims.</x:v>
      </x:c>
    </x:row>
    <x:row r="49" ht="94" customHeight="1">
      <x:c r="A49" s="21" t="str">
        <x:v>IMG-RL-006</x:v>
      </x:c>
      <x:c r="B49" s="21" t="str">
        <x:v>KB008</x:v>
      </x:c>
      <x:c r="C49" s="21" t="str">
        <x:v>RL-P005</x:v>
      </x:c>
      <x:c r="D49" s="21" t="str">
        <x:v>Product Image</x:v>
      </x:c>
      <x:c r="E49" s="21" t="str">
        <x:v>Birch Juice Mild-Up UVLock SPF50 official U.S. product image.</x:v>
      </x:c>
      <x:c r="F49" s="21" t="str">
        <x:v>https://roundlab.com/cdn/shop/files/Birch_Juice_Mild-Up_Sunscreen_UVLock_SPF_50_Broad_Spectrum_Round_Lab_2.png?v=1772850750</x:v>
      </x:c>
      <x:c r="G49" s="21" t="str">
        <x:v>https://roundlab.com/products/birch-juice-mild-up-uvlock-sunscreen</x:v>
      </x:c>
      <x:c r="H49" s="21"/>
      <x:c r="I49" s="21" t="str">
        <x:v>Link only</x:v>
      </x:c>
      <x:c r="J49" s="25"/>
      <x:c r="K49" s="25" t="str">
        <x:v>2026-07-30</x:v>
      </x:c>
      <x:c r="L49" s="21" t="str">
        <x:v>Brand-owned image; internal research reference only.</x:v>
      </x:c>
      <x:c r="M49" s="21" t="str">
        <x:v>Review Required</x:v>
      </x:c>
      <x:c r="N49" s="21" t="str">
        <x:v>No</x:v>
      </x:c>
      <x:c r="O49" s="21" t="str">
        <x:v>SRC-RL-024,SRC-RL-025</x:v>
      </x:c>
      <x:c r="P49" s="21" t="str">
        <x:v>Request licensed artwork tied to current U.S. NDC 84616-002 and final Drug Facts.</x:v>
      </x:c>
    </x:row>
    <x:row r="50" ht="98" customHeight="1">
      <x:c r="A50" s="21" t="str">
        <x:v>IMG-MED-001</x:v>
      </x:c>
      <x:c r="B50" s="21" t="str">
        <x:v>KB009</x:v>
      </x:c>
      <x:c r="C50" s="21"/>
      <x:c r="D50" s="21" t="str">
        <x:v>Brand Image</x:v>
      </x:c>
      <x:c r="E50" s="21" t="str">
        <x:v>Official Mediheal storefront/share image.</x:v>
      </x:c>
      <x:c r="F50" s="21" t="str">
        <x:v>https://mediheal.com/cdn/shop/files/Blue_240202.png?v=1708018400</x:v>
      </x:c>
      <x:c r="G50" s="21" t="str">
        <x:v>https://mediheal.com</x:v>
      </x:c>
      <x:c r="H50" s="21"/>
      <x:c r="I50" s="21" t="str">
        <x:v>Link only</x:v>
      </x:c>
      <x:c r="J50" s="25"/>
      <x:c r="K50" s="25" t="str">
        <x:v>2026-07-30</x:v>
      </x:c>
      <x:c r="L50" s="21" t="str">
        <x:v>Brand-owned image; internal research reference only.</x:v>
      </x:c>
      <x:c r="M50" s="21" t="str">
        <x:v>Review Required</x:v>
      </x:c>
      <x:c r="N50" s="21" t="str">
        <x:v>Yes</x:v>
      </x:c>
      <x:c r="O50" s="21" t="str">
        <x:v>SRC-MED-001</x:v>
      </x:c>
      <x:c r="P50" s="21" t="str">
        <x:v>Do not assume advertising or resale rights; request a licensed U.S. asset pack.</x:v>
      </x:c>
    </x:row>
    <x:row r="51" ht="98" customHeight="1">
      <x:c r="A51" s="21" t="str">
        <x:v>IMG-MED-002</x:v>
      </x:c>
      <x:c r="B51" s="21" t="str">
        <x:v>KB009</x:v>
      </x:c>
      <x:c r="C51" s="21" t="str">
        <x:v>MED-P001</x:v>
      </x:c>
      <x:c r="D51" s="21" t="str">
        <x:v>Product Image</x:v>
      </x:c>
      <x:c r="E51" s="21" t="str">
        <x:v>Madecassoside Blemish Pad official product image.</x:v>
      </x:c>
      <x:c r="F51" s="21" t="str">
        <x:v>https://mediheal.com/cdn/shop/files/e17a5cac53ad3091983f5ef37819b09c_af48b987-e341-4e8a-98db-280362222ff6.png?v=1782874580</x:v>
      </x:c>
      <x:c r="G51" s="21" t="str">
        <x:v>https://mediheal.com/products/madecassoside-blemish-pad</x:v>
      </x:c>
      <x:c r="H51" s="21"/>
      <x:c r="I51" s="21" t="str">
        <x:v>Link only</x:v>
      </x:c>
      <x:c r="J51" s="25"/>
      <x:c r="K51" s="25" t="str">
        <x:v>2026-07-30</x:v>
      </x:c>
      <x:c r="L51" s="21" t="str">
        <x:v>Brand-owned image; internal research reference only.</x:v>
      </x:c>
      <x:c r="M51" s="21" t="str">
        <x:v>Review Required</x:v>
      </x:c>
      <x:c r="N51" s="21" t="str">
        <x:v>No</x:v>
      </x:c>
      <x:c r="O51" s="21" t="str">
        <x:v>SRC-MED-007</x:v>
      </x:c>
      <x:c r="P51" s="21" t="str">
        <x:v>Request current U.S. jar, refill and travel-size assets with approved claims.</x:v>
      </x:c>
    </x:row>
    <x:row r="52" ht="98" customHeight="1">
      <x:c r="A52" s="21" t="str">
        <x:v>IMG-MED-003</x:v>
      </x:c>
      <x:c r="B52" s="21" t="str">
        <x:v>KB009</x:v>
      </x:c>
      <x:c r="C52" s="21" t="str">
        <x:v>MED-P002</x:v>
      </x:c>
      <x:c r="D52" s="21" t="str">
        <x:v>Product Image</x:v>
      </x:c>
      <x:c r="E52" s="21" t="str">
        <x:v>Teatree Trouble Pad official product image.</x:v>
      </x:c>
      <x:c r="F52" s="21" t="str">
        <x:v>https://mediheal.com/cdn/shop/files/Untitleddesign_17.jpg?v=1762926576</x:v>
      </x:c>
      <x:c r="G52" s="21" t="str">
        <x:v>https://mediheal.com/products/teatree-trouble-pad</x:v>
      </x:c>
      <x:c r="H52" s="21"/>
      <x:c r="I52" s="21" t="str">
        <x:v>Link only</x:v>
      </x:c>
      <x:c r="J52" s="25"/>
      <x:c r="K52" s="25" t="str">
        <x:v>2026-07-30</x:v>
      </x:c>
      <x:c r="L52" s="21" t="str">
        <x:v>Brand-owned image; internal research reference only.</x:v>
      </x:c>
      <x:c r="M52" s="21" t="str">
        <x:v>Review Required</x:v>
      </x:c>
      <x:c r="N52" s="21" t="str">
        <x:v>No</x:v>
      </x:c>
      <x:c r="O52" s="21" t="str">
        <x:v>SRC-MED-008</x:v>
      </x:c>
      <x:c r="P52" s="21" t="str">
        <x:v>Request current U.S. 100-pad packaging and version/lot-specific assets.</x:v>
      </x:c>
    </x:row>
    <x:row r="53" ht="98" customHeight="1">
      <x:c r="A53" s="21" t="str">
        <x:v>IMG-MED-004</x:v>
      </x:c>
      <x:c r="B53" s="21" t="str">
        <x:v>KB009</x:v>
      </x:c>
      <x:c r="C53" s="21" t="str">
        <x:v>MED-P003</x:v>
      </x:c>
      <x:c r="D53" s="21" t="str">
        <x:v>Product Image</x:v>
      </x:c>
      <x:c r="E53" s="21" t="str">
        <x:v>PDRN Lifting Pad official product image.</x:v>
      </x:c>
      <x:c r="F53" s="21" t="str">
        <x:v>https://mediheal.com/cdn/shop/files/81.jpg?v=1762926423</x:v>
      </x:c>
      <x:c r="G53" s="21" t="str">
        <x:v>https://mediheal.com/products/pdrn-lifting-pad</x:v>
      </x:c>
      <x:c r="H53" s="21"/>
      <x:c r="I53" s="21" t="str">
        <x:v>Link only</x:v>
      </x:c>
      <x:c r="J53" s="25"/>
      <x:c r="K53" s="25" t="str">
        <x:v>2026-07-30</x:v>
      </x:c>
      <x:c r="L53" s="21" t="str">
        <x:v>Brand-owned image; internal research reference only.</x:v>
      </x:c>
      <x:c r="M53" s="21" t="str">
        <x:v>Review Required</x:v>
      </x:c>
      <x:c r="N53" s="21" t="str">
        <x:v>No</x:v>
      </x:c>
      <x:c r="O53" s="21" t="str">
        <x:v>SRC-MED-009,SRC-MED-016</x:v>
      </x:c>
      <x:c r="P53" s="21" t="str">
        <x:v>Request licensed assets and substantiation for PDRN, pore, firming and lifting language.</x:v>
      </x:c>
    </x:row>
    <x:row r="54" ht="98" customHeight="1">
      <x:c r="A54" s="21" t="str">
        <x:v>IMG-MED-005</x:v>
      </x:c>
      <x:c r="B54" s="21" t="str">
        <x:v>KB009</x:v>
      </x:c>
      <x:c r="C54" s="21" t="str">
        <x:v>MED-P004</x:v>
      </x:c>
      <x:c r="D54" s="21" t="str">
        <x:v>Product Image</x:v>
      </x:c>
      <x:c r="E54" s="21" t="str">
        <x:v>Madecassoside Essential Mask official product image.</x:v>
      </x:c>
      <x:c r="F54" s="21" t="str">
        <x:v>https://mediheal.com/cdn/shop/files/Untitled_design_-_2024-12-10T152529.514.png?v=1733873392</x:v>
      </x:c>
      <x:c r="G54" s="21" t="str">
        <x:v>https://mediheal.com/products/madecassoside-essential-mask-blemish-repair-1</x:v>
      </x:c>
      <x:c r="H54" s="21"/>
      <x:c r="I54" s="21" t="str">
        <x:v>Link only</x:v>
      </x:c>
      <x:c r="J54" s="25"/>
      <x:c r="K54" s="25" t="str">
        <x:v>2026-07-30</x:v>
      </x:c>
      <x:c r="L54" s="21" t="str">
        <x:v>Brand-owned image; internal research reference only.</x:v>
      </x:c>
      <x:c r="M54" s="21" t="str">
        <x:v>Review Required</x:v>
      </x:c>
      <x:c r="N54" s="21" t="str">
        <x:v>No</x:v>
      </x:c>
      <x:c r="O54" s="21" t="str">
        <x:v>SRC-MED-010</x:v>
      </x:c>
      <x:c r="P54" s="21" t="str">
        <x:v>Request current U.S. single-, four- and ten-pack packaging plus licensed lifestyle assets.</x:v>
      </x:c>
    </x:row>
    <x:row r="55" ht="98" customHeight="1">
      <x:c r="A55" s="21" t="str">
        <x:v>IMG-MED-006</x:v>
      </x:c>
      <x:c r="B55" s="21" t="str">
        <x:v>KB009</x:v>
      </x:c>
      <x:c r="C55" s="21" t="str">
        <x:v>MED-P005</x:v>
      </x:c>
      <x:c r="D55" s="21" t="str">
        <x:v>Product Image</x:v>
      </x:c>
      <x:c r="E55" s="21" t="str">
        <x:v>Madecassoside Moisture Sun Serum official product image.</x:v>
      </x:c>
      <x:c r="F55" s="21" t="str">
        <x:v>https://mediheal.com/cdn/shop/files/01_e7f91e5b-0e5f-4d00-a32c-27a9deed13a1.png?v=1784689137</x:v>
      </x:c>
      <x:c r="G55" s="21" t="str">
        <x:v>https://mediheal.com/products/madecassoside-moisture-sun-serum-sunscreen</x:v>
      </x:c>
      <x:c r="H55" s="21"/>
      <x:c r="I55" s="21" t="str">
        <x:v>Link only</x:v>
      </x:c>
      <x:c r="J55" s="25"/>
      <x:c r="K55" s="25" t="str">
        <x:v>2026-07-30</x:v>
      </x:c>
      <x:c r="L55" s="21" t="str">
        <x:v>Brand-owned image; internal research reference only.</x:v>
      </x:c>
      <x:c r="M55" s="21" t="str">
        <x:v>Review Required</x:v>
      </x:c>
      <x:c r="N55" s="21" t="str">
        <x:v>No</x:v>
      </x:c>
      <x:c r="O55" s="21" t="str">
        <x:v>SRC-MED-011,SRC-MED-052</x:v>
      </x:c>
      <x:c r="P55" s="21" t="str">
        <x:v>Request final licensed U.S. NDC 74005-002 artwork and Drug Facts; do not use Korean packaging.</x:v>
      </x:c>
    </x:row>
    <x:row r="56" ht="100" customHeight="1">
      <x:c r="A56" s="21" t="str">
        <x:v>IMG-DJ-001</x:v>
      </x:c>
      <x:c r="B56" s="21" t="str">
        <x:v>KB010</x:v>
      </x:c>
      <x:c r="C56" s="21"/>
      <x:c r="D56" s="21" t="str">
        <x:v>Brand Image</x:v>
      </x:c>
      <x:c r="E56" s="21" t="str">
        <x:v>Current official Dr.Jart+ U.S. homepage hero/banner.</x:v>
      </x:c>
      <x:c r="F56" s="21" t="str">
        <x:v>https://www.drjart.com/media/export/cms/FY27/JUL_FY27/DJ_FY27_Premium_Beauty_Balm_HP_Desktop_HeroBanner_v2_dt.jpg</x:v>
      </x:c>
      <x:c r="G56" s="21" t="str">
        <x:v>https://www.drjart.com</x:v>
      </x:c>
      <x:c r="H56" s="21"/>
      <x:c r="I56" s="21" t="str">
        <x:v>Link only</x:v>
      </x:c>
      <x:c r="J56" s="25"/>
      <x:c r="K56" s="25" t="str">
        <x:v>2026-07-31</x:v>
      </x:c>
      <x:c r="L56" s="21" t="str">
        <x:v>Brand-owned image; internal research reference only.</x:v>
      </x:c>
      <x:c r="M56" s="21" t="str">
        <x:v>Review Required</x:v>
      </x:c>
      <x:c r="N56" s="21" t="str">
        <x:v>Yes</x:v>
      </x:c>
      <x:c r="O56" s="21" t="str">
        <x:v>SRC-DJ-001</x:v>
      </x:c>
      <x:c r="P56" s="21" t="str">
        <x:v>Do not assume advertising, resale or derivative-use rights; request a licensed current U.S. asset pack.</x:v>
      </x:c>
    </x:row>
    <x:row r="57" ht="100" customHeight="1">
      <x:c r="A57" s="21" t="str">
        <x:v>IMG-DJ-002</x:v>
      </x:c>
      <x:c r="B57" s="21" t="str">
        <x:v>KB010</x:v>
      </x:c>
      <x:c r="C57" s="21" t="str">
        <x:v>DJ-P001</x:v>
      </x:c>
      <x:c r="D57" s="21" t="str">
        <x:v>Product Image</x:v>
      </x:c>
      <x:c r="E57" s="21" t="str">
        <x:v>Cicapair Soothing Color Correcting Treatment official 600×600 product image.</x:v>
      </x:c>
      <x:c r="F57" s="21" t="str">
        <x:v>https://www.drjart.com/media/export/cms/products/600x600/dj_sku_H0QO01_600x600_0.jpg</x:v>
      </x:c>
      <x:c r="G57" s="21" t="str">
        <x:v>https://www.drjart.com/product/29717/138113/color-corrector/cicapairtm-soothing-korean-color-correcting-treatment-mineral-spf-30-with-centella-asiatica-extracts-and-zinc-oxide</x:v>
      </x:c>
      <x:c r="H57" s="21"/>
      <x:c r="I57" s="21" t="str">
        <x:v>Link only</x:v>
      </x:c>
      <x:c r="J57" s="25"/>
      <x:c r="K57" s="25" t="str">
        <x:v>2026-07-31</x:v>
      </x:c>
      <x:c r="L57" s="21" t="str">
        <x:v>Brand-owned image; internal research reference only.</x:v>
      </x:c>
      <x:c r="M57" s="21" t="str">
        <x:v>Review Required</x:v>
      </x:c>
      <x:c r="N57" s="21" t="str">
        <x:v>No</x:v>
      </x:c>
      <x:c r="O57" s="21" t="str">
        <x:v>SRC-DJ-015,SRC-DJ-051</x:v>
      </x:c>
      <x:c r="P57" s="21" t="str">
        <x:v>Request licensed assets for the exact U.S. NDC, size, formula and approved SPF/redness claims.</x:v>
      </x:c>
    </x:row>
    <x:row r="58" ht="100" customHeight="1">
      <x:c r="A58" s="21" t="str">
        <x:v>IMG-DJ-003</x:v>
      </x:c>
      <x:c r="B58" s="21" t="str">
        <x:v>KB010</x:v>
      </x:c>
      <x:c r="C58" s="21" t="str">
        <x:v>DJ-P002</x:v>
      </x:c>
      <x:c r="D58" s="21" t="str">
        <x:v>Product Image</x:v>
      </x:c>
      <x:c r="E58" s="21" t="str">
        <x:v>Ceramidin Skin Barrier Moisturizing Cream official 600×600 product image.</x:v>
      </x:c>
      <x:c r="F58" s="21" t="str">
        <x:v>https://www.drjart.com/media/export/cms/products/600x600/dj_sku_H7T901_600x600_0.jpg</x:v>
      </x:c>
      <x:c r="G58" s="21" t="str">
        <x:v>https://www.drjart.com/product/28258/111504/moisturizers/ceramidintm-skin-barrier-korean-moisturizing-face-cream</x:v>
      </x:c>
      <x:c r="H58" s="21"/>
      <x:c r="I58" s="21" t="str">
        <x:v>Link only</x:v>
      </x:c>
      <x:c r="J58" s="25"/>
      <x:c r="K58" s="25" t="str">
        <x:v>2026-07-31</x:v>
      </x:c>
      <x:c r="L58" s="21" t="str">
        <x:v>Brand-owned image; internal research reference only.</x:v>
      </x:c>
      <x:c r="M58" s="21" t="str">
        <x:v>Review Required</x:v>
      </x:c>
      <x:c r="N58" s="21" t="str">
        <x:v>No</x:v>
      </x:c>
      <x:c r="O58" s="21" t="str">
        <x:v>SRC-DJ-016</x:v>
      </x:c>
      <x:c r="P58" s="21" t="str">
        <x:v>Request current U.S. packaging and claims-approved lifestyle/texture assets.</x:v>
      </x:c>
    </x:row>
    <x:row r="59" ht="100" customHeight="1">
      <x:c r="A59" s="21" t="str">
        <x:v>IMG-DJ-004</x:v>
      </x:c>
      <x:c r="B59" s="21" t="str">
        <x:v>KB010</x:v>
      </x:c>
      <x:c r="C59" s="21" t="str">
        <x:v>DJ-P003</x:v>
      </x:c>
      <x:c r="D59" s="21" t="str">
        <x:v>Product Image</x:v>
      </x:c>
      <x:c r="E59" s="21" t="str">
        <x:v>Cicapair Sensitive Skin Moisturizer official 600×600 product image.</x:v>
      </x:c>
      <x:c r="F59" s="21" t="str">
        <x:v>https://www.drjart.com/media/export/cms/products/600x600/dj_sku_H7N601_600x600_0.jpg</x:v>
      </x:c>
      <x:c r="G59" s="21" t="str">
        <x:v>https://www.drjart.com/product/28258/116789/moisturizers/cicapairtm-sensitive-skin-korean-face-moisturizer-for-redness-with-centella-asiatica</x:v>
      </x:c>
      <x:c r="H59" s="21"/>
      <x:c r="I59" s="21" t="str">
        <x:v>Link only</x:v>
      </x:c>
      <x:c r="J59" s="25"/>
      <x:c r="K59" s="25" t="str">
        <x:v>2026-07-31</x:v>
      </x:c>
      <x:c r="L59" s="21" t="str">
        <x:v>Brand-owned image; internal research reference only.</x:v>
      </x:c>
      <x:c r="M59" s="21" t="str">
        <x:v>Review Required</x:v>
      </x:c>
      <x:c r="N59" s="21" t="str">
        <x:v>No</x:v>
      </x:c>
      <x:c r="O59" s="21" t="str">
        <x:v>SRC-DJ-017</x:v>
      </x:c>
      <x:c r="P59" s="21" t="str">
        <x:v>Request current U.S. packaging and licensed assets with approved redness/sensitive-skin claims.</x:v>
      </x:c>
    </x:row>
    <x:row r="60" ht="100" customHeight="1">
      <x:c r="A60" s="21" t="str">
        <x:v>IMG-DJ-005</x:v>
      </x:c>
      <x:c r="B60" s="21" t="str">
        <x:v>KB010</x:v>
      </x:c>
      <x:c r="C60" s="21" t="str">
        <x:v>DJ-P004</x:v>
      </x:c>
      <x:c r="D60" s="21" t="str">
        <x:v>Product Image</x:v>
      </x:c>
      <x:c r="E60" s="21" t="str">
        <x:v>Cryo Rubber Moisturizing Mask official 600×600 product image.</x:v>
      </x:c>
      <x:c r="F60" s="21" t="str">
        <x:v>https://www.drjart.com/media/export/cms/products/600x600/dj_sku_H5PZ01_600x600_0.jpg</x:v>
      </x:c>
      <x:c r="G60" s="21" t="str">
        <x:v>https://www.drjart.com/product/28256/140886/masks/cryo-rubbertm-moisturizing-korean-face-mask-with-hyaluronic-acid-plus-peptide</x:v>
      </x:c>
      <x:c r="H60" s="21"/>
      <x:c r="I60" s="21" t="str">
        <x:v>Link only</x:v>
      </x:c>
      <x:c r="J60" s="25"/>
      <x:c r="K60" s="25" t="str">
        <x:v>2026-07-31</x:v>
      </x:c>
      <x:c r="L60" s="21" t="str">
        <x:v>Brand-owned image; internal research reference only.</x:v>
      </x:c>
      <x:c r="M60" s="21" t="str">
        <x:v>Review Required</x:v>
      </x:c>
      <x:c r="N60" s="21" t="str">
        <x:v>No</x:v>
      </x:c>
      <x:c r="O60" s="21" t="str">
        <x:v>SRC-DJ-018</x:v>
      </x:c>
      <x:c r="P60" s="21" t="str">
        <x:v>Request licensed product, application and disposal/sustainability assets.</x:v>
      </x:c>
    </x:row>
    <x:row r="61" ht="100" customHeight="1">
      <x:c r="A61" s="21" t="str">
        <x:v>IMG-DJ-006</x:v>
      </x:c>
      <x:c r="B61" s="21" t="str">
        <x:v>KB010</x:v>
      </x:c>
      <x:c r="C61" s="21" t="str">
        <x:v>DJ-P005</x:v>
      </x:c>
      <x:c r="D61" s="21" t="str">
        <x:v>Product Image</x:v>
      </x:c>
      <x:c r="E61" s="21" t="str">
        <x:v>Premium BB Fair-Light product image from the official Amazon.com offer.</x:v>
      </x:c>
      <x:c r="F61" s="21" t="str">
        <x:v>https://m.media-amazon.com/images/I/61TqkgDwAzL._SX522_.jpg</x:v>
      </x:c>
      <x:c r="G61" s="21" t="str">
        <x:v>https://www.amazon.com/dp/B0D5YY8HWK</x:v>
      </x:c>
      <x:c r="H61" s="21"/>
      <x:c r="I61" s="21" t="str">
        <x:v>Link only</x:v>
      </x:c>
      <x:c r="J61" s="25"/>
      <x:c r="K61" s="25" t="str">
        <x:v>2026-07-31</x:v>
      </x:c>
      <x:c r="L61" s="21" t="str">
        <x:v>Amazon/brand-owned image; internal research reference only.</x:v>
      </x:c>
      <x:c r="M61" s="21" t="str">
        <x:v>Review Required</x:v>
      </x:c>
      <x:c r="N61" s="21" t="str">
        <x:v>No</x:v>
      </x:c>
      <x:c r="O61" s="21" t="str">
        <x:v>SRC-DJ-019,SRC-DJ-024,SRC-DJ-052</x:v>
      </x:c>
      <x:c r="P61" s="21" t="str">
        <x:v>Request licensed images and final U.S. Drug Facts/package artwork for every authorized shade; do not reuse marketplace assets without permission.</x:v>
      </x:c>
    </x:row>
    <x:row r="62" ht="104" customHeight="1">
      <x:c r="A62" s="21" t="str">
        <x:v>IMG-TOR-001</x:v>
      </x:c>
      <x:c r="B62" s="21" t="str">
        <x:v>KB011</x:v>
      </x:c>
      <x:c r="C62" s="21"/>
      <x:c r="D62" s="21" t="str">
        <x:v>Brand Profile / Visual Identity</x:v>
      </x:c>
      <x:c r="E62" s="21" t="str">
        <x:v>Verified Torriden Global Instagram profile and current blue/white brand identity.</x:v>
      </x:c>
      <x:c r="F62" s="21" t="str">
        <x:v>https://www.instagram.com/torriden/</x:v>
      </x:c>
      <x:c r="G62" s="21" t="str">
        <x:v>https://www.instagram.com/torriden/</x:v>
      </x:c>
      <x:c r="H62" s="21"/>
      <x:c r="I62" s="21" t="str">
        <x:v>Link only</x:v>
      </x:c>
      <x:c r="J62" s="25"/>
      <x:c r="K62" s="25" t="str">
        <x:v>2026-08-01</x:v>
      </x:c>
      <x:c r="L62" s="21" t="str">
        <x:v>Platform/brand-owned imagery; internal research reference only.</x:v>
      </x:c>
      <x:c r="M62" s="21" t="str">
        <x:v>Review Required</x:v>
      </x:c>
      <x:c r="N62" s="21" t="str">
        <x:v>Yes</x:v>
      </x:c>
      <x:c r="O62" s="21" t="str">
        <x:v>SRC-TOR-006</x:v>
      </x:c>
      <x:c r="P62" s="21" t="str">
        <x:v>Request a licensed current U.S. logo, key visual and brand-style asset pack before commercial use.</x:v>
      </x:c>
    </x:row>
    <x:row r="63" ht="104" customHeight="1">
      <x:c r="A63" s="21" t="str">
        <x:v>IMG-TOR-002</x:v>
      </x:c>
      <x:c r="B63" s="21" t="str">
        <x:v>KB011</x:v>
      </x:c>
      <x:c r="C63" s="21" t="str">
        <x:v>TOR-P001</x:v>
      </x:c>
      <x:c r="D63" s="21" t="str">
        <x:v>Product Image</x:v>
      </x:c>
      <x:c r="E63" s="21" t="str">
        <x:v>DIVE IN Serum product image from the observed Amazon offer.</x:v>
      </x:c>
      <x:c r="F63" s="21" t="str">
        <x:v>https://m.media-amazon.com/images/I/51IhsMajjFL._SX425_.jpg</x:v>
      </x:c>
      <x:c r="G63" s="21" t="str">
        <x:v>https://www.amazon.com/dp/B07WZ2YTDP</x:v>
      </x:c>
      <x:c r="H63" s="21"/>
      <x:c r="I63" s="21" t="str">
        <x:v>Link only</x:v>
      </x:c>
      <x:c r="J63" s="25"/>
      <x:c r="K63" s="25" t="str">
        <x:v>2026-08-01</x:v>
      </x:c>
      <x:c r="L63" s="21" t="str">
        <x:v>Amazon/brand-owned image; internal research reference only.</x:v>
      </x:c>
      <x:c r="M63" s="21" t="str">
        <x:v>Review Required</x:v>
      </x:c>
      <x:c r="N63" s="21" t="str">
        <x:v>No</x:v>
      </x:c>
      <x:c r="O63" s="21" t="str">
        <x:v>SRC-TOR-010,SRC-TOR-016</x:v>
      </x:c>
      <x:c r="P63" s="21" t="str">
        <x:v>Request licensed current U.S. packaging, texture and claims-approved lifestyle assets.</x:v>
      </x:c>
    </x:row>
    <x:row r="64" ht="104" customHeight="1">
      <x:c r="A64" s="21" t="str">
        <x:v>IMG-TOR-003</x:v>
      </x:c>
      <x:c r="B64" s="21" t="str">
        <x:v>KB011</x:v>
      </x:c>
      <x:c r="C64" s="21" t="str">
        <x:v>TOR-P002</x:v>
      </x:c>
      <x:c r="D64" s="21" t="str">
        <x:v>Product Image</x:v>
      </x:c>
      <x:c r="E64" s="21" t="str">
        <x:v>DIVE IN Soothing Cream tube image from the observed Amazon offer.</x:v>
      </x:c>
      <x:c r="F64" s="21" t="str">
        <x:v>https://m.media-amazon.com/images/I/31xd1OLgmML._SY300_SX300_QL70_FMwebp_.jpg</x:v>
      </x:c>
      <x:c r="G64" s="21" t="str">
        <x:v>https://www.amazon.com/dp/B0CMH3QM8V</x:v>
      </x:c>
      <x:c r="H64" s="21"/>
      <x:c r="I64" s="21" t="str">
        <x:v>Link only</x:v>
      </x:c>
      <x:c r="J64" s="25"/>
      <x:c r="K64" s="25" t="str">
        <x:v>2026-08-01</x:v>
      </x:c>
      <x:c r="L64" s="21" t="str">
        <x:v>Amazon/brand-owned image; internal research reference only.</x:v>
      </x:c>
      <x:c r="M64" s="21" t="str">
        <x:v>Review Required</x:v>
      </x:c>
      <x:c r="N64" s="21" t="str">
        <x:v>No</x:v>
      </x:c>
      <x:c r="O64" s="21" t="str">
        <x:v>SRC-TOR-011,SRC-TOR-017,SRC-TOR-022</x:v>
      </x:c>
      <x:c r="P64" s="21" t="str">
        <x:v>Request licensed tube/jar version-specific U.S. assets and package mapping.</x:v>
      </x:c>
    </x:row>
    <x:row r="65" ht="104" customHeight="1">
      <x:c r="A65" s="21" t="str">
        <x:v>IMG-TOR-004</x:v>
      </x:c>
      <x:c r="B65" s="21" t="str">
        <x:v>KB011</x:v>
      </x:c>
      <x:c r="C65" s="21" t="str">
        <x:v>TOR-P003</x:v>
      </x:c>
      <x:c r="D65" s="21" t="str">
        <x:v>Product Image</x:v>
      </x:c>
      <x:c r="E65" s="21" t="str">
        <x:v>DIVE IN Toner product image from the observed Amazon offer.</x:v>
      </x:c>
      <x:c r="F65" s="21" t="str">
        <x:v>https://m.media-amazon.com/images/I/31tVQ0YEImL._SY300_SX300_QL70_FMwebp_.jpg</x:v>
      </x:c>
      <x:c r="G65" s="21" t="str">
        <x:v>https://www.amazon.com/dp/B08TBG2T2C</x:v>
      </x:c>
      <x:c r="H65" s="21"/>
      <x:c r="I65" s="21" t="str">
        <x:v>Link only</x:v>
      </x:c>
      <x:c r="J65" s="25"/>
      <x:c r="K65" s="25" t="str">
        <x:v>2026-08-01</x:v>
      </x:c>
      <x:c r="L65" s="21" t="str">
        <x:v>Amazon/brand-owned image; internal research reference only.</x:v>
      </x:c>
      <x:c r="M65" s="21" t="str">
        <x:v>Review Required</x:v>
      </x:c>
      <x:c r="N65" s="21" t="str">
        <x:v>No</x:v>
      </x:c>
      <x:c r="O65" s="21" t="str">
        <x:v>SRC-TOR-012,SRC-TOR-018</x:v>
      </x:c>
      <x:c r="P65" s="21" t="str">
        <x:v>Request licensed current U.S. packaging and texture assets.</x:v>
      </x:c>
    </x:row>
    <x:row r="66" ht="104" customHeight="1">
      <x:c r="A66" s="21" t="str">
        <x:v>IMG-TOR-005</x:v>
      </x:c>
      <x:c r="B66" s="21" t="str">
        <x:v>KB011</x:v>
      </x:c>
      <x:c r="C66" s="21" t="str">
        <x:v>TOR-P004</x:v>
      </x:c>
      <x:c r="D66" s="21" t="str">
        <x:v>Product Image</x:v>
      </x:c>
      <x:c r="E66" s="21" t="str">
        <x:v>DIVE IN sheet-mask 10-pack image from the observed Amazon offer.</x:v>
      </x:c>
      <x:c r="F66" s="21" t="str">
        <x:v>https://m.media-amazon.com/images/I/41vvSt2eK-L._SY300_SX300_QL70_FMwebp_.jpg</x:v>
      </x:c>
      <x:c r="G66" s="21" t="str">
        <x:v>https://www.amazon.com/dp/B08TBJY2DP</x:v>
      </x:c>
      <x:c r="H66" s="21"/>
      <x:c r="I66" s="21" t="str">
        <x:v>Link only</x:v>
      </x:c>
      <x:c r="J66" s="25"/>
      <x:c r="K66" s="25" t="str">
        <x:v>2026-08-01</x:v>
      </x:c>
      <x:c r="L66" s="21" t="str">
        <x:v>Amazon/brand-owned image; internal research reference only.</x:v>
      </x:c>
      <x:c r="M66" s="21" t="str">
        <x:v>Review Required</x:v>
      </x:c>
      <x:c r="N66" s="21" t="str">
        <x:v>No</x:v>
      </x:c>
      <x:c r="O66" s="21" t="str">
        <x:v>SRC-TOR-013,SRC-TOR-019</x:v>
      </x:c>
      <x:c r="P66" s="21" t="str">
        <x:v>Request licensed product, application and claims-approved assets.</x:v>
      </x:c>
    </x:row>
    <x:row r="67" ht="104" customHeight="1">
      <x:c r="A67" s="21" t="str">
        <x:v>IMG-TOR-006</x:v>
      </x:c>
      <x:c r="B67" s="21" t="str">
        <x:v>KB011</x:v>
      </x:c>
      <x:c r="C67" s="21" t="str">
        <x:v>TOR-P005</x:v>
      </x:c>
      <x:c r="D67" s="21" t="str">
        <x:v>Product Image</x:v>
      </x:c>
      <x:c r="E67" s="21" t="str">
        <x:v>SOLID IN Lip Essence two-pack image from the observed Amazon offer.</x:v>
      </x:c>
      <x:c r="F67" s="21" t="str">
        <x:v>https://m.media-amazon.com/images/I/41tHQdZDGyL._SY300_SX300_QL70_FMwebp_.jpg</x:v>
      </x:c>
      <x:c r="G67" s="21" t="str">
        <x:v>https://www.amazon.com/dp/B0BT3Z7469</x:v>
      </x:c>
      <x:c r="H67" s="21"/>
      <x:c r="I67" s="21" t="str">
        <x:v>Link only</x:v>
      </x:c>
      <x:c r="J67" s="25"/>
      <x:c r="K67" s="25" t="str">
        <x:v>2026-08-01</x:v>
      </x:c>
      <x:c r="L67" s="21" t="str">
        <x:v>Amazon/brand-owned image; internal research reference only.</x:v>
      </x:c>
      <x:c r="M67" s="21" t="str">
        <x:v>Review Required</x:v>
      </x:c>
      <x:c r="N67" s="21" t="str">
        <x:v>No</x:v>
      </x:c>
      <x:c r="O67" s="21" t="str">
        <x:v>SRC-TOR-014,SRC-TOR-020</x:v>
      </x:c>
      <x:c r="P67" s="21" t="str">
        <x:v>Request licensed single- and multi-pack U.S. assets; do not reuse marketplace images without permission.</x:v>
      </x:c>
    </x:row>
    <x:row r="68" ht="96" customHeight="1">
      <x:c r="A68" s="21" t="str">
        <x:v>IMG-NBZ-001</x:v>
      </x:c>
      <x:c r="B68" s="21" t="str">
        <x:v>KB012</x:v>
      </x:c>
      <x:c r="C68" s="21"/>
      <x:c r="D68" s="21" t="str">
        <x:v>Brand Profile / Visual Identity</x:v>
      </x:c>
      <x:c r="E68" s="21" t="str">
        <x:v>Official Numbuzin Global Instagram profile and current numbered-solution brand identity.</x:v>
      </x:c>
      <x:c r="F68" s="21" t="str">
        <x:v>https://www.instagram.com/numbuzin_global/</x:v>
      </x:c>
      <x:c r="G68" s="21" t="str">
        <x:v>https://www.instagram.com/numbuzin_global/</x:v>
      </x:c>
      <x:c r="H68" s="21"/>
      <x:c r="I68" s="21" t="str">
        <x:v>Link only</x:v>
      </x:c>
      <x:c r="J68" s="25"/>
      <x:c r="K68" s="25" t="str">
        <x:v>2026-08-01</x:v>
      </x:c>
      <x:c r="L68" s="21" t="str">
        <x:v>Platform/brand-owned imagery; internal research reference only.</x:v>
      </x:c>
      <x:c r="M68" s="21" t="str">
        <x:v>Review Required</x:v>
      </x:c>
      <x:c r="N68" s="21" t="str">
        <x:v>Yes</x:v>
      </x:c>
      <x:c r="O68" s="21" t="str">
        <x:v>SRC-NBZ-007,SRC-NBZ-008</x:v>
      </x:c>
      <x:c r="P68" s="21" t="str">
        <x:v>Request a licensed current U.S. logo, brand guide and claims-approved key visuals before commercial use.</x:v>
      </x:c>
    </x:row>
    <x:row r="69" ht="96" customHeight="1">
      <x:c r="A69" s="21" t="str">
        <x:v>IMG-NBZ-002</x:v>
      </x:c>
      <x:c r="B69" s="21" t="str">
        <x:v>KB012</x:v>
      </x:c>
      <x:c r="C69" s="21" t="str">
        <x:v>NBZ-P001</x:v>
      </x:c>
      <x:c r="D69" s="21" t="str">
        <x:v>Product Page Visual</x:v>
      </x:c>
      <x:c r="E69" s="21" t="str">
        <x:v>No. 9 NAD+ BIO Lifting-sil Essence product visual on the official collection/product page.</x:v>
      </x:c>
      <x:c r="F69" s="21" t="str">
        <x:v>https://us.numbuzin.com/collections/serum</x:v>
      </x:c>
      <x:c r="G69" s="21" t="str">
        <x:v>https://us.numbuzin.com/collections/serum</x:v>
      </x:c>
      <x:c r="H69" s="21"/>
      <x:c r="I69" s="21" t="str">
        <x:v>Link only</x:v>
      </x:c>
      <x:c r="J69" s="25"/>
      <x:c r="K69" s="25" t="str">
        <x:v>2026-08-01</x:v>
      </x:c>
      <x:c r="L69" s="21" t="str">
        <x:v>Brand-owned imagery; internal research reference only.</x:v>
      </x:c>
      <x:c r="M69" s="21" t="str">
        <x:v>Review Required</x:v>
      </x:c>
      <x:c r="N69" s="21" t="str">
        <x:v>No</x:v>
      </x:c>
      <x:c r="O69" s="21" t="str">
        <x:v>SRC-NBZ-012,SRC-NBZ-024</x:v>
      </x:c>
      <x:c r="P69" s="21" t="str">
        <x:v>Request licensed current U.S. packaging, texture, before/after and claims-approved assets.</x:v>
      </x:c>
    </x:row>
    <x:row r="70" ht="96" customHeight="1">
      <x:c r="A70" s="21" t="str">
        <x:v>IMG-NBZ-003</x:v>
      </x:c>
      <x:c r="B70" s="21" t="str">
        <x:v>KB012</x:v>
      </x:c>
      <x:c r="C70" s="21" t="str">
        <x:v>NBZ-P002</x:v>
      </x:c>
      <x:c r="D70" s="21" t="str">
        <x:v>Product Page Visual</x:v>
      </x:c>
      <x:c r="E70" s="21" t="str">
        <x:v>No. 5+ Glutathione Vitamin Concentrated Serum visual on the official U.S. product page.</x:v>
      </x:c>
      <x:c r="F70" s="21" t="str">
        <x:v>https://us.numbuzin.com/products/no-5-vitamin-concentrated-serum</x:v>
      </x:c>
      <x:c r="G70" s="21" t="str">
        <x:v>https://us.numbuzin.com/products/no-5-vitamin-concentrated-serum</x:v>
      </x:c>
      <x:c r="H70" s="21"/>
      <x:c r="I70" s="21" t="str">
        <x:v>Link only</x:v>
      </x:c>
      <x:c r="J70" s="25"/>
      <x:c r="K70" s="25" t="str">
        <x:v>2026-08-01</x:v>
      </x:c>
      <x:c r="L70" s="21" t="str">
        <x:v>Brand-owned imagery; internal research reference only.</x:v>
      </x:c>
      <x:c r="M70" s="21" t="str">
        <x:v>Review Required</x:v>
      </x:c>
      <x:c r="N70" s="21" t="str">
        <x:v>No</x:v>
      </x:c>
      <x:c r="O70" s="21" t="str">
        <x:v>SRC-NBZ-022</x:v>
      </x:c>
      <x:c r="P70" s="21" t="str">
        <x:v>Request licensed U.S. package, texture and claims-substantiated visuals.</x:v>
      </x:c>
    </x:row>
    <x:row r="71" ht="96" customHeight="1">
      <x:c r="A71" s="21" t="str">
        <x:v>IMG-NBZ-004</x:v>
      </x:c>
      <x:c r="B71" s="21" t="str">
        <x:v>KB012</x:v>
      </x:c>
      <x:c r="C71" s="21" t="str">
        <x:v>NBZ-P003</x:v>
      </x:c>
      <x:c r="D71" s="21" t="str">
        <x:v>Product Page Visual</x:v>
      </x:c>
      <x:c r="E71" s="21" t="str">
        <x:v>No. 3 Super Glowing Essence Toner visual on the official U.S. product page.</x:v>
      </x:c>
      <x:c r="F71" s="21" t="str">
        <x:v>https://us.numbuzin.com/products/no-3-super-glowing-essence-toner</x:v>
      </x:c>
      <x:c r="G71" s="21" t="str">
        <x:v>https://us.numbuzin.com/products/no-3-super-glowing-essence-toner</x:v>
      </x:c>
      <x:c r="H71" s="21"/>
      <x:c r="I71" s="21" t="str">
        <x:v>Link only</x:v>
      </x:c>
      <x:c r="J71" s="25"/>
      <x:c r="K71" s="25" t="str">
        <x:v>2026-08-01</x:v>
      </x:c>
      <x:c r="L71" s="21" t="str">
        <x:v>Brand-owned imagery; internal research reference only.</x:v>
      </x:c>
      <x:c r="M71" s="21" t="str">
        <x:v>Review Required</x:v>
      </x:c>
      <x:c r="N71" s="21" t="str">
        <x:v>No</x:v>
      </x:c>
      <x:c r="O71" s="21" t="str">
        <x:v>SRC-NBZ-020</x:v>
      </x:c>
      <x:c r="P71" s="21" t="str">
        <x:v>Request licensed U.S. packaging and version-mapped texture/application visuals.</x:v>
      </x:c>
    </x:row>
    <x:row r="72" ht="96" customHeight="1">
      <x:c r="A72" s="21" t="str">
        <x:v>IMG-NBZ-005</x:v>
      </x:c>
      <x:c r="B72" s="21" t="str">
        <x:v>KB012</x:v>
      </x:c>
      <x:c r="C72" s="21" t="str">
        <x:v>NBZ-P004</x:v>
      </x:c>
      <x:c r="D72" s="21" t="str">
        <x:v>Product Page Visual</x:v>
      </x:c>
      <x:c r="E72" s="21" t="str">
        <x:v>No. 9 NAD+ PDRN Essence Toner visual on the official toner collection page.</x:v>
      </x:c>
      <x:c r="F72" s="21" t="str">
        <x:v>https://us.numbuzin.com/collections/toner</x:v>
      </x:c>
      <x:c r="G72" s="21" t="str">
        <x:v>https://us.numbuzin.com/collections/toner</x:v>
      </x:c>
      <x:c r="H72" s="21"/>
      <x:c r="I72" s="21" t="str">
        <x:v>Link only</x:v>
      </x:c>
      <x:c r="J72" s="25"/>
      <x:c r="K72" s="25" t="str">
        <x:v>2026-08-01</x:v>
      </x:c>
      <x:c r="L72" s="21" t="str">
        <x:v>Brand-owned imagery; internal research reference only.</x:v>
      </x:c>
      <x:c r="M72" s="21" t="str">
        <x:v>Review Required</x:v>
      </x:c>
      <x:c r="N72" s="21" t="str">
        <x:v>No</x:v>
      </x:c>
      <x:c r="O72" s="21" t="str">
        <x:v>SRC-NBZ-015,SRC-NBZ-025</x:v>
      </x:c>
      <x:c r="P72" s="21" t="str">
        <x:v>Request licensed U.S. packaging and claims-approved visuals.</x:v>
      </x:c>
    </x:row>
    <x:row r="73" ht="96" customHeight="1">
      <x:c r="A73" s="21" t="str">
        <x:v>IMG-NBZ-006</x:v>
      </x:c>
      <x:c r="B73" s="21" t="str">
        <x:v>KB012</x:v>
      </x:c>
      <x:c r="C73" s="21" t="str">
        <x:v>NBZ-P005</x:v>
      </x:c>
      <x:c r="D73" s="21" t="str">
        <x:v>Product Page Visual</x:v>
      </x:c>
      <x:c r="E73" s="21" t="str">
        <x:v>No. 3 Skin Softening Serum visual on the official U.S. product page.</x:v>
      </x:c>
      <x:c r="F73" s="21" t="str">
        <x:v>https://us.numbuzin.com/products/no-3-skin-softening-serum-1</x:v>
      </x:c>
      <x:c r="G73" s="21" t="str">
        <x:v>https://us.numbuzin.com/products/no-3-skin-softening-serum-1</x:v>
      </x:c>
      <x:c r="H73" s="21"/>
      <x:c r="I73" s="21" t="str">
        <x:v>Link only</x:v>
      </x:c>
      <x:c r="J73" s="25"/>
      <x:c r="K73" s="25" t="str">
        <x:v>2026-08-01</x:v>
      </x:c>
      <x:c r="L73" s="21" t="str">
        <x:v>Brand-owned imagery; internal research reference only.</x:v>
      </x:c>
      <x:c r="M73" s="21" t="str">
        <x:v>Review Required</x:v>
      </x:c>
      <x:c r="N73" s="21" t="str">
        <x:v>No</x:v>
      </x:c>
      <x:c r="O73" s="21" t="str">
        <x:v>SRC-NBZ-021</x:v>
      </x:c>
      <x:c r="P73" s="21" t="str">
        <x:v>Request licensed current U.S. formula/package-version assets; do not reuse without permission.</x:v>
      </x:c>
    </x:row>
    <x:row r="74" ht="98" customHeight="1">
      <x:c r="A74" s="21" t="str">
        <x:v>IMG-MIX-001</x:v>
      </x:c>
      <x:c r="B74" s="21" t="str">
        <x:v>KB013</x:v>
      </x:c>
      <x:c r="C74" s="21"/>
      <x:c r="D74" s="21" t="str">
        <x:v>Brand Profile / Visual Identity</x:v>
      </x:c>
      <x:c r="E74" s="21" t="str">
        <x:v>Official Mixsoon U.S. Instagram profile and current brand visual identity.</x:v>
      </x:c>
      <x:c r="F74" s="21" t="str">
        <x:v>https://www.instagram.com/mixsoon_us/</x:v>
      </x:c>
      <x:c r="G74" s="21" t="str">
        <x:v>https://www.instagram.com/mixsoon_us/</x:v>
      </x:c>
      <x:c r="H74" s="21"/>
      <x:c r="I74" s="21" t="str">
        <x:v>Link only</x:v>
      </x:c>
      <x:c r="J74" s="25"/>
      <x:c r="K74" s="25" t="str">
        <x:v>2026-08-01</x:v>
      </x:c>
      <x:c r="L74" s="21" t="str">
        <x:v>Platform/brand-owned imagery; internal research reference only.</x:v>
      </x:c>
      <x:c r="M74" s="21" t="str">
        <x:v>Review Required</x:v>
      </x:c>
      <x:c r="N74" s="21" t="str">
        <x:v>Yes</x:v>
      </x:c>
      <x:c r="O74" s="21" t="str">
        <x:v>SRC-MIX-009,SRC-MIX-024</x:v>
      </x:c>
      <x:c r="P74" s="21" t="str">
        <x:v>Request licensed current U.S. logo, brand guide and claims-approved key visuals before commercial use.</x:v>
      </x:c>
    </x:row>
    <x:row r="75" ht="98" customHeight="1">
      <x:c r="A75" s="21" t="str">
        <x:v>IMG-MIX-002</x:v>
      </x:c>
      <x:c r="B75" s="21" t="str">
        <x:v>KB013</x:v>
      </x:c>
      <x:c r="C75" s="21" t="str">
        <x:v>MIX-P001</x:v>
      </x:c>
      <x:c r="D75" s="21" t="str">
        <x:v>Product Page Visual</x:v>
      </x:c>
      <x:c r="E75" s="21" t="str">
        <x:v>Bean Essence 50 mL packaging, texture and application visuals on the official U.S. product page.</x:v>
      </x:c>
      <x:c r="F75" s="21" t="str">
        <x:v>https://mixsoon.us/products/mixsoon-bean-essence-50ml</x:v>
      </x:c>
      <x:c r="G75" s="21" t="str">
        <x:v>https://mixsoon.us/products/mixsoon-bean-essence-50ml</x:v>
      </x:c>
      <x:c r="H75" s="21"/>
      <x:c r="I75" s="21" t="str">
        <x:v>Link only</x:v>
      </x:c>
      <x:c r="J75" s="25"/>
      <x:c r="K75" s="25" t="str">
        <x:v>2026-08-01</x:v>
      </x:c>
      <x:c r="L75" s="21" t="str">
        <x:v>Brand-owned imagery; internal research reference only.</x:v>
      </x:c>
      <x:c r="M75" s="21" t="str">
        <x:v>Review Required</x:v>
      </x:c>
      <x:c r="N75" s="21" t="str">
        <x:v>No</x:v>
      </x:c>
      <x:c r="O75" s="21" t="str">
        <x:v>SRC-MIX-011</x:v>
      </x:c>
      <x:c r="P75" s="21" t="str">
        <x:v>Request licensed U.S. package, texture and claims-approved demonstration assets.</x:v>
      </x:c>
    </x:row>
    <x:row r="76" ht="98" customHeight="1">
      <x:c r="A76" s="21" t="str">
        <x:v>IMG-MIX-003</x:v>
      </x:c>
      <x:c r="B76" s="21" t="str">
        <x:v>KB013</x:v>
      </x:c>
      <x:c r="C76" s="21" t="str">
        <x:v>MIX-P002</x:v>
      </x:c>
      <x:c r="D76" s="21" t="str">
        <x:v>Product Page Visual</x:v>
      </x:c>
      <x:c r="E76" s="21" t="str">
        <x:v>Bean Cream 50 mL product and texture visuals on the official U.S. product page.</x:v>
      </x:c>
      <x:c r="F76" s="21" t="str">
        <x:v>https://mixsoon.us/products/mixsoon-bean-cream-50ml</x:v>
      </x:c>
      <x:c r="G76" s="21" t="str">
        <x:v>https://mixsoon.us/products/mixsoon-bean-cream-50ml</x:v>
      </x:c>
      <x:c r="H76" s="21"/>
      <x:c r="I76" s="21" t="str">
        <x:v>Link only</x:v>
      </x:c>
      <x:c r="J76" s="25"/>
      <x:c r="K76" s="25" t="str">
        <x:v>2026-08-01</x:v>
      </x:c>
      <x:c r="L76" s="21" t="str">
        <x:v>Brand-owned imagery; internal research reference only.</x:v>
      </x:c>
      <x:c r="M76" s="21" t="str">
        <x:v>Review Required</x:v>
      </x:c>
      <x:c r="N76" s="21" t="str">
        <x:v>No</x:v>
      </x:c>
      <x:c r="O76" s="21" t="str">
        <x:v>SRC-MIX-012</x:v>
      </x:c>
      <x:c r="P76" s="21" t="str">
        <x:v>Request licensed current U.S. packaging, INCI-matched texture and claims-approved assets.</x:v>
      </x:c>
    </x:row>
    <x:row r="77" ht="98" customHeight="1">
      <x:c r="A77" s="21" t="str">
        <x:v>IMG-MIX-004</x:v>
      </x:c>
      <x:c r="B77" s="21" t="str">
        <x:v>KB013</x:v>
      </x:c>
      <x:c r="C77" s="21" t="str">
        <x:v>MIX-P003</x:v>
      </x:c>
      <x:c r="D77" s="21" t="str">
        <x:v>Product Page Visual</x:v>
      </x:c>
      <x:c r="E77" s="21" t="str">
        <x:v>Glacier Water Hyaluronic Acid Serum 300 mL product visuals on the official U.S. page.</x:v>
      </x:c>
      <x:c r="F77" s="21" t="str">
        <x:v>https://mixsoon.us/products/mixsoon-glacier-water-hyaluronic-acid-serum-300ml</x:v>
      </x:c>
      <x:c r="G77" s="21" t="str">
        <x:v>https://mixsoon.us/products/mixsoon-glacier-water-hyaluronic-acid-serum-300ml</x:v>
      </x:c>
      <x:c r="H77" s="21"/>
      <x:c r="I77" s="21" t="str">
        <x:v>Link only</x:v>
      </x:c>
      <x:c r="J77" s="25"/>
      <x:c r="K77" s="25" t="str">
        <x:v>2026-08-01</x:v>
      </x:c>
      <x:c r="L77" s="21" t="str">
        <x:v>Brand-owned imagery; internal research reference only.</x:v>
      </x:c>
      <x:c r="M77" s="21" t="str">
        <x:v>Review Required</x:v>
      </x:c>
      <x:c r="N77" s="21" t="str">
        <x:v>No</x:v>
      </x:c>
      <x:c r="O77" s="21" t="str">
        <x:v>SRC-MIX-013</x:v>
      </x:c>
      <x:c r="P77" s="21" t="str">
        <x:v>Request licensed current U.S. packaging and claims-approved hydration visuals.</x:v>
      </x:c>
    </x:row>
    <x:row r="78" ht="98" customHeight="1">
      <x:c r="A78" s="21" t="str">
        <x:v>IMG-MIX-005</x:v>
      </x:c>
      <x:c r="B78" s="21" t="str">
        <x:v>KB013</x:v>
      </x:c>
      <x:c r="C78" s="21" t="str">
        <x:v>MIX-P004</x:v>
      </x:c>
      <x:c r="D78" s="21" t="str">
        <x:v>Product Page Visual</x:v>
      </x:c>
      <x:c r="E78" s="21" t="str">
        <x:v>Bean Cleansing Oil 195 mL product visuals on the official U.S. page.</x:v>
      </x:c>
      <x:c r="F78" s="21" t="str">
        <x:v>https://mixsoon.us/products/mixsoon-bean-cleansing-oil-195ml</x:v>
      </x:c>
      <x:c r="G78" s="21" t="str">
        <x:v>https://mixsoon.us/products/mixsoon-bean-cleansing-oil-195ml</x:v>
      </x:c>
      <x:c r="H78" s="21"/>
      <x:c r="I78" s="21" t="str">
        <x:v>Link only</x:v>
      </x:c>
      <x:c r="J78" s="25"/>
      <x:c r="K78" s="25" t="str">
        <x:v>2026-08-01</x:v>
      </x:c>
      <x:c r="L78" s="21" t="str">
        <x:v>Brand-owned imagery; internal research reference only.</x:v>
      </x:c>
      <x:c r="M78" s="21" t="str">
        <x:v>Review Required</x:v>
      </x:c>
      <x:c r="N78" s="21" t="str">
        <x:v>No</x:v>
      </x:c>
      <x:c r="O78" s="21" t="str">
        <x:v>SRC-MIX-014</x:v>
      </x:c>
      <x:c r="P78" s="21" t="str">
        <x:v>Do not commercialize until fragrance-free wording and exact INCI/label are reconciled.</x:v>
      </x:c>
    </x:row>
    <x:row r="79" ht="98" customHeight="1">
      <x:c r="A79" s="21" t="str">
        <x:v>IMG-MIX-006</x:v>
      </x:c>
      <x:c r="B79" s="21" t="str">
        <x:v>KB013</x:v>
      </x:c>
      <x:c r="C79" s="21" t="str">
        <x:v>MIX-P005</x:v>
      </x:c>
      <x:c r="D79" s="21" t="str">
        <x:v>Campaign / Product Visual</x:v>
      </x:c>
      <x:c r="E79" s="21" t="str">
        <x:v>PDRN Collagen Tinted Moisturizer campaign and ten-shade visuals on the official U.S. page.</x:v>
      </x:c>
      <x:c r="F79" s="21" t="str">
        <x:v>https://mixsoon.us/pages/pdrn-collagen-tinted-moisturizer</x:v>
      </x:c>
      <x:c r="G79" s="21" t="str">
        <x:v>https://mixsoon.us/pages/pdrn-collagen-tinted-moisturizer</x:v>
      </x:c>
      <x:c r="H79" s="21"/>
      <x:c r="I79" s="21" t="str">
        <x:v>Link only</x:v>
      </x:c>
      <x:c r="J79" s="25"/>
      <x:c r="K79" s="25" t="str">
        <x:v>2026-08-01</x:v>
      </x:c>
      <x:c r="L79" s="21" t="str">
        <x:v>Brand-owned imagery; internal research reference only.</x:v>
      </x:c>
      <x:c r="M79" s="21" t="str">
        <x:v>Review Required</x:v>
      </x:c>
      <x:c r="N79" s="21" t="str">
        <x:v>No</x:v>
      </x:c>
      <x:c r="O79" s="21" t="str">
        <x:v>SRC-MIX-015</x:v>
      </x:c>
      <x:c r="P79" s="21" t="str">
        <x:v>Request licensed shade-accurate U.S. assets, model releases and claims approvals.</x:v>
      </x:c>
    </x:row>
    <x:row r="80" ht="100" customHeight="1">
      <x:c r="A80" s="21" t="str">
        <x:v>IMG-DAL-001</x:v>
      </x:c>
      <x:c r="B80" s="21" t="str">
        <x:v>KB014</x:v>
      </x:c>
      <x:c r="C80" s="21"/>
      <x:c r="D80" s="21" t="str">
        <x:v>Brand Profile / Visual Identity</x:v>
      </x:c>
      <x:c r="E80" s="21" t="str">
        <x:v>Official d'Alba global Instagram profile and current campaign/brand visual identity.</x:v>
      </x:c>
      <x:c r="F80" s="21" t="str">
        <x:v>https://www.instagram.com/dalba_global/</x:v>
      </x:c>
      <x:c r="G80" s="21" t="str">
        <x:v>https://www.instagram.com/dalba_global/</x:v>
      </x:c>
      <x:c r="H80" s="21"/>
      <x:c r="I80" s="21" t="str">
        <x:v>Link only</x:v>
      </x:c>
      <x:c r="J80" s="25"/>
      <x:c r="K80" s="25" t="str">
        <x:v>2026-08-01</x:v>
      </x:c>
      <x:c r="L80" s="21" t="str">
        <x:v>Platform/brand-owned imagery; internal research reference only.</x:v>
      </x:c>
      <x:c r="M80" s="21" t="str">
        <x:v>Review Required</x:v>
      </x:c>
      <x:c r="N80" s="21" t="str">
        <x:v>Yes</x:v>
      </x:c>
      <x:c r="O80" s="21" t="str">
        <x:v>SRC-DAL-024</x:v>
      </x:c>
      <x:c r="P80" s="21" t="str">
        <x:v>Request licensed current U.S. logo, brand guide, campaign rights and claims-approved key visuals.</x:v>
      </x:c>
    </x:row>
    <x:row r="81" ht="100" customHeight="1">
      <x:c r="A81" s="21" t="str">
        <x:v>IMG-DAL-002</x:v>
      </x:c>
      <x:c r="B81" s="21" t="str">
        <x:v>KB014</x:v>
      </x:c>
      <x:c r="C81" s="21" t="str">
        <x:v>DAL-P001</x:v>
      </x:c>
      <x:c r="D81" s="21" t="str">
        <x:v>Product Page Visual</x:v>
      </x:c>
      <x:c r="E81" s="21" t="str">
        <x:v>First Spray Serum packaging, bi-phase texture and application visuals on the official page.</x:v>
      </x:c>
      <x:c r="F81" s="21" t="str">
        <x:v>https://dalba.com/products/dalba-white-truffle-first-spray-serum</x:v>
      </x:c>
      <x:c r="G81" s="21" t="str">
        <x:v>https://dalba.com/products/dalba-white-truffle-first-spray-serum</x:v>
      </x:c>
      <x:c r="H81" s="21"/>
      <x:c r="I81" s="21" t="str">
        <x:v>Link only</x:v>
      </x:c>
      <x:c r="J81" s="25"/>
      <x:c r="K81" s="25" t="str">
        <x:v>2026-08-01</x:v>
      </x:c>
      <x:c r="L81" s="21" t="str">
        <x:v>Brand-owned imagery; internal research reference only.</x:v>
      </x:c>
      <x:c r="M81" s="21" t="str">
        <x:v>Review Required</x:v>
      </x:c>
      <x:c r="N81" s="21" t="str">
        <x:v>No</x:v>
      </x:c>
      <x:c r="O81" s="21" t="str">
        <x:v>SRC-DAL-011</x:v>
      </x:c>
      <x:c r="P81" s="21" t="str">
        <x:v>Request licensed current U.S. packaging, ingredient-accurate texture and claims-approved use visuals.</x:v>
      </x:c>
    </x:row>
    <x:row r="82" ht="100" customHeight="1">
      <x:c r="A82" s="21" t="str">
        <x:v>IMG-DAL-003</x:v>
      </x:c>
      <x:c r="B82" s="21" t="str">
        <x:v>KB014</x:v>
      </x:c>
      <x:c r="C82" s="21" t="str">
        <x:v>DAL-P002</x:v>
      </x:c>
      <x:c r="D82" s="21" t="str">
        <x:v>Product Page Visual</x:v>
      </x:c>
      <x:c r="E82" s="21" t="str">
        <x:v>Multi Balm packaging and targeted-use visuals on the official page.</x:v>
      </x:c>
      <x:c r="F82" s="21" t="str">
        <x:v>https://dalba.com/products/dalbamultibalm</x:v>
      </x:c>
      <x:c r="G82" s="21" t="str">
        <x:v>https://dalba.com/products/dalbamultibalm</x:v>
      </x:c>
      <x:c r="H82" s="21"/>
      <x:c r="I82" s="21" t="str">
        <x:v>Link only</x:v>
      </x:c>
      <x:c r="J82" s="25"/>
      <x:c r="K82" s="25" t="str">
        <x:v>2026-08-01</x:v>
      </x:c>
      <x:c r="L82" s="21" t="str">
        <x:v>Brand-owned imagery; internal research reference only.</x:v>
      </x:c>
      <x:c r="M82" s="21" t="str">
        <x:v>Review Required</x:v>
      </x:c>
      <x:c r="N82" s="21" t="str">
        <x:v>No</x:v>
      </x:c>
      <x:c r="O82" s="21" t="str">
        <x:v>SRC-DAL-012</x:v>
      </x:c>
      <x:c r="P82" s="21" t="str">
        <x:v>Request licensed current U.S. packaging and claims-approved application assets.</x:v>
      </x:c>
    </x:row>
    <x:row r="83" ht="100" customHeight="1">
      <x:c r="A83" s="21" t="str">
        <x:v>IMG-DAL-004</x:v>
      </x:c>
      <x:c r="B83" s="21" t="str">
        <x:v>KB014</x:v>
      </x:c>
      <x:c r="C83" s="21" t="str">
        <x:v>DAL-P003</x:v>
      </x:c>
      <x:c r="D83" s="21" t="str">
        <x:v>Retail Product Visual</x:v>
      </x:c>
      <x:c r="E83" s="21" t="str">
        <x:v>Volufiline Grinding Cream current U.S. packaging and product imagery on Ulta.</x:v>
      </x:c>
      <x:c r="F83" s="21" t="str">
        <x:v>https://www.ulta.com/p/intensive-volufiline-elasticity-boost-grinding-cream-pimprod2056393?sku=2650473</x:v>
      </x:c>
      <x:c r="G83" s="21" t="str">
        <x:v>https://www.ulta.com/p/intensive-volufiline-elasticity-boost-grinding-cream-pimprod2056393?sku=2650473</x:v>
      </x:c>
      <x:c r="H83" s="21"/>
      <x:c r="I83" s="21" t="str">
        <x:v>Link only</x:v>
      </x:c>
      <x:c r="J83" s="25"/>
      <x:c r="K83" s="25" t="str">
        <x:v>2026-08-01</x:v>
      </x:c>
      <x:c r="L83" s="21" t="str">
        <x:v>Retailer/brand imagery; internal research reference only.</x:v>
      </x:c>
      <x:c r="M83" s="21" t="str">
        <x:v>Review Required</x:v>
      </x:c>
      <x:c r="N83" s="21" t="str">
        <x:v>No</x:v>
      </x:c>
      <x:c r="O83" s="21" t="str">
        <x:v>SRC-DAL-013</x:v>
      </x:c>
      <x:c r="P83" s="21" t="str">
        <x:v>Request licensed U.S. packshots and substantiated before/after or claims assets.</x:v>
      </x:c>
    </x:row>
    <x:row r="84" ht="100" customHeight="1">
      <x:c r="A84" s="21" t="str">
        <x:v>IMG-DAL-005</x:v>
      </x:c>
      <x:c r="B84" s="21" t="str">
        <x:v>KB014</x:v>
      </x:c>
      <x:c r="C84" s="21" t="str">
        <x:v>DAL-P004</x:v>
      </x:c>
      <x:c r="D84" s="21" t="str">
        <x:v>Product Page Visual</x:v>
      </x:c>
      <x:c r="E84" s="21" t="str">
        <x:v>Vital Spray Serum product, color and application visuals on the official page.</x:v>
      </x:c>
      <x:c r="F84" s="21" t="str">
        <x:v>https://dalba.com/products/dalba-white-truffle-vital-spray-serum</x:v>
      </x:c>
      <x:c r="G84" s="21" t="str">
        <x:v>https://dalba.com/products/dalba-white-truffle-vital-spray-serum</x:v>
      </x:c>
      <x:c r="H84" s="21"/>
      <x:c r="I84" s="21" t="str">
        <x:v>Link only</x:v>
      </x:c>
      <x:c r="J84" s="25"/>
      <x:c r="K84" s="25" t="str">
        <x:v>2026-08-01</x:v>
      </x:c>
      <x:c r="L84" s="21" t="str">
        <x:v>Brand-owned imagery; internal research reference only.</x:v>
      </x:c>
      <x:c r="M84" s="21" t="str">
        <x:v>Review Required</x:v>
      </x:c>
      <x:c r="N84" s="21" t="str">
        <x:v>No</x:v>
      </x:c>
      <x:c r="O84" s="21" t="str">
        <x:v>SRC-DAL-014</x:v>
      </x:c>
      <x:c r="P84" s="21" t="str">
        <x:v>Request licensed U.S. packaging and fragrance/sensitive-skin-compliant claims assets.</x:v>
      </x:c>
    </x:row>
    <x:row r="85" ht="100" customHeight="1">
      <x:c r="A85" s="21" t="str">
        <x:v>IMG-DAL-006</x:v>
      </x:c>
      <x:c r="B85" s="21" t="str">
        <x:v>KB014</x:v>
      </x:c>
      <x:c r="C85" s="21" t="str">
        <x:v>DAL-P005</x:v>
      </x:c>
      <x:c r="D85" s="21" t="str">
        <x:v>Product Page Visual</x:v>
      </x:c>
      <x:c r="E85" s="21" t="str">
        <x:v>Tone-Up Sunscreen packaging, pink-tint and finish visuals on the official page.</x:v>
      </x:c>
      <x:c r="F85" s="21" t="str">
        <x:v>https://dalba.com/products/dalba-waterfull-tone-up-sunscreen-spf50</x:v>
      </x:c>
      <x:c r="G85" s="21" t="str">
        <x:v>https://dalba.com/products/dalba-waterfull-tone-up-sunscreen-spf50</x:v>
      </x:c>
      <x:c r="H85" s="21"/>
      <x:c r="I85" s="21" t="str">
        <x:v>Link only</x:v>
      </x:c>
      <x:c r="J85" s="25"/>
      <x:c r="K85" s="25" t="str">
        <x:v>2026-08-01</x:v>
      </x:c>
      <x:c r="L85" s="21" t="str">
        <x:v>Brand-owned imagery; internal research reference only.</x:v>
      </x:c>
      <x:c r="M85" s="21" t="str">
        <x:v>Review Required</x:v>
      </x:c>
      <x:c r="N85" s="21" t="str">
        <x:v>No</x:v>
      </x:c>
      <x:c r="O85" s="21" t="str">
        <x:v>SRC-DAL-015,SRC-DAL-041</x:v>
      </x:c>
      <x:c r="P85" s="21" t="str">
        <x:v>Use only licensed assets matching the exact U.S. NDC, Drug Facts, formula, size and artwork.</x:v>
      </x:c>
    </x:row>
    <x:row r="86" ht="102" customHeight="1">
      <x:c r="A86" s="21" t="str">
        <x:v>IMG-SBM-001</x:v>
      </x:c>
      <x:c r="B86" s="21" t="str">
        <x:v>KB015</x:v>
      </x:c>
      <x:c r="C86" s="21"/>
      <x:c r="D86" s="21" t="str">
        <x:v>Brand Profile / Visual Identity</x:v>
      </x:c>
      <x:c r="E86" s="21" t="str">
        <x:v>Official SOME BY MI U.S. Instagram profile and current campaign/brand visual identity.</x:v>
      </x:c>
      <x:c r="F86" s="21" t="str">
        <x:v>https://www.instagram.com/somebymi.official_us/</x:v>
      </x:c>
      <x:c r="G86" s="21" t="str">
        <x:v>https://www.instagram.com/somebymi.official_us/</x:v>
      </x:c>
      <x:c r="H86" s="21"/>
      <x:c r="I86" s="21" t="str">
        <x:v>Link only</x:v>
      </x:c>
      <x:c r="J86" s="25"/>
      <x:c r="K86" s="25" t="str">
        <x:v>2026-08-01</x:v>
      </x:c>
      <x:c r="L86" s="21" t="str">
        <x:v>Platform/brand-owned imagery; internal research reference only.</x:v>
      </x:c>
      <x:c r="M86" s="21" t="str">
        <x:v>Review Required</x:v>
      </x:c>
      <x:c r="N86" s="21" t="str">
        <x:v>Yes</x:v>
      </x:c>
      <x:c r="O86" s="21" t="str">
        <x:v>SRC-SBM-006,SRC-SBM-018</x:v>
      </x:c>
      <x:c r="P86" s="21" t="str">
        <x:v>Request licensed current U.S. logo, brand guide, campaign rights and claims-approved key visuals.</x:v>
      </x:c>
    </x:row>
    <x:row r="87" ht="102" customHeight="1">
      <x:c r="A87" s="21" t="str">
        <x:v>IMG-SBM-002</x:v>
      </x:c>
      <x:c r="B87" s="21" t="str">
        <x:v>KB015</x:v>
      </x:c>
      <x:c r="C87" s="21" t="str">
        <x:v>SBM-P001</x:v>
      </x:c>
      <x:c r="D87" s="21" t="str">
        <x:v>Product Page Visual</x:v>
      </x:c>
      <x:c r="E87" s="21" t="str">
        <x:v>Body Cleanser U.S. packaging, Drug Facts-linked marketplace imagery and product presentation.</x:v>
      </x:c>
      <x:c r="F87" s="21" t="str">
        <x:v>https://www.amazon.com/dp/B087LYWWW4</x:v>
      </x:c>
      <x:c r="G87" s="21" t="str">
        <x:v>https://www.amazon.com/dp/B087LYWWW4</x:v>
      </x:c>
      <x:c r="H87" s="21"/>
      <x:c r="I87" s="21" t="str">
        <x:v>Link only</x:v>
      </x:c>
      <x:c r="J87" s="25"/>
      <x:c r="K87" s="25" t="str">
        <x:v>2026-08-01</x:v>
      </x:c>
      <x:c r="L87" s="21" t="str">
        <x:v>Marketplace/brand imagery; internal research reference only.</x:v>
      </x:c>
      <x:c r="M87" s="21" t="str">
        <x:v>Review Required</x:v>
      </x:c>
      <x:c r="N87" s="21" t="str">
        <x:v>No</x:v>
      </x:c>
      <x:c r="O87" s="21" t="str">
        <x:v>SRC-SBM-011,SRC-SBM-039</x:v>
      </x:c>
      <x:c r="P87" s="21" t="str">
        <x:v>Request licensed images matching exact U.S. NDC 74472-102, formula, size, Drug Facts and artwork.</x:v>
      </x:c>
    </x:row>
    <x:row r="88" ht="102" customHeight="1">
      <x:c r="A88" s="21" t="str">
        <x:v>IMG-SBM-003</x:v>
      </x:c>
      <x:c r="B88" s="21" t="str">
        <x:v>KB015</x:v>
      </x:c>
      <x:c r="C88" s="21" t="str">
        <x:v>SBM-P002</x:v>
      </x:c>
      <x:c r="D88" s="21" t="str">
        <x:v>Retail Product Visual</x:v>
      </x:c>
      <x:c r="E88" s="21" t="str">
        <x:v>Miracle Toner current U.S. retail packaging and ingredient/product imagery.</x:v>
      </x:c>
      <x:c r="F88" s="21" t="str">
        <x:v>https://www.ulta.com/p/aha-bha-pha-30-day-miracle-exfoliating-toner-pimprod2051778?sku=2641258</x:v>
      </x:c>
      <x:c r="G88" s="21" t="str">
        <x:v>https://www.ulta.com/p/aha-bha-pha-30-day-miracle-exfoliating-toner-pimprod2051778?sku=2641258</x:v>
      </x:c>
      <x:c r="H88" s="21"/>
      <x:c r="I88" s="21" t="str">
        <x:v>Link only</x:v>
      </x:c>
      <x:c r="J88" s="25"/>
      <x:c r="K88" s="25" t="str">
        <x:v>2026-08-01</x:v>
      </x:c>
      <x:c r="L88" s="21" t="str">
        <x:v>Retailer/brand imagery; internal research reference only.</x:v>
      </x:c>
      <x:c r="M88" s="21" t="str">
        <x:v>Review Required</x:v>
      </x:c>
      <x:c r="N88" s="21" t="str">
        <x:v>No</x:v>
      </x:c>
      <x:c r="O88" s="21" t="str">
        <x:v>SRC-SBM-020</x:v>
      </x:c>
      <x:c r="P88" s="21" t="str">
        <x:v>Request licensed current U.S. packaging and claims-approved use assets.</x:v>
      </x:c>
    </x:row>
    <x:row r="89" ht="102" customHeight="1">
      <x:c r="A89" s="21" t="str">
        <x:v>IMG-SBM-004</x:v>
      </x:c>
      <x:c r="B89" s="21" t="str">
        <x:v>KB015</x:v>
      </x:c>
      <x:c r="C89" s="21" t="str">
        <x:v>SBM-P003</x:v>
      </x:c>
      <x:c r="D89" s="21" t="str">
        <x:v>Product Page Visual</x:v>
      </x:c>
      <x:c r="E89" s="21" t="str">
        <x:v>Acne Clear Foam current U.S. packaging and marketplace product imagery.</x:v>
      </x:c>
      <x:c r="F89" s="21" t="str">
        <x:v>https://www.amazon.com/dp/B07Q34Y99J</x:v>
      </x:c>
      <x:c r="G89" s="21" t="str">
        <x:v>https://www.amazon.com/dp/B07Q34Y99J</x:v>
      </x:c>
      <x:c r="H89" s="21"/>
      <x:c r="I89" s="21" t="str">
        <x:v>Link only</x:v>
      </x:c>
      <x:c r="J89" s="25"/>
      <x:c r="K89" s="25" t="str">
        <x:v>2026-08-01</x:v>
      </x:c>
      <x:c r="L89" s="21" t="str">
        <x:v>Marketplace/brand imagery; internal research reference only.</x:v>
      </x:c>
      <x:c r="M89" s="21" t="str">
        <x:v>Review Required</x:v>
      </x:c>
      <x:c r="N89" s="21" t="str">
        <x:v>No</x:v>
      </x:c>
      <x:c r="O89" s="21" t="str">
        <x:v>SRC-SBM-013,SRC-SBM-040</x:v>
      </x:c>
      <x:c r="P89" s="21" t="str">
        <x:v>Request licensed images matching exact U.S. NDC 74472-101, size, Drug Facts, formula and artwork.</x:v>
      </x:c>
    </x:row>
    <x:row r="90" ht="102" customHeight="1">
      <x:c r="A90" s="21" t="str">
        <x:v>IMG-SBM-005</x:v>
      </x:c>
      <x:c r="B90" s="21" t="str">
        <x:v>KB015</x:v>
      </x:c>
      <x:c r="C90" s="21" t="str">
        <x:v>SBM-P004</x:v>
      </x:c>
      <x:c r="D90" s="21" t="str">
        <x:v>Product Page Visual</x:v>
      </x:c>
      <x:c r="E90" s="21" t="str">
        <x:v>Miracle Cream current packaging and product presentation.</x:v>
      </x:c>
      <x:c r="F90" s="21" t="str">
        <x:v>https://www.amazon.com/dp/B07KNP5CG3</x:v>
      </x:c>
      <x:c r="G90" s="21" t="str">
        <x:v>https://www.amazon.com/dp/B07KNP5CG3</x:v>
      </x:c>
      <x:c r="H90" s="21"/>
      <x:c r="I90" s="21" t="str">
        <x:v>Link only</x:v>
      </x:c>
      <x:c r="J90" s="25"/>
      <x:c r="K90" s="25" t="str">
        <x:v>2026-08-01</x:v>
      </x:c>
      <x:c r="L90" s="21" t="str">
        <x:v>Marketplace/brand imagery; internal research reference only.</x:v>
      </x:c>
      <x:c r="M90" s="21" t="str">
        <x:v>Review Required</x:v>
      </x:c>
      <x:c r="N90" s="21" t="str">
        <x:v>No</x:v>
      </x:c>
      <x:c r="O90" s="21" t="str">
        <x:v>SRC-SBM-014</x:v>
      </x:c>
      <x:c r="P90" s="21" t="str">
        <x:v>Request licensed current U.S. packaging and substantiated cosmetic claims assets.</x:v>
      </x:c>
    </x:row>
    <x:row r="91" ht="102" customHeight="1">
      <x:c r="A91" s="21" t="str">
        <x:v>IMG-SBM-006</x:v>
      </x:c>
      <x:c r="B91" s="21" t="str">
        <x:v>KB015</x:v>
      </x:c>
      <x:c r="C91" s="21" t="str">
        <x:v>SBM-P005</x:v>
      </x:c>
      <x:c r="D91" s="21" t="str">
        <x:v>Product Page Visual</x:v>
      </x:c>
      <x:c r="E91" s="21" t="str">
        <x:v>Retinol Intense Reactivating Serum current U.S. packaging and product presentation.</x:v>
      </x:c>
      <x:c r="F91" s="21" t="str">
        <x:v>https://www.amazon.com/dp/B0BXGW8DRP</x:v>
      </x:c>
      <x:c r="G91" s="21" t="str">
        <x:v>https://www.amazon.com/dp/B0BXGW8DRP</x:v>
      </x:c>
      <x:c r="H91" s="21"/>
      <x:c r="I91" s="21" t="str">
        <x:v>Link only</x:v>
      </x:c>
      <x:c r="J91" s="25"/>
      <x:c r="K91" s="25" t="str">
        <x:v>2026-08-01</x:v>
      </x:c>
      <x:c r="L91" s="21" t="str">
        <x:v>Marketplace/brand imagery; internal research reference only.</x:v>
      </x:c>
      <x:c r="M91" s="21" t="str">
        <x:v>Review Required</x:v>
      </x:c>
      <x:c r="N91" s="21" t="str">
        <x:v>No</x:v>
      </x:c>
      <x:c r="O91" s="21" t="str">
        <x:v>SRC-SBM-015</x:v>
      </x:c>
      <x:c r="P91" s="21" t="str">
        <x:v>Request licensed U.S. packshots, exact INCI/retinoid disclosure and claims-approved education assets.</x:v>
      </x:c>
    </x:row>
    <x:row r="92" ht="104" customHeight="1">
      <x:c r="A92" s="21" t="str">
        <x:v>IMG-ISN-001</x:v>
      </x:c>
      <x:c r="B92" s="21" t="str">
        <x:v>KB016</x:v>
      </x:c>
      <x:c r="C92" s="21"/>
      <x:c r="D92" s="21" t="str">
        <x:v>Brand Profile / Visual Identity</x:v>
      </x:c>
      <x:c r="E92" s="21" t="str">
        <x:v>Official Isntree Instagram and current ingredient-led brand visual identity.</x:v>
      </x:c>
      <x:c r="F92" s="21" t="str">
        <x:v>https://www.instagram.com/isntree_offical/</x:v>
      </x:c>
      <x:c r="G92" s="21" t="str">
        <x:v>https://linktr.ee/i_sntree</x:v>
      </x:c>
      <x:c r="H92" s="21"/>
      <x:c r="I92" s="21" t="str">
        <x:v>Link only</x:v>
      </x:c>
      <x:c r="J92" s="25"/>
      <x:c r="K92" s="25" t="str">
        <x:v>2026-08-01</x:v>
      </x:c>
      <x:c r="L92" s="21" t="str">
        <x:v>Platform/brand-owned imagery; internal research reference only.</x:v>
      </x:c>
      <x:c r="M92" s="21" t="str">
        <x:v>Review Required</x:v>
      </x:c>
      <x:c r="N92" s="21" t="str">
        <x:v>Yes</x:v>
      </x:c>
      <x:c r="O92" s="21" t="str">
        <x:v>SRC-ISN-004,SRC-ISN-006,SRC-ISN-007</x:v>
      </x:c>
      <x:c r="P92" s="21" t="str">
        <x:v>Request licensed current U.S. logo, brand guide, campaign rights and claims-approved key visuals.</x:v>
      </x:c>
    </x:row>
    <x:row r="93" ht="104" customHeight="1">
      <x:c r="A93" s="21" t="str">
        <x:v>IMG-ISN-002</x:v>
      </x:c>
      <x:c r="B93" s="21" t="str">
        <x:v>KB016</x:v>
      </x:c>
      <x:c r="C93" s="21" t="str">
        <x:v>ISN-P001</x:v>
      </x:c>
      <x:c r="D93" s="21" t="str">
        <x:v>Product Page Visual</x:v>
      </x:c>
      <x:c r="E93" s="21" t="str">
        <x:v>Daily Sun Gel exact U.S. SPF30 packaging and marketplace presentation.</x:v>
      </x:c>
      <x:c r="F93" s="21" t="str">
        <x:v>https://www.amazon.com/dp/B0C7B55GS3</x:v>
      </x:c>
      <x:c r="G93" s="21" t="str">
        <x:v>https://www.amazon.com/dp/B0C7B55GS3</x:v>
      </x:c>
      <x:c r="H93" s="21"/>
      <x:c r="I93" s="21" t="str">
        <x:v>Link only</x:v>
      </x:c>
      <x:c r="J93" s="25"/>
      <x:c r="K93" s="25" t="str">
        <x:v>2026-08-01</x:v>
      </x:c>
      <x:c r="L93" s="21" t="str">
        <x:v>Marketplace/brand imagery; internal research reference only.</x:v>
      </x:c>
      <x:c r="M93" s="21" t="str">
        <x:v>Review Required</x:v>
      </x:c>
      <x:c r="N93" s="21" t="str">
        <x:v>No</x:v>
      </x:c>
      <x:c r="O93" s="21" t="str">
        <x:v>SRC-ISN-010,SRC-ISN-029</x:v>
      </x:c>
      <x:c r="P93" s="21" t="str">
        <x:v>Request licensed images matching U.S. NDC 81100-501, Drug Facts, formula, size and artwork.</x:v>
      </x:c>
    </x:row>
    <x:row r="94" ht="104" customHeight="1">
      <x:c r="A94" s="21" t="str">
        <x:v>IMG-ISN-003</x:v>
      </x:c>
      <x:c r="B94" s="21" t="str">
        <x:v>KB016</x:v>
      </x:c>
      <x:c r="C94" s="21" t="str">
        <x:v>ISN-P002</x:v>
      </x:c>
      <x:c r="D94" s="21" t="str">
        <x:v>Official Product Visual</x:v>
      </x:c>
      <x:c r="E94" s="21" t="str">
        <x:v>Green Tea Fresh Toner packaging, ingredients and product presentation.</x:v>
      </x:c>
      <x:c r="F94" s="21" t="str">
        <x:v>https://isntree-global.com/collections/new/products/isntree-green-tea-fresh-toner-200ml</x:v>
      </x:c>
      <x:c r="G94" s="21" t="str">
        <x:v>https://isntree-global.com/collections/new/products/isntree-green-tea-fresh-toner-200ml</x:v>
      </x:c>
      <x:c r="H94" s="21"/>
      <x:c r="I94" s="21" t="str">
        <x:v>Link only</x:v>
      </x:c>
      <x:c r="J94" s="25"/>
      <x:c r="K94" s="25" t="str">
        <x:v>2026-08-01</x:v>
      </x:c>
      <x:c r="L94" s="21" t="str">
        <x:v>Brand-owned imagery; internal research reference only.</x:v>
      </x:c>
      <x:c r="M94" s="21" t="str">
        <x:v>Review Required</x:v>
      </x:c>
      <x:c r="N94" s="21" t="str">
        <x:v>No</x:v>
      </x:c>
      <x:c r="O94" s="21" t="str">
        <x:v>SRC-ISN-023,SRC-ISN-024</x:v>
      </x:c>
      <x:c r="P94" s="21" t="str">
        <x:v>Request licensed exact U.S. packaging and claims-approved assets.</x:v>
      </x:c>
    </x:row>
    <x:row r="95" ht="104" customHeight="1">
      <x:c r="A95" s="21" t="str">
        <x:v>IMG-ISN-004</x:v>
      </x:c>
      <x:c r="B95" s="21" t="str">
        <x:v>KB016</x:v>
      </x:c>
      <x:c r="C95" s="21" t="str">
        <x:v>ISN-P003</x:v>
      </x:c>
      <x:c r="D95" s="21" t="str">
        <x:v>Official Product Visual</x:v>
      </x:c>
      <x:c r="E95" s="21" t="str">
        <x:v>Ultra-Low Molecular Hyaluronic Acid Serum packaging and product presentation.</x:v>
      </x:c>
      <x:c r="F95" s="21" t="str">
        <x:v>https://isntree-global.com/products/isntree-ultra-low-molecular-hyaluronic-acid-serum-50ml</x:v>
      </x:c>
      <x:c r="G95" s="21" t="str">
        <x:v>https://isntree-global.com/products/isntree-ultra-low-molecular-hyaluronic-acid-serum-50ml</x:v>
      </x:c>
      <x:c r="H95" s="21"/>
      <x:c r="I95" s="21" t="str">
        <x:v>Link only</x:v>
      </x:c>
      <x:c r="J95" s="25"/>
      <x:c r="K95" s="25" t="str">
        <x:v>2026-08-01</x:v>
      </x:c>
      <x:c r="L95" s="21" t="str">
        <x:v>Brand-owned imagery; internal research reference only.</x:v>
      </x:c>
      <x:c r="M95" s="21" t="str">
        <x:v>Review Required</x:v>
      </x:c>
      <x:c r="N95" s="21" t="str">
        <x:v>No</x:v>
      </x:c>
      <x:c r="O95" s="21" t="str">
        <x:v>SRC-ISN-049</x:v>
      </x:c>
      <x:c r="P95" s="21" t="str">
        <x:v>Request licensed U.S. packshots and substantiated hydration claims.</x:v>
      </x:c>
    </x:row>
    <x:row r="96" ht="104" customHeight="1">
      <x:c r="A96" s="21" t="str">
        <x:v>IMG-ISN-005</x:v>
      </x:c>
      <x:c r="B96" s="21" t="str">
        <x:v>KB016</x:v>
      </x:c>
      <x:c r="C96" s="21" t="str">
        <x:v>ISN-P004</x:v>
      </x:c>
      <x:c r="D96" s="21" t="str">
        <x:v>Official Product Visual</x:v>
      </x:c>
      <x:c r="E96" s="21" t="str">
        <x:v>Hyaluronic Acid Aqua Gel Cream packaging and product presentation.</x:v>
      </x:c>
      <x:c r="F96" s="21" t="str">
        <x:v>https://isntree-global.com/products/isntree-hyaluronic-acid-aqua-gel-cream-100ml</x:v>
      </x:c>
      <x:c r="G96" s="21" t="str">
        <x:v>https://isntree-global.com/products/isntree-hyaluronic-acid-aqua-gel-cream-100ml</x:v>
      </x:c>
      <x:c r="H96" s="21"/>
      <x:c r="I96" s="21" t="str">
        <x:v>Link only</x:v>
      </x:c>
      <x:c r="J96" s="25"/>
      <x:c r="K96" s="25" t="str">
        <x:v>2026-08-01</x:v>
      </x:c>
      <x:c r="L96" s="21" t="str">
        <x:v>Brand-owned imagery; internal research reference only.</x:v>
      </x:c>
      <x:c r="M96" s="21" t="str">
        <x:v>Review Required</x:v>
      </x:c>
      <x:c r="N96" s="21" t="str">
        <x:v>No</x:v>
      </x:c>
      <x:c r="O96" s="21" t="str">
        <x:v>SRC-ISN-026</x:v>
      </x:c>
      <x:c r="P96" s="21" t="str">
        <x:v>Request licensed exact U.S. packaging and claims-approved assets.</x:v>
      </x:c>
    </x:row>
    <x:row r="97" ht="104" customHeight="1">
      <x:c r="A97" s="21" t="str">
        <x:v>IMG-ISN-006</x:v>
      </x:c>
      <x:c r="B97" s="21" t="str">
        <x:v>KB016</x:v>
      </x:c>
      <x:c r="C97" s="21" t="str">
        <x:v>ISN-P005</x:v>
      </x:c>
      <x:c r="D97" s="21" t="str">
        <x:v>Official Product Visual</x:v>
      </x:c>
      <x:c r="E97" s="21" t="str">
        <x:v>Yam Root Vegan Milk Cleanser packaging, texture and product presentation.</x:v>
      </x:c>
      <x:c r="F97" s="21" t="str">
        <x:v>https://isntree-global.com/products/isntree-yam-root-vegan-milk-cleanser-220ml</x:v>
      </x:c>
      <x:c r="G97" s="21" t="str">
        <x:v>https://isntree-global.com/products/isntree-yam-root-vegan-milk-cleanser-220ml</x:v>
      </x:c>
      <x:c r="H97" s="21"/>
      <x:c r="I97" s="21" t="str">
        <x:v>Link only</x:v>
      </x:c>
      <x:c r="J97" s="25"/>
      <x:c r="K97" s="25" t="str">
        <x:v>2026-08-01</x:v>
      </x:c>
      <x:c r="L97" s="21" t="str">
        <x:v>Brand-owned imagery; internal research reference only.</x:v>
      </x:c>
      <x:c r="M97" s="21" t="str">
        <x:v>Review Required</x:v>
      </x:c>
      <x:c r="N97" s="21" t="str">
        <x:v>No</x:v>
      </x:c>
      <x:c r="O97" s="21" t="str">
        <x:v>SRC-ISN-027</x:v>
      </x:c>
      <x:c r="P97" s="21" t="str">
        <x:v>Request licensed exact U.S. packaging, vegan substantiation and use assets.</x:v>
      </x:c>
    </x:row>
    <x:row r="98" ht="108" customHeight="1">
      <x:c r="A98" s="21" t="str">
        <x:v>IMG-GDL-001</x:v>
      </x:c>
      <x:c r="B98" s="21" t="str">
        <x:v>KB017</x:v>
      </x:c>
      <x:c r="C98" s="21"/>
      <x:c r="D98" s="21" t="str">
        <x:v>Brand Profile / Visual Identity</x:v>
      </x:c>
      <x:c r="E98" s="21" t="str">
        <x:v>Official CLIO Goodal brand page and current clean-brightening visual identity.</x:v>
      </x:c>
      <x:c r="F98" s="21" t="str">
        <x:v>https://cliocosmetic.com/goodal_en.html</x:v>
      </x:c>
      <x:c r="G98" s="21" t="str">
        <x:v>https://cliocosmetic.com/goodal_en.html</x:v>
      </x:c>
      <x:c r="H98" s="21"/>
      <x:c r="I98" s="21" t="str">
        <x:v>Link only</x:v>
      </x:c>
      <x:c r="J98" s="25"/>
      <x:c r="K98" s="25" t="str">
        <x:v>2026-08-01</x:v>
      </x:c>
      <x:c r="L98" s="21" t="str">
        <x:v>Brand-owned imagery; internal research reference only.</x:v>
      </x:c>
      <x:c r="M98" s="21" t="str">
        <x:v>Review Required</x:v>
      </x:c>
      <x:c r="N98" s="21" t="str">
        <x:v>Yes</x:v>
      </x:c>
      <x:c r="O98" s="21" t="str">
        <x:v>SRC-GDL-001,SRC-GDL-002,SRC-GDL-003</x:v>
      </x:c>
      <x:c r="P98" s="21" t="str">
        <x:v>Request licensed current U.S. logo, brand guide, campaign rights and claims-approved key visuals.</x:v>
      </x:c>
    </x:row>
    <x:row r="99" ht="108" customHeight="1">
      <x:c r="A99" s="21" t="str">
        <x:v>IMG-GDL-002</x:v>
      </x:c>
      <x:c r="B99" s="21" t="str">
        <x:v>KB017</x:v>
      </x:c>
      <x:c r="C99" s="21" t="str">
        <x:v>GDL-P001</x:v>
      </x:c>
      <x:c r="D99" s="21" t="str">
        <x:v>Product Page Visual</x:v>
      </x:c>
      <x:c r="E99" s="21" t="str">
        <x:v>Serum Alpha exact Amazon presentation and new Green Tangerine Alpha packaging.</x:v>
      </x:c>
      <x:c r="F99" s="21" t="str">
        <x:v>https://www.amazon.com/dp/B0GGGCV238</x:v>
      </x:c>
      <x:c r="G99" s="21" t="str">
        <x:v>https://www.amazon.com/dp/B0GGGCV238</x:v>
      </x:c>
      <x:c r="H99" s="21"/>
      <x:c r="I99" s="21" t="str">
        <x:v>Link only</x:v>
      </x:c>
      <x:c r="J99" s="25"/>
      <x:c r="K99" s="25" t="str">
        <x:v>2026-08-01</x:v>
      </x:c>
      <x:c r="L99" s="21" t="str">
        <x:v>Marketplace/brand imagery; internal research reference only.</x:v>
      </x:c>
      <x:c r="M99" s="21" t="str">
        <x:v>Review Required</x:v>
      </x:c>
      <x:c r="N99" s="21" t="str">
        <x:v>No</x:v>
      </x:c>
      <x:c r="O99" s="21" t="str">
        <x:v>SRC-GDL-007,SRC-GDL-010</x:v>
      </x:c>
      <x:c r="P99" s="21" t="str">
        <x:v>Request licensed exact U.S. packshots, INCI and substantiated claims assets.</x:v>
      </x:c>
    </x:row>
    <x:row r="100" ht="108" customHeight="1">
      <x:c r="A100" s="21" t="str">
        <x:v>IMG-GDL-003</x:v>
      </x:c>
      <x:c r="B100" s="21" t="str">
        <x:v>KB017</x:v>
      </x:c>
      <x:c r="C100" s="21" t="str">
        <x:v>GDL-P002</x:v>
      </x:c>
      <x:c r="D100" s="21" t="str">
        <x:v>Product Page Visual</x:v>
      </x:c>
      <x:c r="E100" s="21" t="str">
        <x:v>Eye Patches Alpha packaging and Amazon presentation.</x:v>
      </x:c>
      <x:c r="F100" s="21" t="str">
        <x:v>https://www.amazon.com/dp/B0G92CK3J8</x:v>
      </x:c>
      <x:c r="G100" s="21" t="str">
        <x:v>https://www.amazon.com/dp/B0G92CK3J8</x:v>
      </x:c>
      <x:c r="H100" s="21"/>
      <x:c r="I100" s="21" t="str">
        <x:v>Link only</x:v>
      </x:c>
      <x:c r="J100" s="25"/>
      <x:c r="K100" s="25" t="str">
        <x:v>2026-08-01</x:v>
      </x:c>
      <x:c r="L100" s="21" t="str">
        <x:v>Marketplace/brand imagery; internal research reference only.</x:v>
      </x:c>
      <x:c r="M100" s="21" t="str">
        <x:v>Review Required</x:v>
      </x:c>
      <x:c r="N100" s="21" t="str">
        <x:v>No</x:v>
      </x:c>
      <x:c r="O100" s="21" t="str">
        <x:v>SRC-GDL-011</x:v>
      </x:c>
      <x:c r="P100" s="21" t="str">
        <x:v>Request licensed U.S. packshots and claims-approved under-eye imagery.</x:v>
      </x:c>
    </x:row>
    <x:row r="101" ht="108" customHeight="1">
      <x:c r="A101" s="21" t="str">
        <x:v>IMG-GDL-004</x:v>
      </x:c>
      <x:c r="B101" s="21" t="str">
        <x:v>KB017</x:v>
      </x:c>
      <x:c r="C101" s="21" t="str">
        <x:v>GDL-P003</x:v>
      </x:c>
      <x:c r="D101" s="21" t="str">
        <x:v>Product Page Visual</x:v>
      </x:c>
      <x:c r="E101" s="21" t="str">
        <x:v>Cream Advanced packaging and Amazon presentation.</x:v>
      </x:c>
      <x:c r="F101" s="21" t="str">
        <x:v>https://www.amazon.com/dp/B0GGM7V79C</x:v>
      </x:c>
      <x:c r="G101" s="21" t="str">
        <x:v>https://www.amazon.com/dp/B0GGM7V79C</x:v>
      </x:c>
      <x:c r="H101" s="21"/>
      <x:c r="I101" s="21" t="str">
        <x:v>Link only</x:v>
      </x:c>
      <x:c r="J101" s="25"/>
      <x:c r="K101" s="25" t="str">
        <x:v>2026-08-01</x:v>
      </x:c>
      <x:c r="L101" s="21" t="str">
        <x:v>Marketplace/brand imagery; internal research reference only.</x:v>
      </x:c>
      <x:c r="M101" s="21" t="str">
        <x:v>Review Required</x:v>
      </x:c>
      <x:c r="N101" s="21" t="str">
        <x:v>No</x:v>
      </x:c>
      <x:c r="O101" s="21" t="str">
        <x:v>SRC-GDL-012</x:v>
      </x:c>
      <x:c r="P101" s="21" t="str">
        <x:v>Request licensed exact-version packshots and formula/claim map.</x:v>
      </x:c>
    </x:row>
    <x:row r="102" ht="108" customHeight="1">
      <x:c r="A102" s="21" t="str">
        <x:v>IMG-GDL-005</x:v>
      </x:c>
      <x:c r="B102" s="21" t="str">
        <x:v>KB017</x:v>
      </x:c>
      <x:c r="C102" s="21" t="str">
        <x:v>GDL-P004</x:v>
      </x:c>
      <x:c r="D102" s="21" t="str">
        <x:v>Exact U.S. OTC Product Visual</x:v>
      </x:c>
      <x:c r="E102" s="21" t="str">
        <x:v>UV Defense SPF50 packaging and exact U.S. Drug Facts/NDC reference.</x:v>
      </x:c>
      <x:c r="F102" s="21" t="str">
        <x:v>https://www.amazon.com/dp/B0F6N25L2P</x:v>
      </x:c>
      <x:c r="G102" s="21" t="str">
        <x:v>https://dailymed.nlm.nih.gov/dailymed/fda/fdaDrugXsl.cfm?setid=77a0d190-f558-474b-89d2-c79b37c50c0d&amp;type=display</x:v>
      </x:c>
      <x:c r="H102" s="21"/>
      <x:c r="I102" s="21" t="str">
        <x:v>Link only</x:v>
      </x:c>
      <x:c r="J102" s="25"/>
      <x:c r="K102" s="25" t="str">
        <x:v>2026-08-01</x:v>
      </x:c>
      <x:c r="L102" s="21" t="str">
        <x:v>Marketplace/official label imagery; internal regulatory reference only.</x:v>
      </x:c>
      <x:c r="M102" s="21" t="str">
        <x:v>Review Required</x:v>
      </x:c>
      <x:c r="N102" s="21" t="str">
        <x:v>No</x:v>
      </x:c>
      <x:c r="O102" s="21" t="str">
        <x:v>SRC-GDL-013,SRC-GDL-030</x:v>
      </x:c>
      <x:c r="P102" s="21" t="str">
        <x:v>Request licensed images matching NDC 84532-001, formula, Drug Facts, size and artwork.</x:v>
      </x:c>
    </x:row>
    <x:row r="103" ht="108" customHeight="1">
      <x:c r="A103" s="21" t="str">
        <x:v>IMG-GDL-006</x:v>
      </x:c>
      <x:c r="B103" s="21" t="str">
        <x:v>KB017</x:v>
      </x:c>
      <x:c r="C103" s="21" t="str">
        <x:v>GDL-P005</x:v>
      </x:c>
      <x:c r="D103" s="21" t="str">
        <x:v>Product Page Visual</x:v>
      </x:c>
      <x:c r="E103" s="21" t="str">
        <x:v>Toner Pads Advanced packaging and Amazon presentation.</x:v>
      </x:c>
      <x:c r="F103" s="21" t="str">
        <x:v>https://www.amazon.com/dp/B0GGMRBF96</x:v>
      </x:c>
      <x:c r="G103" s="21" t="str">
        <x:v>https://www.amazon.com/dp/B0GGMRBF96</x:v>
      </x:c>
      <x:c r="H103" s="21"/>
      <x:c r="I103" s="21" t="str">
        <x:v>Link only</x:v>
      </x:c>
      <x:c r="J103" s="25"/>
      <x:c r="K103" s="25" t="str">
        <x:v>2026-08-01</x:v>
      </x:c>
      <x:c r="L103" s="21" t="str">
        <x:v>Marketplace/brand imagery; internal research reference only.</x:v>
      </x:c>
      <x:c r="M103" s="21" t="str">
        <x:v>Review Required</x:v>
      </x:c>
      <x:c r="N103" s="21" t="str">
        <x:v>No</x:v>
      </x:c>
      <x:c r="O103" s="21" t="str">
        <x:v>SRC-GDL-014,SRC-GDL-018</x:v>
      </x:c>
      <x:c r="P103" s="21" t="str">
        <x:v>Request licensed exact Advanced-version packshots and claims-approved use imagery.</x:v>
      </x:c>
    </x:row>
    <x:row r="104" ht="130" customHeight="1">
      <x:c r="A104" s="21" t="str">
        <x:v>IMG-IMF-001</x:v>
      </x:c>
      <x:c r="B104" s="21" t="str">
        <x:v>KB018</x:v>
      </x:c>
      <x:c r="C104" s="21"/>
      <x:c r="D104" s="21" t="str">
        <x:v>Brand Profile / Visual Identity</x:v>
      </x:c>
      <x:c r="E104" s="21" t="str">
        <x:v>Official I'm From brand identity and ingredient-origin design system.</x:v>
      </x:c>
      <x:c r="F104" s="21" t="str">
        <x:v>https://m.imfrom.co.kr/brand/brand_about.html</x:v>
      </x:c>
      <x:c r="G104" s="21" t="str">
        <x:v>https://m.imfrom.co.kr/brand/brand_about.html</x:v>
      </x:c>
      <x:c r="H104" s="21"/>
      <x:c r="I104" s="21" t="str">
        <x:v>Link only</x:v>
      </x:c>
      <x:c r="J104" s="25"/>
      <x:c r="K104" s="25" t="str">
        <x:v>2026-08-01</x:v>
      </x:c>
      <x:c r="L104" s="21" t="str">
        <x:v>Brand-owned imagery; internal research reference only.</x:v>
      </x:c>
      <x:c r="M104" s="21" t="str">
        <x:v>Review Required</x:v>
      </x:c>
      <x:c r="N104" s="21" t="str">
        <x:v>Yes</x:v>
      </x:c>
      <x:c r="O104" s="21" t="str">
        <x:v>SRC-IMF-001,SRC-IMF-002</x:v>
      </x:c>
      <x:c r="P104" s="21" t="str">
        <x:v>Request licensed U.S. logo files, brand guide and claims-approved campaign imagery.</x:v>
      </x:c>
    </x:row>
    <x:row r="105" ht="130" customHeight="1">
      <x:c r="A105" s="21" t="str">
        <x:v>IMG-IMF-002</x:v>
      </x:c>
      <x:c r="B105" s="21" t="str">
        <x:v>KB018</x:v>
      </x:c>
      <x:c r="C105" s="21" t="str">
        <x:v>IMF-P001</x:v>
      </x:c>
      <x:c r="D105" s="21" t="str">
        <x:v>Product Page Visual</x:v>
      </x:c>
      <x:c r="E105" s="21" t="str">
        <x:v>New Rice Toner packaging and Amazon presentation.</x:v>
      </x:c>
      <x:c r="F105" s="21" t="str">
        <x:v>https://www.amazon.com/dp/B0GL23FXCZ</x:v>
      </x:c>
      <x:c r="G105" s="21" t="str">
        <x:v>https://www.amazon.com/dp/B0GL23FXCZ</x:v>
      </x:c>
      <x:c r="H105" s="21"/>
      <x:c r="I105" s="21" t="str">
        <x:v>Link only</x:v>
      </x:c>
      <x:c r="J105" s="25"/>
      <x:c r="K105" s="25" t="str">
        <x:v>2026-08-01</x:v>
      </x:c>
      <x:c r="L105" s="21" t="str">
        <x:v>Marketplace/brand imagery; internal research reference only.</x:v>
      </x:c>
      <x:c r="M105" s="21" t="str">
        <x:v>Review Required</x:v>
      </x:c>
      <x:c r="N105" s="21" t="str">
        <x:v>No</x:v>
      </x:c>
      <x:c r="O105" s="21" t="str">
        <x:v>SRC-IMF-010</x:v>
      </x:c>
      <x:c r="P105" s="21" t="str">
        <x:v>Request licensed exact-current U.S. packshots and old/new UPC map.</x:v>
      </x:c>
    </x:row>
    <x:row r="106" ht="130" customHeight="1">
      <x:c r="A106" s="21" t="str">
        <x:v>IMG-IMF-003</x:v>
      </x:c>
      <x:c r="B106" s="21" t="str">
        <x:v>KB018</x:v>
      </x:c>
      <x:c r="C106" s="21" t="str">
        <x:v>IMF-P002</x:v>
      </x:c>
      <x:c r="D106" s="21" t="str">
        <x:v>Product Page Visual</x:v>
      </x:c>
      <x:c r="E106" s="21" t="str">
        <x:v>Black Rice Toner Amazon presentation.</x:v>
      </x:c>
      <x:c r="F106" s="21" t="str">
        <x:v>https://www.amazon.com/dp/B0DY7HR89T</x:v>
      </x:c>
      <x:c r="G106" s="21" t="str">
        <x:v>https://www.amazon.com/dp/B0DY7HR89T</x:v>
      </x:c>
      <x:c r="H106" s="21"/>
      <x:c r="I106" s="21" t="str">
        <x:v>Link only</x:v>
      </x:c>
      <x:c r="J106" s="25"/>
      <x:c r="K106" s="25" t="str">
        <x:v>2026-08-01</x:v>
      </x:c>
      <x:c r="L106" s="21" t="str">
        <x:v>Marketplace/brand imagery; internal research reference only.</x:v>
      </x:c>
      <x:c r="M106" s="21" t="str">
        <x:v>Review Required</x:v>
      </x:c>
      <x:c r="N106" s="21" t="str">
        <x:v>No</x:v>
      </x:c>
      <x:c r="O106" s="21" t="str">
        <x:v>SRC-IMF-011</x:v>
      </x:c>
      <x:c r="P106" s="21" t="str">
        <x:v>Request licensed packshot, exact INCI and seller/authorization confirmation.</x:v>
      </x:c>
    </x:row>
    <x:row r="107" ht="130" customHeight="1">
      <x:c r="A107" s="21" t="str">
        <x:v>IMG-IMF-004</x:v>
      </x:c>
      <x:c r="B107" s="21" t="str">
        <x:v>KB018</x:v>
      </x:c>
      <x:c r="C107" s="21" t="str">
        <x:v>IMF-P003</x:v>
      </x:c>
      <x:c r="D107" s="21" t="str">
        <x:v>Product Page Visual</x:v>
      </x:c>
      <x:c r="E107" s="21" t="str">
        <x:v>Mugwort Essence official TikTok Shop presentation.</x:v>
      </x:c>
      <x:c r="F107" s="21" t="str">
        <x:v>https://shop.tiktok.com/us/pdp/mugwort-essence-by-im-from-korean-vegan-toner-for-sensitive-skin/1729438201938546925</x:v>
      </x:c>
      <x:c r="G107" s="21" t="str">
        <x:v>https://shop.tiktok.com/us/pdp/mugwort-essence-by-im-from-korean-vegan-toner-for-sensitive-skin/1729438201938546925</x:v>
      </x:c>
      <x:c r="H107" s="21"/>
      <x:c r="I107" s="21" t="str">
        <x:v>Link only</x:v>
      </x:c>
      <x:c r="J107" s="25"/>
      <x:c r="K107" s="25" t="str">
        <x:v>2026-08-01</x:v>
      </x:c>
      <x:c r="L107" s="21" t="str">
        <x:v>Brand/social-commerce imagery; internal research reference only.</x:v>
      </x:c>
      <x:c r="M107" s="21" t="str">
        <x:v>Review Required</x:v>
      </x:c>
      <x:c r="N107" s="21" t="str">
        <x:v>No</x:v>
      </x:c>
      <x:c r="O107" s="21" t="str">
        <x:v>SRC-IMF-021</x:v>
      </x:c>
      <x:c r="P107" s="21" t="str">
        <x:v>Request licensed 150 mL current-version packshots and claim map.</x:v>
      </x:c>
    </x:row>
    <x:row r="108" ht="130" customHeight="1">
      <x:c r="A108" s="21" t="str">
        <x:v>IMG-IMF-005</x:v>
      </x:c>
      <x:c r="B108" s="21" t="str">
        <x:v>KB018</x:v>
      </x:c>
      <x:c r="C108" s="21" t="str">
        <x:v>IMF-P004</x:v>
      </x:c>
      <x:c r="D108" s="21" t="str">
        <x:v>Product Page Visual</x:v>
      </x:c>
      <x:c r="E108" s="21" t="str">
        <x:v>Rice Cream Ulta product presentation.</x:v>
      </x:c>
      <x:c r="F108" s="21" t="str">
        <x:v>https://www.ulta.com/p/rice-cream-pimprod2051770?sku=2642148</x:v>
      </x:c>
      <x:c r="G108" s="21" t="str">
        <x:v>https://www.ulta.com/p/rice-cream-pimprod2051770?sku=2642148</x:v>
      </x:c>
      <x:c r="H108" s="21"/>
      <x:c r="I108" s="21" t="str">
        <x:v>Link only</x:v>
      </x:c>
      <x:c r="J108" s="25"/>
      <x:c r="K108" s="25" t="str">
        <x:v>2026-08-01</x:v>
      </x:c>
      <x:c r="L108" s="21" t="str">
        <x:v>Retailer/brand imagery; internal research reference only.</x:v>
      </x:c>
      <x:c r="M108" s="21" t="str">
        <x:v>Review Required</x:v>
      </x:c>
      <x:c r="N108" s="21" t="str">
        <x:v>No</x:v>
      </x:c>
      <x:c r="O108" s="21" t="str">
        <x:v>SRC-IMF-028</x:v>
      </x:c>
      <x:c r="P108" s="21" t="str">
        <x:v>Request licensed exact-version packshot, texture and INCI assets.</x:v>
      </x:c>
    </x:row>
    <x:row r="109" ht="130" customHeight="1">
      <x:c r="A109" s="21" t="str">
        <x:v>IMG-IMF-006</x:v>
      </x:c>
      <x:c r="B109" s="21" t="str">
        <x:v>KB018</x:v>
      </x:c>
      <x:c r="C109" s="21" t="str">
        <x:v>IMF-P005</x:v>
      </x:c>
      <x:c r="D109" s="21" t="str">
        <x:v>Product Page Visual</x:v>
      </x:c>
      <x:c r="E109" s="21" t="str">
        <x:v>Current Honey Mask/assortment presentation.</x:v>
      </x:c>
      <x:c r="F109" s="21" t="str">
        <x:v>https://www.target.com/c/skin-care-beauty/i-m-from/-/N-5xtzjZq643ler9lxa</x:v>
      </x:c>
      <x:c r="G109" s="21" t="str">
        <x:v>https://www.target.com/c/skin-care-beauty/i-m-from/-/N-5xtzjZq643ler9lxa</x:v>
      </x:c>
      <x:c r="H109" s="21"/>
      <x:c r="I109" s="21" t="str">
        <x:v>Link only</x:v>
      </x:c>
      <x:c r="J109" s="25"/>
      <x:c r="K109" s="25" t="str">
        <x:v>2026-08-01</x:v>
      </x:c>
      <x:c r="L109" s="21" t="str">
        <x:v>Retailer/brand imagery; internal research reference only.</x:v>
      </x:c>
      <x:c r="M109" s="21" t="str">
        <x:v>Review Required</x:v>
      </x:c>
      <x:c r="N109" s="21" t="str">
        <x:v>No</x:v>
      </x:c>
      <x:c r="O109" s="21" t="str">
        <x:v>SRC-IMF-025,SRC-IMF-029</x:v>
      </x:c>
      <x:c r="P109" s="21" t="str">
        <x:v>Request licensed current 70 g packshot and old/new formula/net-content map.</x:v>
      </x:c>
    </x:row>
    <x:row r="110" ht="132" customHeight="1">
      <x:c r="A110" s="21" t="str">
        <x:v>IMG-DKL-001</x:v>
      </x:c>
      <x:c r="B110" s="21" t="str">
        <x:v>KB019</x:v>
      </x:c>
      <x:c r="C110" s="21"/>
      <x:c r="D110" s="21" t="str">
        <x:v>Brand Profile / Visual Identity</x:v>
      </x:c>
      <x:c r="E110" s="21" t="str">
        <x:v>Official Dear Klairs U.S. brand identity and sensitive-skin positioning.</x:v>
      </x:c>
      <x:c r="F110" s="21" t="str">
        <x:v>https://www.klairs.com/pages/about-us</x:v>
      </x:c>
      <x:c r="G110" s="21" t="str">
        <x:v>https://www.klairs.com/pages/about-us</x:v>
      </x:c>
      <x:c r="H110" s="21"/>
      <x:c r="I110" s="21" t="str">
        <x:v>Link only</x:v>
      </x:c>
      <x:c r="J110" s="25"/>
      <x:c r="K110" s="25" t="str">
        <x:v>2026-08-01</x:v>
      </x:c>
      <x:c r="L110" s="21" t="str">
        <x:v>Brand-owned imagery; internal research reference only.</x:v>
      </x:c>
      <x:c r="M110" s="21" t="str">
        <x:v>Review Required</x:v>
      </x:c>
      <x:c r="N110" s="21" t="str">
        <x:v>Yes</x:v>
      </x:c>
      <x:c r="O110" s="21" t="str">
        <x:v>SRC-DKL-001,SRC-DKL-002</x:v>
      </x:c>
      <x:c r="P110" s="21" t="str">
        <x:v>Request licensed U.S. logo files, brand guide and claims-approved imagery.</x:v>
      </x:c>
    </x:row>
    <x:row r="111" ht="132" customHeight="1">
      <x:c r="A111" s="21" t="str">
        <x:v>IMG-DKL-002</x:v>
      </x:c>
      <x:c r="B111" s="21" t="str">
        <x:v>KB019</x:v>
      </x:c>
      <x:c r="C111" s="21" t="str">
        <x:v>DKL-P001</x:v>
      </x:c>
      <x:c r="D111" s="21" t="str">
        <x:v>Product Page Visual</x:v>
      </x:c>
      <x:c r="E111" s="21" t="str">
        <x:v>Supple Preparation Unscented Toner current U.S. packaging and listing presentation.</x:v>
      </x:c>
      <x:c r="F111" s="21" t="str">
        <x:v>https://www.klairs.com/products/supple-preparation-unscented-toner</x:v>
      </x:c>
      <x:c r="G111" s="21" t="str">
        <x:v>https://www.klairs.com/products/supple-preparation-unscented-toner</x:v>
      </x:c>
      <x:c r="H111" s="21"/>
      <x:c r="I111" s="21" t="str">
        <x:v>Link only</x:v>
      </x:c>
      <x:c r="J111" s="25"/>
      <x:c r="K111" s="25" t="str">
        <x:v>2026-08-01</x:v>
      </x:c>
      <x:c r="L111" s="21" t="str">
        <x:v>Brand-owned imagery; internal research reference only.</x:v>
      </x:c>
      <x:c r="M111" s="21" t="str">
        <x:v>Review Required</x:v>
      </x:c>
      <x:c r="N111" s="21" t="str">
        <x:v>No</x:v>
      </x:c>
      <x:c r="O111" s="21" t="str">
        <x:v>SRC-DKL-011,SRC-DKL-016</x:v>
      </x:c>
      <x:c r="P111" s="21" t="str">
        <x:v>Request licensed packshot, exact current label/UPC and line-unit-claim approval.</x:v>
      </x:c>
    </x:row>
    <x:row r="112" ht="132" customHeight="1">
      <x:c r="A112" s="21" t="str">
        <x:v>IMG-DKL-003</x:v>
      </x:c>
      <x:c r="B112" s="21" t="str">
        <x:v>KB019</x:v>
      </x:c>
      <x:c r="C112" s="21" t="str">
        <x:v>DKL-P002</x:v>
      </x:c>
      <x:c r="D112" s="21" t="str">
        <x:v>Product Page Visual</x:v>
      </x:c>
      <x:c r="E112" s="21" t="str">
        <x:v>Freshly Juiced Vitamin Drop current U.S. product and dropper presentation.</x:v>
      </x:c>
      <x:c r="F112" s="21" t="str">
        <x:v>https://www.klairs.com/products/freshly-juiced-vitamin-drop</x:v>
      </x:c>
      <x:c r="G112" s="21" t="str">
        <x:v>https://www.klairs.com/products/freshly-juiced-vitamin-drop</x:v>
      </x:c>
      <x:c r="H112" s="21"/>
      <x:c r="I112" s="21" t="str">
        <x:v>Link only</x:v>
      </x:c>
      <x:c r="J112" s="25"/>
      <x:c r="K112" s="25" t="str">
        <x:v>2026-08-01</x:v>
      </x:c>
      <x:c r="L112" s="21" t="str">
        <x:v>Brand-owned imagery; internal research reference only.</x:v>
      </x:c>
      <x:c r="M112" s="21" t="str">
        <x:v>Review Required</x:v>
      </x:c>
      <x:c r="N112" s="21" t="str">
        <x:v>No</x:v>
      </x:c>
      <x:c r="O112" s="21" t="str">
        <x:v>SRC-DKL-012,SRC-DKL-017</x:v>
      </x:c>
      <x:c r="P112" s="21" t="str">
        <x:v>Request licensed packshot, oxidation/color guide, storage instructions and claims-approved assets.</x:v>
      </x:c>
    </x:row>
    <x:row r="113" ht="132" customHeight="1">
      <x:c r="A113" s="21" t="str">
        <x:v>IMG-DKL-004</x:v>
      </x:c>
      <x:c r="B113" s="21" t="str">
        <x:v>KB019</x:v>
      </x:c>
      <x:c r="C113" s="21" t="str">
        <x:v>DKL-P003</x:v>
      </x:c>
      <x:c r="D113" s="21" t="str">
        <x:v>Product Page Visual</x:v>
      </x:c>
      <x:c r="E113" s="21" t="str">
        <x:v>Midnight Blue Calming Cream blue texture and current U.S. packaging.</x:v>
      </x:c>
      <x:c r="F113" s="21" t="str">
        <x:v>https://www.klairs.com/products/midnight-blue-calming-cream</x:v>
      </x:c>
      <x:c r="G113" s="21" t="str">
        <x:v>https://www.klairs.com/products/midnight-blue-calming-cream</x:v>
      </x:c>
      <x:c r="H113" s="21"/>
      <x:c r="I113" s="21" t="str">
        <x:v>Link only</x:v>
      </x:c>
      <x:c r="J113" s="25"/>
      <x:c r="K113" s="25" t="str">
        <x:v>2026-08-01</x:v>
      </x:c>
      <x:c r="L113" s="21" t="str">
        <x:v>Brand-owned imagery; internal research reference only.</x:v>
      </x:c>
      <x:c r="M113" s="21" t="str">
        <x:v>Review Required</x:v>
      </x:c>
      <x:c r="N113" s="21" t="str">
        <x:v>No</x:v>
      </x:c>
      <x:c r="O113" s="21" t="str">
        <x:v>SRC-DKL-013,SRC-DKL-018</x:v>
      </x:c>
      <x:c r="P113" s="21" t="str">
        <x:v>Request licensed packshots and substantiated cooling/calming/barrier claim graphics.</x:v>
      </x:c>
    </x:row>
    <x:row r="114" ht="132" customHeight="1">
      <x:c r="A114" s="21" t="str">
        <x:v>IMG-DKL-005</x:v>
      </x:c>
      <x:c r="B114" s="21" t="str">
        <x:v>KB019</x:v>
      </x:c>
      <x:c r="C114" s="21" t="str">
        <x:v>DKL-P004</x:v>
      </x:c>
      <x:c r="D114" s="21" t="str">
        <x:v>Product Page Visual</x:v>
      </x:c>
      <x:c r="E114" s="21" t="str">
        <x:v>Rich Moist Soothing Cream current U.S. packaging and texture presentation.</x:v>
      </x:c>
      <x:c r="F114" s="21" t="str">
        <x:v>https://www.klairs.com/products/rich-moist-soothing-cream</x:v>
      </x:c>
      <x:c r="G114" s="21" t="str">
        <x:v>https://www.klairs.com/products/rich-moist-soothing-cream</x:v>
      </x:c>
      <x:c r="H114" s="21"/>
      <x:c r="I114" s="21" t="str">
        <x:v>Link only</x:v>
      </x:c>
      <x:c r="J114" s="25"/>
      <x:c r="K114" s="25" t="str">
        <x:v>2026-08-01</x:v>
      </x:c>
      <x:c r="L114" s="21" t="str">
        <x:v>Brand-owned imagery; internal research reference only.</x:v>
      </x:c>
      <x:c r="M114" s="21" t="str">
        <x:v>Review Required</x:v>
      </x:c>
      <x:c r="N114" s="21" t="str">
        <x:v>No</x:v>
      </x:c>
      <x:c r="O114" s="21" t="str">
        <x:v>SRC-DKL-014,SRC-DKL-019</x:v>
      </x:c>
      <x:c r="P114" s="21" t="str">
        <x:v>Request licensed packshot and current-versus-legacy formula/UPC map.</x:v>
      </x:c>
    </x:row>
    <x:row r="115" ht="132" customHeight="1">
      <x:c r="A115" s="21" t="str">
        <x:v>IMG-DKL-006</x:v>
      </x:c>
      <x:c r="B115" s="21" t="str">
        <x:v>KB019</x:v>
      </x:c>
      <x:c r="C115" s="21" t="str">
        <x:v>DKL-P005</x:v>
      </x:c>
      <x:c r="D115" s="21" t="str">
        <x:v>Product Page Visual</x:v>
      </x:c>
      <x:c r="E115" s="21" t="str">
        <x:v>EGF Blue Youth Activating Drop bottle, blue serum drop and current U.S. positioning.</x:v>
      </x:c>
      <x:c r="F115" s="21" t="str">
        <x:v>https://www.klairs.com/products/egf-blue-youth-activating-drop</x:v>
      </x:c>
      <x:c r="G115" s="21" t="str">
        <x:v>https://www.klairs.com/products/egf-blue-youth-activating-drop</x:v>
      </x:c>
      <x:c r="H115" s="21"/>
      <x:c r="I115" s="21" t="str">
        <x:v>Link only</x:v>
      </x:c>
      <x:c r="J115" s="25"/>
      <x:c r="K115" s="25" t="str">
        <x:v>2026-08-01</x:v>
      </x:c>
      <x:c r="L115" s="21" t="str">
        <x:v>Brand-owned imagery; internal research reference only.</x:v>
      </x:c>
      <x:c r="M115" s="21" t="str">
        <x:v>Review Required</x:v>
      </x:c>
      <x:c r="N115" s="21" t="str">
        <x:v>No</x:v>
      </x:c>
      <x:c r="O115" s="21" t="str">
        <x:v>SRC-DKL-015,SRC-DKL-025</x:v>
      </x:c>
      <x:c r="P115" s="21" t="str">
        <x:v>Request licensed 20/50 mL packshots, size map and legally approved U.S. claim set.</x:v>
      </x:c>
    </x:row>
    <x:row r="116" ht="134" customHeight="1">
      <x:c r="A116" s="21" t="str">
        <x:v>IMG-HHW-001</x:v>
      </x:c>
      <x:c r="B116" s="21" t="str">
        <x:v>KB020</x:v>
      </x:c>
      <x:c r="C116" s="21"/>
      <x:c r="D116" s="21" t="str">
        <x:v>Brand Profile / Visual Identity</x:v>
      </x:c>
      <x:c r="E116" s="21" t="str">
        <x:v>Official Haruharu Wonder visual identity, black-rice story and current packaging system.</x:v>
      </x:c>
      <x:c r="F116" s="21" t="str">
        <x:v>https://haruharuwonder.com/pages/about-us</x:v>
      </x:c>
      <x:c r="G116" s="21" t="str">
        <x:v>https://haruharuwonder.com/pages/about-us</x:v>
      </x:c>
      <x:c r="H116" s="21"/>
      <x:c r="I116" s="21" t="str">
        <x:v>Link only</x:v>
      </x:c>
      <x:c r="J116" s="25"/>
      <x:c r="K116" s="25" t="str">
        <x:v>2026-08-01</x:v>
      </x:c>
      <x:c r="L116" s="21" t="str">
        <x:v>Brand-owned imagery; internal research reference only.</x:v>
      </x:c>
      <x:c r="M116" s="21" t="str">
        <x:v>Review Required</x:v>
      </x:c>
      <x:c r="N116" s="21" t="str">
        <x:v>Yes</x:v>
      </x:c>
      <x:c r="O116" s="21" t="str">
        <x:v>SRC-HHW-002,SRC-HHW-003,SRC-HHW-055</x:v>
      </x:c>
      <x:c r="P116" s="21" t="str">
        <x:v>Request licensed U.S. logo files, brand guide and claims-approved campaign assets.</x:v>
      </x:c>
    </x:row>
    <x:row r="117" ht="134" customHeight="1">
      <x:c r="A117" s="21" t="str">
        <x:v>IMG-HHW-002</x:v>
      </x:c>
      <x:c r="B117" s="21" t="str">
        <x:v>KB020</x:v>
      </x:c>
      <x:c r="C117" s="21" t="str">
        <x:v>HHW-P001</x:v>
      </x:c>
      <x:c r="D117" s="21" t="str">
        <x:v>Product Page Visual</x:v>
      </x:c>
      <x:c r="E117" s="21" t="str">
        <x:v>Barrier Essence bottle, milky texture and current global packaging.</x:v>
      </x:c>
      <x:c r="F117" s="21" t="str">
        <x:v>https://haruharuwonder.com/products/haruharuwonder-black-rice-probiotics-barrier-essence</x:v>
      </x:c>
      <x:c r="G117" s="21" t="str">
        <x:v>https://haruharuwonder.com/products/haruharuwonder-black-rice-probiotics-barrier-essence</x:v>
      </x:c>
      <x:c r="H117" s="21"/>
      <x:c r="I117" s="21" t="str">
        <x:v>Link only</x:v>
      </x:c>
      <x:c r="J117" s="25"/>
      <x:c r="K117" s="25" t="str">
        <x:v>2026-08-01</x:v>
      </x:c>
      <x:c r="L117" s="21" t="str">
        <x:v>Brand-owned imagery; internal research reference only.</x:v>
      </x:c>
      <x:c r="M117" s="21" t="str">
        <x:v>Review Required</x:v>
      </x:c>
      <x:c r="N117" s="21" t="str">
        <x:v>No</x:v>
      </x:c>
      <x:c r="O117" s="21" t="str">
        <x:v>SRC-HHW-013</x:v>
      </x:c>
      <x:c r="P117" s="21" t="str">
        <x:v>Request licensed U.S. packshot, exact label/UPC and claims-approved texture imagery.</x:v>
      </x:c>
    </x:row>
    <x:row r="118" ht="134" customHeight="1">
      <x:c r="A118" s="21" t="str">
        <x:v>IMG-HHW-003</x:v>
      </x:c>
      <x:c r="B118" s="21" t="str">
        <x:v>KB020</x:v>
      </x:c>
      <x:c r="C118" s="21" t="str">
        <x:v>HHW-P002</x:v>
      </x:c>
      <x:c r="D118" s="21" t="str">
        <x:v>Product Page Visual</x:v>
      </x:c>
      <x:c r="E118" s="21" t="str">
        <x:v>Cleansing Oil bottle, texture and current global packaging.</x:v>
      </x:c>
      <x:c r="F118" s="21" t="str">
        <x:v>https://haruharuwonder.com/products/haruharuwonder-black-rice-moisture-cleansing-oil</x:v>
      </x:c>
      <x:c r="G118" s="21" t="str">
        <x:v>https://haruharuwonder.com/products/haruharuwonder-black-rice-moisture-cleansing-oil</x:v>
      </x:c>
      <x:c r="H118" s="21"/>
      <x:c r="I118" s="21" t="str">
        <x:v>Link only</x:v>
      </x:c>
      <x:c r="J118" s="25"/>
      <x:c r="K118" s="25" t="str">
        <x:v>2026-08-01</x:v>
      </x:c>
      <x:c r="L118" s="21" t="str">
        <x:v>Brand-owned imagery; internal research reference only.</x:v>
      </x:c>
      <x:c r="M118" s="21" t="str">
        <x:v>Review Required</x:v>
      </x:c>
      <x:c r="N118" s="21" t="str">
        <x:v>No</x:v>
      </x:c>
      <x:c r="O118" s="21" t="str">
        <x:v>SRC-HHW-014</x:v>
      </x:c>
      <x:c r="P118" s="21" t="str">
        <x:v>Request licensed U.S. packshot, pump/carton artwork and claims-approved demonstration assets.</x:v>
      </x:c>
    </x:row>
    <x:row r="119" ht="134" customHeight="1">
      <x:c r="A119" s="21" t="str">
        <x:v>IMG-HHW-004</x:v>
      </x:c>
      <x:c r="B119" s="21" t="str">
        <x:v>KB020</x:v>
      </x:c>
      <x:c r="C119" s="21" t="str">
        <x:v>HHW-P003</x:v>
      </x:c>
      <x:c r="D119" s="21" t="str">
        <x:v>Product Page Visual</x:v>
      </x:c>
      <x:c r="E119" s="21" t="str">
        <x:v>Fragrance-free Black Rice Hyaluronic Toner current bottle and packaging.</x:v>
      </x:c>
      <x:c r="F119" s="21" t="str">
        <x:v>https://haruharuwonder.com/products/haruharuwonder-black-rice-hyaluronic-toner-for-sensitive-skin</x:v>
      </x:c>
      <x:c r="G119" s="21" t="str">
        <x:v>https://haruharuwonder.com/products/haruharuwonder-black-rice-hyaluronic-toner-for-sensitive-skin</x:v>
      </x:c>
      <x:c r="H119" s="21"/>
      <x:c r="I119" s="21" t="str">
        <x:v>Link only</x:v>
      </x:c>
      <x:c r="J119" s="25"/>
      <x:c r="K119" s="25" t="str">
        <x:v>2026-08-01</x:v>
      </x:c>
      <x:c r="L119" s="21" t="str">
        <x:v>Brand-owned imagery; internal research reference only.</x:v>
      </x:c>
      <x:c r="M119" s="21" t="str">
        <x:v>Review Required</x:v>
      </x:c>
      <x:c r="N119" s="21" t="str">
        <x:v>No</x:v>
      </x:c>
      <x:c r="O119" s="21" t="str">
        <x:v>SRC-HHW-015</x:v>
      </x:c>
      <x:c r="P119" s="21" t="str">
        <x:v>Request licensed packshot and original-versus-unscented packaging/UPC map.</x:v>
      </x:c>
    </x:row>
    <x:row r="120" ht="134" customHeight="1">
      <x:c r="A120" s="21" t="str">
        <x:v>IMG-HHW-005</x:v>
      </x:c>
      <x:c r="B120" s="21" t="str">
        <x:v>KB020</x:v>
      </x:c>
      <x:c r="C120" s="21" t="str">
        <x:v>HHW-P004</x:v>
      </x:c>
      <x:c r="D120" s="21" t="str">
        <x:v>Product Page Visual</x:v>
      </x:c>
      <x:c r="E120" s="21" t="str">
        <x:v>Bakuchiol Eye Cream tube/pump and current packaging.</x:v>
      </x:c>
      <x:c r="F120" s="21" t="str">
        <x:v>https://haruharuwonder.com/products/haruharuwonder-black-rice-bakuchiol-eye-cream-20ml</x:v>
      </x:c>
      <x:c r="G120" s="21" t="str">
        <x:v>https://haruharuwonder.com/products/haruharuwonder-black-rice-bakuchiol-eye-cream-20ml</x:v>
      </x:c>
      <x:c r="H120" s="21"/>
      <x:c r="I120" s="21" t="str">
        <x:v>Link only</x:v>
      </x:c>
      <x:c r="J120" s="25"/>
      <x:c r="K120" s="25" t="str">
        <x:v>2026-08-01</x:v>
      </x:c>
      <x:c r="L120" s="21" t="str">
        <x:v>Brand-owned imagery; internal research reference only.</x:v>
      </x:c>
      <x:c r="M120" s="21" t="str">
        <x:v>Review Required</x:v>
      </x:c>
      <x:c r="N120" s="21" t="str">
        <x:v>No</x:v>
      </x:c>
      <x:c r="O120" s="21" t="str">
        <x:v>SRC-HHW-017,SRC-HHW-029</x:v>
      </x:c>
      <x:c r="P120" s="21" t="str">
        <x:v>Request licensed U.S. packshot and claims-approved before/after or ingredient graphics.</x:v>
      </x:c>
    </x:row>
    <x:row r="121" ht="134" customHeight="1">
      <x:c r="A121" s="21" t="str">
        <x:v>IMG-HHW-006</x:v>
      </x:c>
      <x:c r="B121" s="21" t="str">
        <x:v>KB020</x:v>
      </x:c>
      <x:c r="C121" s="21" t="str">
        <x:v>HHW-P005</x:v>
      </x:c>
      <x:c r="D121" s="21" t="str">
        <x:v>Product Page Visual — Regulatory Hold</x:v>
      </x:c>
      <x:c r="E121" s="21" t="str">
        <x:v>Airyfit Daily Sunscreen bottle and current global packaging; market reference only.</x:v>
      </x:c>
      <x:c r="F121" s="21" t="str">
        <x:v>https://haruharuwonder.com/products/haruharuwonder-black-rice-moisture-airyfit-daily-sunscreen-unscented-spf50-50ml</x:v>
      </x:c>
      <x:c r="G121" s="21" t="str">
        <x:v>https://haruharuwonder.com/products/haruharuwonder-black-rice-moisture-airyfit-daily-sunscreen-unscented-spf50-50ml</x:v>
      </x:c>
      <x:c r="H121" s="21"/>
      <x:c r="I121" s="21" t="str">
        <x:v>Link only</x:v>
      </x:c>
      <x:c r="J121" s="25"/>
      <x:c r="K121" s="25" t="str">
        <x:v>2026-08-01</x:v>
      </x:c>
      <x:c r="L121" s="21" t="str">
        <x:v>Brand-owned imagery; internal research reference only. Do not use for U.S. merchandising.</x:v>
      </x:c>
      <x:c r="M121" s="21" t="str">
        <x:v>Regulatory Hold</x:v>
      </x:c>
      <x:c r="N121" s="21" t="str">
        <x:v>No</x:v>
      </x:c>
      <x:c r="O121" s="21" t="str">
        <x:v>SRC-HHW-018,SRC-HHW-053</x:v>
      </x:c>
      <x:c r="P121" s="21" t="str">
        <x:v>Exclude from U.S. assortment and marketing until exact OTC status and licensed U.S. assets are supplied.</x:v>
      </x:c>
    </x:row>
    <x:row r="122">
      <x:c r="A122" s="21"/>
      <x:c r="B122" s="21"/>
      <x:c r="C122" s="21"/>
      <x:c r="D122" s="21"/>
      <x:c r="E122" s="21"/>
      <x:c r="F122" s="21"/>
      <x:c r="G122" s="21"/>
      <x:c r="H122" s="21"/>
      <x:c r="I122" s="21"/>
      <x:c r="J122" s="25"/>
      <x:c r="K122" s="25"/>
      <x:c r="L122" s="21"/>
      <x:c r="M122" s="21"/>
      <x:c r="N122" s="21"/>
      <x:c r="O122" s="21"/>
      <x:c r="P122" s="21"/>
    </x:row>
    <x:row r="123">
      <x:c r="A123" s="21"/>
      <x:c r="B123" s="21"/>
      <x:c r="C123" s="21"/>
      <x:c r="D123" s="21"/>
      <x:c r="E123" s="21"/>
      <x:c r="F123" s="21"/>
      <x:c r="G123" s="21"/>
      <x:c r="H123" s="21"/>
      <x:c r="I123" s="21"/>
      <x:c r="J123" s="25"/>
      <x:c r="K123" s="25"/>
      <x:c r="L123" s="21"/>
      <x:c r="M123" s="21"/>
      <x:c r="N123" s="21"/>
      <x:c r="O123" s="21"/>
      <x:c r="P123" s="21"/>
    </x:row>
    <x:row r="124">
      <x:c r="A124" s="21"/>
      <x:c r="B124" s="21"/>
      <x:c r="C124" s="21"/>
      <x:c r="D124" s="21"/>
      <x:c r="E124" s="21"/>
      <x:c r="F124" s="21"/>
      <x:c r="G124" s="21"/>
      <x:c r="H124" s="21"/>
      <x:c r="I124" s="21"/>
      <x:c r="J124" s="25"/>
      <x:c r="K124" s="25"/>
      <x:c r="L124" s="21"/>
      <x:c r="M124" s="21"/>
      <x:c r="N124" s="21"/>
      <x:c r="O124" s="21"/>
      <x:c r="P124" s="21"/>
    </x:row>
    <x:row r="125">
      <x:c r="A125" s="21"/>
      <x:c r="B125" s="21"/>
      <x:c r="C125" s="21"/>
      <x:c r="D125" s="21"/>
      <x:c r="E125" s="21"/>
      <x:c r="F125" s="21"/>
      <x:c r="G125" s="21"/>
      <x:c r="H125" s="21"/>
      <x:c r="I125" s="21"/>
      <x:c r="J125" s="25"/>
      <x:c r="K125" s="25"/>
      <x:c r="L125" s="21"/>
      <x:c r="M125" s="21"/>
      <x:c r="N125" s="21"/>
      <x:c r="O125" s="21"/>
      <x:c r="P125" s="21"/>
    </x:row>
    <x:row r="126">
      <x:c r="A126" s="21"/>
      <x:c r="B126" s="21"/>
      <x:c r="C126" s="21"/>
      <x:c r="D126" s="21"/>
      <x:c r="E126" s="21"/>
      <x:c r="F126" s="21"/>
      <x:c r="G126" s="21"/>
      <x:c r="H126" s="21"/>
      <x:c r="I126" s="21"/>
      <x:c r="J126" s="25"/>
      <x:c r="K126" s="25"/>
      <x:c r="L126" s="21"/>
      <x:c r="M126" s="21"/>
      <x:c r="N126" s="21"/>
      <x:c r="O126" s="21"/>
      <x:c r="P126" s="21"/>
    </x:row>
    <x:row r="127">
      <x:c r="A127" s="21"/>
      <x:c r="B127" s="21"/>
      <x:c r="C127" s="21"/>
      <x:c r="D127" s="21"/>
      <x:c r="E127" s="21"/>
      <x:c r="F127" s="21"/>
      <x:c r="G127" s="21"/>
      <x:c r="H127" s="21"/>
      <x:c r="I127" s="21"/>
      <x:c r="J127" s="25"/>
      <x:c r="K127" s="25"/>
      <x:c r="L127" s="21"/>
      <x:c r="M127" s="21"/>
      <x:c r="N127" s="21"/>
      <x:c r="O127" s="21"/>
      <x:c r="P127" s="21"/>
    </x:row>
    <x:row r="128">
      <x:c r="A128" s="21"/>
      <x:c r="B128" s="21"/>
      <x:c r="C128" s="21"/>
      <x:c r="D128" s="21"/>
      <x:c r="E128" s="21"/>
      <x:c r="F128" s="21"/>
      <x:c r="G128" s="21"/>
      <x:c r="H128" s="21"/>
      <x:c r="I128" s="21"/>
      <x:c r="J128" s="25"/>
      <x:c r="K128" s="25"/>
      <x:c r="L128" s="21"/>
      <x:c r="M128" s="21"/>
      <x:c r="N128" s="21"/>
      <x:c r="O128" s="21"/>
      <x:c r="P128" s="21"/>
    </x:row>
    <x:row r="129">
      <x:c r="A129" s="21"/>
      <x:c r="B129" s="21"/>
      <x:c r="C129" s="21"/>
      <x:c r="D129" s="21"/>
      <x:c r="E129" s="21"/>
      <x:c r="F129" s="21"/>
      <x:c r="G129" s="21"/>
      <x:c r="H129" s="21"/>
      <x:c r="I129" s="21"/>
      <x:c r="J129" s="25"/>
      <x:c r="K129" s="25"/>
      <x:c r="L129" s="21"/>
      <x:c r="M129" s="21"/>
      <x:c r="N129" s="21"/>
      <x:c r="O129" s="21"/>
      <x:c r="P129" s="21"/>
    </x:row>
    <x:row r="130">
      <x:c r="A130" s="21"/>
      <x:c r="B130" s="21"/>
      <x:c r="C130" s="21"/>
      <x:c r="D130" s="21"/>
      <x:c r="E130" s="21"/>
      <x:c r="F130" s="21"/>
      <x:c r="G130" s="21"/>
      <x:c r="H130" s="21"/>
      <x:c r="I130" s="21"/>
      <x:c r="J130" s="25"/>
      <x:c r="K130" s="25"/>
      <x:c r="L130" s="21"/>
      <x:c r="M130" s="21"/>
      <x:c r="N130" s="21"/>
      <x:c r="O130" s="21"/>
      <x:c r="P130" s="21"/>
    </x:row>
    <x:row r="131">
      <x:c r="A131" s="21"/>
      <x:c r="B131" s="21"/>
      <x:c r="C131" s="21"/>
      <x:c r="D131" s="21"/>
      <x:c r="E131" s="21"/>
      <x:c r="F131" s="21"/>
      <x:c r="G131" s="21"/>
      <x:c r="H131" s="21"/>
      <x:c r="I131" s="21"/>
      <x:c r="J131" s="25"/>
      <x:c r="K131" s="25"/>
      <x:c r="L131" s="21"/>
      <x:c r="M131" s="21"/>
      <x:c r="N131" s="21"/>
      <x:c r="O131" s="21"/>
      <x:c r="P131" s="21"/>
    </x:row>
    <x:row r="132">
      <x:c r="A132" s="21"/>
      <x:c r="B132" s="21"/>
      <x:c r="C132" s="21"/>
      <x:c r="D132" s="21"/>
      <x:c r="E132" s="21"/>
      <x:c r="F132" s="21"/>
      <x:c r="G132" s="21"/>
      <x:c r="H132" s="21"/>
      <x:c r="I132" s="21"/>
      <x:c r="J132" s="25"/>
      <x:c r="K132" s="25"/>
      <x:c r="L132" s="21"/>
      <x:c r="M132" s="21"/>
      <x:c r="N132" s="21"/>
      <x:c r="O132" s="21"/>
      <x:c r="P132" s="21"/>
    </x:row>
    <x:row r="133">
      <x:c r="A133" s="21"/>
      <x:c r="B133" s="21"/>
      <x:c r="C133" s="21"/>
      <x:c r="D133" s="21"/>
      <x:c r="E133" s="21"/>
      <x:c r="F133" s="21"/>
      <x:c r="G133" s="21"/>
      <x:c r="H133" s="21"/>
      <x:c r="I133" s="21"/>
      <x:c r="J133" s="25"/>
      <x:c r="K133" s="25"/>
      <x:c r="L133" s="21"/>
      <x:c r="M133" s="21"/>
      <x:c r="N133" s="21"/>
      <x:c r="O133" s="21"/>
      <x:c r="P133" s="21"/>
    </x:row>
    <x:row r="134">
      <x:c r="A134" s="21"/>
      <x:c r="B134" s="21"/>
      <x:c r="C134" s="21"/>
      <x:c r="D134" s="21"/>
      <x:c r="E134" s="21"/>
      <x:c r="F134" s="21"/>
      <x:c r="G134" s="21"/>
      <x:c r="H134" s="21"/>
      <x:c r="I134" s="21"/>
      <x:c r="J134" s="25"/>
      <x:c r="K134" s="25"/>
      <x:c r="L134" s="21"/>
      <x:c r="M134" s="21"/>
      <x:c r="N134" s="21"/>
      <x:c r="O134" s="21"/>
      <x:c r="P134" s="21"/>
    </x:row>
    <x:row r="135">
      <x:c r="A135" s="21"/>
      <x:c r="B135" s="21"/>
      <x:c r="C135" s="21"/>
      <x:c r="D135" s="21"/>
      <x:c r="E135" s="21"/>
      <x:c r="F135" s="21"/>
      <x:c r="G135" s="21"/>
      <x:c r="H135" s="21"/>
      <x:c r="I135" s="21"/>
      <x:c r="J135" s="25"/>
      <x:c r="K135" s="25"/>
      <x:c r="L135" s="21"/>
      <x:c r="M135" s="21"/>
      <x:c r="N135" s="21"/>
      <x:c r="O135" s="21"/>
      <x:c r="P135" s="21"/>
    </x:row>
    <x:row r="136">
      <x:c r="A136" s="21"/>
      <x:c r="B136" s="21"/>
      <x:c r="C136" s="21"/>
      <x:c r="D136" s="21"/>
      <x:c r="E136" s="21"/>
      <x:c r="F136" s="21"/>
      <x:c r="G136" s="21"/>
      <x:c r="H136" s="21"/>
      <x:c r="I136" s="21"/>
      <x:c r="J136" s="25"/>
      <x:c r="K136" s="25"/>
      <x:c r="L136" s="21"/>
      <x:c r="M136" s="21"/>
      <x:c r="N136" s="21"/>
      <x:c r="O136" s="21"/>
      <x:c r="P136" s="21"/>
    </x:row>
    <x:row r="137">
      <x:c r="A137" s="21"/>
      <x:c r="B137" s="21"/>
      <x:c r="C137" s="21"/>
      <x:c r="D137" s="21"/>
      <x:c r="E137" s="21"/>
      <x:c r="F137" s="21"/>
      <x:c r="G137" s="21"/>
      <x:c r="H137" s="21"/>
      <x:c r="I137" s="21"/>
      <x:c r="J137" s="25"/>
      <x:c r="K137" s="25"/>
      <x:c r="L137" s="21"/>
      <x:c r="M137" s="21"/>
      <x:c r="N137" s="21"/>
      <x:c r="O137" s="21"/>
      <x:c r="P137" s="21"/>
    </x:row>
    <x:row r="138">
      <x:c r="A138" s="21"/>
      <x:c r="B138" s="21"/>
      <x:c r="C138" s="21"/>
      <x:c r="D138" s="21"/>
      <x:c r="E138" s="21"/>
      <x:c r="F138" s="21"/>
      <x:c r="G138" s="21"/>
      <x:c r="H138" s="21"/>
      <x:c r="I138" s="21"/>
      <x:c r="J138" s="25"/>
      <x:c r="K138" s="25"/>
      <x:c r="L138" s="21"/>
      <x:c r="M138" s="21"/>
      <x:c r="N138" s="21"/>
      <x:c r="O138" s="21"/>
      <x:c r="P138" s="21"/>
    </x:row>
    <x:row r="139">
      <x:c r="A139" s="21"/>
      <x:c r="B139" s="21"/>
      <x:c r="C139" s="21"/>
      <x:c r="D139" s="21"/>
      <x:c r="E139" s="21"/>
      <x:c r="F139" s="21"/>
      <x:c r="G139" s="21"/>
      <x:c r="H139" s="21"/>
      <x:c r="I139" s="21"/>
      <x:c r="J139" s="25"/>
      <x:c r="K139" s="25"/>
      <x:c r="L139" s="21"/>
      <x:c r="M139" s="21"/>
      <x:c r="N139" s="21"/>
      <x:c r="O139" s="21"/>
      <x:c r="P139" s="21"/>
    </x:row>
    <x:row r="140">
      <x:c r="A140" s="21"/>
      <x:c r="B140" s="21"/>
      <x:c r="C140" s="21"/>
      <x:c r="D140" s="21"/>
      <x:c r="E140" s="21"/>
      <x:c r="F140" s="21"/>
      <x:c r="G140" s="21"/>
      <x:c r="H140" s="21"/>
      <x:c r="I140" s="21"/>
      <x:c r="J140" s="25"/>
      <x:c r="K140" s="25"/>
      <x:c r="L140" s="21"/>
      <x:c r="M140" s="21"/>
      <x:c r="N140" s="21"/>
      <x:c r="O140" s="21"/>
      <x:c r="P140" s="21"/>
    </x:row>
    <x:row r="141">
      <x:c r="A141" s="21"/>
      <x:c r="B141" s="21"/>
      <x:c r="C141" s="21"/>
      <x:c r="D141" s="21"/>
      <x:c r="E141" s="21"/>
      <x:c r="F141" s="21"/>
      <x:c r="G141" s="21"/>
      <x:c r="H141" s="21"/>
      <x:c r="I141" s="21"/>
      <x:c r="J141" s="25"/>
      <x:c r="K141" s="25"/>
      <x:c r="L141" s="21"/>
      <x:c r="M141" s="21"/>
      <x:c r="N141" s="21"/>
      <x:c r="O141" s="21"/>
      <x:c r="P141" s="21"/>
    </x:row>
    <x:row r="142">
      <x:c r="A142" s="21"/>
      <x:c r="B142" s="21"/>
      <x:c r="C142" s="21"/>
      <x:c r="D142" s="21"/>
      <x:c r="E142" s="21"/>
      <x:c r="F142" s="21"/>
      <x:c r="G142" s="21"/>
      <x:c r="H142" s="21"/>
      <x:c r="I142" s="21"/>
      <x:c r="J142" s="25"/>
      <x:c r="K142" s="25"/>
      <x:c r="L142" s="21"/>
      <x:c r="M142" s="21"/>
      <x:c r="N142" s="21"/>
      <x:c r="O142" s="21"/>
      <x:c r="P142" s="21"/>
    </x:row>
    <x:row r="143">
      <x:c r="A143" s="21"/>
      <x:c r="B143" s="21"/>
      <x:c r="C143" s="21"/>
      <x:c r="D143" s="21"/>
      <x:c r="E143" s="21"/>
      <x:c r="F143" s="21"/>
      <x:c r="G143" s="21"/>
      <x:c r="H143" s="21"/>
      <x:c r="I143" s="21"/>
      <x:c r="J143" s="25"/>
      <x:c r="K143" s="25"/>
      <x:c r="L143" s="21"/>
      <x:c r="M143" s="21"/>
      <x:c r="N143" s="21"/>
      <x:c r="O143" s="21"/>
      <x:c r="P143" s="21"/>
    </x:row>
    <x:row r="144">
      <x:c r="A144" s="21"/>
      <x:c r="B144" s="21"/>
      <x:c r="C144" s="21"/>
      <x:c r="D144" s="21"/>
      <x:c r="E144" s="21"/>
      <x:c r="F144" s="21"/>
      <x:c r="G144" s="21"/>
      <x:c r="H144" s="21"/>
      <x:c r="I144" s="21"/>
      <x:c r="J144" s="25"/>
      <x:c r="K144" s="25"/>
      <x:c r="L144" s="21"/>
      <x:c r="M144" s="21"/>
      <x:c r="N144" s="21"/>
      <x:c r="O144" s="21"/>
      <x:c r="P144" s="21"/>
    </x:row>
    <x:row r="145">
      <x:c r="A145" s="21"/>
      <x:c r="B145" s="21"/>
      <x:c r="C145" s="21"/>
      <x:c r="D145" s="21"/>
      <x:c r="E145" s="21"/>
      <x:c r="F145" s="21"/>
      <x:c r="G145" s="21"/>
      <x:c r="H145" s="21"/>
      <x:c r="I145" s="21"/>
      <x:c r="J145" s="25"/>
      <x:c r="K145" s="25"/>
      <x:c r="L145" s="21"/>
      <x:c r="M145" s="21"/>
      <x:c r="N145" s="21"/>
      <x:c r="O145" s="21"/>
      <x:c r="P145" s="21"/>
    </x:row>
    <x:row r="146">
      <x:c r="A146" s="21"/>
      <x:c r="B146" s="21"/>
      <x:c r="C146" s="21"/>
      <x:c r="D146" s="21"/>
      <x:c r="E146" s="21"/>
      <x:c r="F146" s="21"/>
      <x:c r="G146" s="21"/>
      <x:c r="H146" s="21"/>
      <x:c r="I146" s="21"/>
      <x:c r="J146" s="25"/>
      <x:c r="K146" s="25"/>
      <x:c r="L146" s="21"/>
      <x:c r="M146" s="21"/>
      <x:c r="N146" s="21"/>
      <x:c r="O146" s="21"/>
      <x:c r="P146" s="21"/>
    </x:row>
    <x:row r="147">
      <x:c r="A147" s="21"/>
      <x:c r="B147" s="21"/>
      <x:c r="C147" s="21"/>
      <x:c r="D147" s="21"/>
      <x:c r="E147" s="21"/>
      <x:c r="F147" s="21"/>
      <x:c r="G147" s="21"/>
      <x:c r="H147" s="21"/>
      <x:c r="I147" s="21"/>
      <x:c r="J147" s="25"/>
      <x:c r="K147" s="25"/>
      <x:c r="L147" s="21"/>
      <x:c r="M147" s="21"/>
      <x:c r="N147" s="21"/>
      <x:c r="O147" s="21"/>
      <x:c r="P147" s="21"/>
    </x:row>
    <x:row r="148">
      <x:c r="A148" s="21"/>
      <x:c r="B148" s="21"/>
      <x:c r="C148" s="21"/>
      <x:c r="D148" s="21"/>
      <x:c r="E148" s="21"/>
      <x:c r="F148" s="21"/>
      <x:c r="G148" s="21"/>
      <x:c r="H148" s="21"/>
      <x:c r="I148" s="21"/>
      <x:c r="J148" s="25"/>
      <x:c r="K148" s="25"/>
      <x:c r="L148" s="21"/>
      <x:c r="M148" s="21"/>
      <x:c r="N148" s="21"/>
      <x:c r="O148" s="21"/>
      <x:c r="P148" s="21"/>
    </x:row>
    <x:row r="149">
      <x:c r="A149" s="21"/>
      <x:c r="B149" s="21"/>
      <x:c r="C149" s="21"/>
      <x:c r="D149" s="21"/>
      <x:c r="E149" s="21"/>
      <x:c r="F149" s="21"/>
      <x:c r="G149" s="21"/>
      <x:c r="H149" s="21"/>
      <x:c r="I149" s="21"/>
      <x:c r="J149" s="25"/>
      <x:c r="K149" s="25"/>
      <x:c r="L149" s="21"/>
      <x:c r="M149" s="21"/>
      <x:c r="N149" s="21"/>
      <x:c r="O149" s="21"/>
      <x:c r="P149" s="21"/>
    </x:row>
    <x:row r="150">
      <x:c r="A150" s="21"/>
      <x:c r="B150" s="21"/>
      <x:c r="C150" s="21"/>
      <x:c r="D150" s="21"/>
      <x:c r="E150" s="21"/>
      <x:c r="F150" s="21"/>
      <x:c r="G150" s="21"/>
      <x:c r="H150" s="21"/>
      <x:c r="I150" s="21"/>
      <x:c r="J150" s="25"/>
      <x:c r="K150" s="25"/>
      <x:c r="L150" s="21"/>
      <x:c r="M150" s="21"/>
      <x:c r="N150" s="21"/>
      <x:c r="O150" s="21"/>
      <x:c r="P150" s="21"/>
    </x:row>
    <x:row r="151">
      <x:c r="A151" s="21"/>
      <x:c r="B151" s="21"/>
      <x:c r="C151" s="21"/>
      <x:c r="D151" s="21"/>
      <x:c r="E151" s="21"/>
      <x:c r="F151" s="21"/>
      <x:c r="G151" s="21"/>
      <x:c r="H151" s="21"/>
      <x:c r="I151" s="21"/>
      <x:c r="J151" s="25"/>
      <x:c r="K151" s="25"/>
      <x:c r="L151" s="21"/>
      <x:c r="M151" s="21"/>
      <x:c r="N151" s="21"/>
      <x:c r="O151" s="21"/>
      <x:c r="P151" s="21"/>
    </x:row>
    <x:row r="152">
      <x:c r="A152" s="21"/>
      <x:c r="B152" s="21"/>
      <x:c r="C152" s="21"/>
      <x:c r="D152" s="21"/>
      <x:c r="E152" s="21"/>
      <x:c r="F152" s="21"/>
      <x:c r="G152" s="21"/>
      <x:c r="H152" s="21"/>
      <x:c r="I152" s="21"/>
      <x:c r="J152" s="25"/>
      <x:c r="K152" s="25"/>
      <x:c r="L152" s="21"/>
      <x:c r="M152" s="21"/>
      <x:c r="N152" s="21"/>
      <x:c r="O152" s="21"/>
      <x:c r="P152" s="21"/>
    </x:row>
    <x:row r="153">
      <x:c r="A153" s="21"/>
      <x:c r="B153" s="21"/>
      <x:c r="C153" s="21"/>
      <x:c r="D153" s="21"/>
      <x:c r="E153" s="21"/>
      <x:c r="F153" s="21"/>
      <x:c r="G153" s="21"/>
      <x:c r="H153" s="21"/>
      <x:c r="I153" s="21"/>
      <x:c r="J153" s="25"/>
      <x:c r="K153" s="25"/>
      <x:c r="L153" s="21"/>
      <x:c r="M153" s="21"/>
      <x:c r="N153" s="21"/>
      <x:c r="O153" s="21"/>
      <x:c r="P153" s="21"/>
    </x:row>
    <x:row r="154">
      <x:c r="A154" s="21"/>
      <x:c r="B154" s="21"/>
      <x:c r="C154" s="21"/>
      <x:c r="D154" s="21"/>
      <x:c r="E154" s="21"/>
      <x:c r="F154" s="21"/>
      <x:c r="G154" s="21"/>
      <x:c r="H154" s="21"/>
      <x:c r="I154" s="21"/>
      <x:c r="J154" s="25"/>
      <x:c r="K154" s="25"/>
      <x:c r="L154" s="21"/>
      <x:c r="M154" s="21"/>
      <x:c r="N154" s="21"/>
      <x:c r="O154" s="21"/>
      <x:c r="P154" s="21"/>
    </x:row>
    <x:row r="155">
      <x:c r="A155" s="21"/>
      <x:c r="B155" s="21"/>
      <x:c r="C155" s="21"/>
      <x:c r="D155" s="21"/>
      <x:c r="E155" s="21"/>
      <x:c r="F155" s="21"/>
      <x:c r="G155" s="21"/>
      <x:c r="H155" s="21"/>
      <x:c r="I155" s="21"/>
      <x:c r="J155" s="25"/>
      <x:c r="K155" s="25"/>
      <x:c r="L155" s="21"/>
      <x:c r="M155" s="21"/>
      <x:c r="N155" s="21"/>
      <x:c r="O155" s="21"/>
      <x:c r="P155" s="21"/>
    </x:row>
    <x:row r="156">
      <x:c r="A156" s="21"/>
      <x:c r="B156" s="21"/>
      <x:c r="C156" s="21"/>
      <x:c r="D156" s="21"/>
      <x:c r="E156" s="21"/>
      <x:c r="F156" s="21"/>
      <x:c r="G156" s="21"/>
      <x:c r="H156" s="21"/>
      <x:c r="I156" s="21"/>
      <x:c r="J156" s="25"/>
      <x:c r="K156" s="25"/>
      <x:c r="L156" s="21"/>
      <x:c r="M156" s="21"/>
      <x:c r="N156" s="21"/>
      <x:c r="O156" s="21"/>
      <x:c r="P156" s="21"/>
    </x:row>
    <x:row r="157">
      <x:c r="A157" s="21"/>
      <x:c r="B157" s="21"/>
      <x:c r="C157" s="21"/>
      <x:c r="D157" s="21"/>
      <x:c r="E157" s="21"/>
      <x:c r="F157" s="21"/>
      <x:c r="G157" s="21"/>
      <x:c r="H157" s="21"/>
      <x:c r="I157" s="21"/>
      <x:c r="J157" s="25"/>
      <x:c r="K157" s="25"/>
      <x:c r="L157" s="21"/>
      <x:c r="M157" s="21"/>
      <x:c r="N157" s="21"/>
      <x:c r="O157" s="21"/>
      <x:c r="P157" s="21"/>
    </x:row>
    <x:row r="158">
      <x:c r="A158" s="21"/>
      <x:c r="B158" s="21"/>
      <x:c r="C158" s="21"/>
      <x:c r="D158" s="21"/>
      <x:c r="E158" s="21"/>
      <x:c r="F158" s="21"/>
      <x:c r="G158" s="21"/>
      <x:c r="H158" s="21"/>
      <x:c r="I158" s="21"/>
      <x:c r="J158" s="25"/>
      <x:c r="K158" s="25"/>
      <x:c r="L158" s="21"/>
      <x:c r="M158" s="21"/>
      <x:c r="N158" s="21"/>
      <x:c r="O158" s="21"/>
      <x:c r="P158" s="21"/>
    </x:row>
    <x:row r="159">
      <x:c r="A159" s="21"/>
      <x:c r="B159" s="21"/>
      <x:c r="C159" s="21"/>
      <x:c r="D159" s="21"/>
      <x:c r="E159" s="21"/>
      <x:c r="F159" s="21"/>
      <x:c r="G159" s="21"/>
      <x:c r="H159" s="21"/>
      <x:c r="I159" s="21"/>
      <x:c r="J159" s="25"/>
      <x:c r="K159" s="25"/>
      <x:c r="L159" s="21"/>
      <x:c r="M159" s="21"/>
      <x:c r="N159" s="21"/>
      <x:c r="O159" s="21"/>
      <x:c r="P159" s="21"/>
    </x:row>
    <x:row r="160">
      <x:c r="A160" s="21"/>
      <x:c r="B160" s="21"/>
      <x:c r="C160" s="21"/>
      <x:c r="D160" s="21"/>
      <x:c r="E160" s="21"/>
      <x:c r="F160" s="21"/>
      <x:c r="G160" s="21"/>
      <x:c r="H160" s="21"/>
      <x:c r="I160" s="21"/>
      <x:c r="J160" s="25"/>
      <x:c r="K160" s="25"/>
      <x:c r="L160" s="21"/>
      <x:c r="M160" s="21"/>
      <x:c r="N160" s="21"/>
      <x:c r="O160" s="21"/>
      <x:c r="P160" s="21"/>
    </x:row>
    <x:row r="161">
      <x:c r="A161" s="21"/>
      <x:c r="B161" s="21"/>
      <x:c r="C161" s="21"/>
      <x:c r="D161" s="21"/>
      <x:c r="E161" s="21"/>
      <x:c r="F161" s="21"/>
      <x:c r="G161" s="21"/>
      <x:c r="H161" s="21"/>
      <x:c r="I161" s="21"/>
      <x:c r="J161" s="25"/>
      <x:c r="K161" s="25"/>
      <x:c r="L161" s="21"/>
      <x:c r="M161" s="21"/>
      <x:c r="N161" s="21"/>
      <x:c r="O161" s="21"/>
      <x:c r="P161" s="21"/>
    </x:row>
    <x:row r="162">
      <x:c r="A162" s="21"/>
      <x:c r="B162" s="21"/>
      <x:c r="C162" s="21"/>
      <x:c r="D162" s="21"/>
      <x:c r="E162" s="21"/>
      <x:c r="F162" s="21"/>
      <x:c r="G162" s="21"/>
      <x:c r="H162" s="21"/>
      <x:c r="I162" s="21"/>
      <x:c r="J162" s="25"/>
      <x:c r="K162" s="25"/>
      <x:c r="L162" s="21"/>
      <x:c r="M162" s="21"/>
      <x:c r="N162" s="21"/>
      <x:c r="O162" s="21"/>
      <x:c r="P162" s="21"/>
    </x:row>
    <x:row r="163">
      <x:c r="A163" s="21"/>
      <x:c r="B163" s="21"/>
      <x:c r="C163" s="21"/>
      <x:c r="D163" s="21"/>
      <x:c r="E163" s="21"/>
      <x:c r="F163" s="21"/>
      <x:c r="G163" s="21"/>
      <x:c r="H163" s="21"/>
      <x:c r="I163" s="21"/>
      <x:c r="J163" s="25"/>
      <x:c r="K163" s="25"/>
      <x:c r="L163" s="21"/>
      <x:c r="M163" s="21"/>
      <x:c r="N163" s="21"/>
      <x:c r="O163" s="21"/>
      <x:c r="P163" s="21"/>
    </x:row>
    <x:row r="164">
      <x:c r="A164" s="21"/>
      <x:c r="B164" s="21"/>
      <x:c r="C164" s="21"/>
      <x:c r="D164" s="21"/>
      <x:c r="E164" s="21"/>
      <x:c r="F164" s="21"/>
      <x:c r="G164" s="21"/>
      <x:c r="H164" s="21"/>
      <x:c r="I164" s="21"/>
      <x:c r="J164" s="25"/>
      <x:c r="K164" s="25"/>
      <x:c r="L164" s="21"/>
      <x:c r="M164" s="21"/>
      <x:c r="N164" s="21"/>
      <x:c r="O164" s="21"/>
      <x:c r="P164" s="21"/>
    </x:row>
    <x:row r="165">
      <x:c r="A165" s="21"/>
      <x:c r="B165" s="21"/>
      <x:c r="C165" s="21"/>
      <x:c r="D165" s="21"/>
      <x:c r="E165" s="21"/>
      <x:c r="F165" s="21"/>
      <x:c r="G165" s="21"/>
      <x:c r="H165" s="21"/>
      <x:c r="I165" s="21"/>
      <x:c r="J165" s="25"/>
      <x:c r="K165" s="25"/>
      <x:c r="L165" s="21"/>
      <x:c r="M165" s="21"/>
      <x:c r="N165" s="21"/>
      <x:c r="O165" s="21"/>
      <x:c r="P165" s="21"/>
    </x:row>
    <x:row r="166">
      <x:c r="A166" s="21"/>
      <x:c r="B166" s="21"/>
      <x:c r="C166" s="21"/>
      <x:c r="D166" s="21"/>
      <x:c r="E166" s="21"/>
      <x:c r="F166" s="21"/>
      <x:c r="G166" s="21"/>
      <x:c r="H166" s="21"/>
      <x:c r="I166" s="21"/>
      <x:c r="J166" s="25"/>
      <x:c r="K166" s="25"/>
      <x:c r="L166" s="21"/>
      <x:c r="M166" s="21"/>
      <x:c r="N166" s="21"/>
      <x:c r="O166" s="21"/>
      <x:c r="P166" s="21"/>
    </x:row>
    <x:row r="167">
      <x:c r="A167" s="21"/>
      <x:c r="B167" s="21"/>
      <x:c r="C167" s="21"/>
      <x:c r="D167" s="21"/>
      <x:c r="E167" s="21"/>
      <x:c r="F167" s="21"/>
      <x:c r="G167" s="21"/>
      <x:c r="H167" s="21"/>
      <x:c r="I167" s="21"/>
      <x:c r="J167" s="25"/>
      <x:c r="K167" s="25"/>
      <x:c r="L167" s="21"/>
      <x:c r="M167" s="21"/>
      <x:c r="N167" s="21"/>
      <x:c r="O167" s="21"/>
      <x:c r="P167" s="21"/>
    </x:row>
    <x:row r="168">
      <x:c r="A168" s="21"/>
      <x:c r="B168" s="21"/>
      <x:c r="C168" s="21"/>
      <x:c r="D168" s="21"/>
      <x:c r="E168" s="21"/>
      <x:c r="F168" s="21"/>
      <x:c r="G168" s="21"/>
      <x:c r="H168" s="21"/>
      <x:c r="I168" s="21"/>
      <x:c r="J168" s="25"/>
      <x:c r="K168" s="25"/>
      <x:c r="L168" s="21"/>
      <x:c r="M168" s="21"/>
      <x:c r="N168" s="21"/>
      <x:c r="O168" s="21"/>
      <x:c r="P168" s="21"/>
    </x:row>
    <x:row r="169">
      <x:c r="A169" s="21"/>
      <x:c r="B169" s="21"/>
      <x:c r="C169" s="21"/>
      <x:c r="D169" s="21"/>
      <x:c r="E169" s="21"/>
      <x:c r="F169" s="21"/>
      <x:c r="G169" s="21"/>
      <x:c r="H169" s="21"/>
      <x:c r="I169" s="21"/>
      <x:c r="J169" s="25"/>
      <x:c r="K169" s="25"/>
      <x:c r="L169" s="21"/>
      <x:c r="M169" s="21"/>
      <x:c r="N169" s="21"/>
      <x:c r="O169" s="21"/>
      <x:c r="P169" s="21"/>
    </x:row>
    <x:row r="170">
      <x:c r="A170" s="21"/>
      <x:c r="B170" s="21"/>
      <x:c r="C170" s="21"/>
      <x:c r="D170" s="21"/>
      <x:c r="E170" s="21"/>
      <x:c r="F170" s="21"/>
      <x:c r="G170" s="21"/>
      <x:c r="H170" s="21"/>
      <x:c r="I170" s="21"/>
      <x:c r="J170" s="25"/>
      <x:c r="K170" s="25"/>
      <x:c r="L170" s="21"/>
      <x:c r="M170" s="21"/>
      <x:c r="N170" s="21"/>
      <x:c r="O170" s="21"/>
      <x:c r="P170" s="21"/>
    </x:row>
    <x:row r="171">
      <x:c r="A171" s="21"/>
      <x:c r="B171" s="21"/>
      <x:c r="C171" s="21"/>
      <x:c r="D171" s="21"/>
      <x:c r="E171" s="21"/>
      <x:c r="F171" s="21"/>
      <x:c r="G171" s="21"/>
      <x:c r="H171" s="21"/>
      <x:c r="I171" s="21"/>
      <x:c r="J171" s="25"/>
      <x:c r="K171" s="25"/>
      <x:c r="L171" s="21"/>
      <x:c r="M171" s="21"/>
      <x:c r="N171" s="21"/>
      <x:c r="O171" s="21"/>
      <x:c r="P171" s="21"/>
    </x:row>
    <x:row r="172">
      <x:c r="A172" s="21"/>
      <x:c r="B172" s="21"/>
      <x:c r="C172" s="21"/>
      <x:c r="D172" s="21"/>
      <x:c r="E172" s="21"/>
      <x:c r="F172" s="21"/>
      <x:c r="G172" s="21"/>
      <x:c r="H172" s="21"/>
      <x:c r="I172" s="21"/>
      <x:c r="J172" s="25"/>
      <x:c r="K172" s="25"/>
      <x:c r="L172" s="21"/>
      <x:c r="M172" s="21"/>
      <x:c r="N172" s="21"/>
      <x:c r="O172" s="21"/>
      <x:c r="P172" s="21"/>
    </x:row>
    <x:row r="173">
      <x:c r="A173" s="21"/>
      <x:c r="B173" s="21"/>
      <x:c r="C173" s="21"/>
      <x:c r="D173" s="21"/>
      <x:c r="E173" s="21"/>
      <x:c r="F173" s="21"/>
      <x:c r="G173" s="21"/>
      <x:c r="H173" s="21"/>
      <x:c r="I173" s="21"/>
      <x:c r="J173" s="25"/>
      <x:c r="K173" s="25"/>
      <x:c r="L173" s="21"/>
      <x:c r="M173" s="21"/>
      <x:c r="N173" s="21"/>
      <x:c r="O173" s="21"/>
      <x:c r="P173" s="21"/>
    </x:row>
    <x:row r="174">
      <x:c r="A174" s="21"/>
      <x:c r="B174" s="21"/>
      <x:c r="C174" s="21"/>
      <x:c r="D174" s="21"/>
      <x:c r="E174" s="21"/>
      <x:c r="F174" s="21"/>
      <x:c r="G174" s="21"/>
      <x:c r="H174" s="21"/>
      <x:c r="I174" s="21"/>
      <x:c r="J174" s="25"/>
      <x:c r="K174" s="25"/>
      <x:c r="L174" s="21"/>
      <x:c r="M174" s="21"/>
      <x:c r="N174" s="21"/>
      <x:c r="O174" s="21"/>
      <x:c r="P174" s="21"/>
    </x:row>
    <x:row r="175">
      <x:c r="A175" s="21"/>
      <x:c r="B175" s="21"/>
      <x:c r="C175" s="21"/>
      <x:c r="D175" s="21"/>
      <x:c r="E175" s="21"/>
      <x:c r="F175" s="21"/>
      <x:c r="G175" s="21"/>
      <x:c r="H175" s="21"/>
      <x:c r="I175" s="21"/>
      <x:c r="J175" s="25"/>
      <x:c r="K175" s="25"/>
      <x:c r="L175" s="21"/>
      <x:c r="M175" s="21"/>
      <x:c r="N175" s="21"/>
      <x:c r="O175" s="21"/>
      <x:c r="P175" s="21"/>
    </x:row>
    <x:row r="176">
      <x:c r="A176" s="21"/>
      <x:c r="B176" s="21"/>
      <x:c r="C176" s="21"/>
      <x:c r="D176" s="21"/>
      <x:c r="E176" s="21"/>
      <x:c r="F176" s="21"/>
      <x:c r="G176" s="21"/>
      <x:c r="H176" s="21"/>
      <x:c r="I176" s="21"/>
      <x:c r="J176" s="25"/>
      <x:c r="K176" s="25"/>
      <x:c r="L176" s="21"/>
      <x:c r="M176" s="21"/>
      <x:c r="N176" s="21"/>
      <x:c r="O176" s="21"/>
      <x:c r="P176" s="21"/>
    </x:row>
    <x:row r="177">
      <x:c r="A177" s="21"/>
      <x:c r="B177" s="21"/>
      <x:c r="C177" s="21"/>
      <x:c r="D177" s="21"/>
      <x:c r="E177" s="21"/>
      <x:c r="F177" s="21"/>
      <x:c r="G177" s="21"/>
      <x:c r="H177" s="21"/>
      <x:c r="I177" s="21"/>
      <x:c r="J177" s="25"/>
      <x:c r="K177" s="25"/>
      <x:c r="L177" s="21"/>
      <x:c r="M177" s="21"/>
      <x:c r="N177" s="21"/>
      <x:c r="O177" s="21"/>
      <x:c r="P177" s="21"/>
    </x:row>
    <x:row r="178">
      <x:c r="A178" s="21"/>
      <x:c r="B178" s="21"/>
      <x:c r="C178" s="21"/>
      <x:c r="D178" s="21"/>
      <x:c r="E178" s="21"/>
      <x:c r="F178" s="21"/>
      <x:c r="G178" s="21"/>
      <x:c r="H178" s="21"/>
      <x:c r="I178" s="21"/>
      <x:c r="J178" s="25"/>
      <x:c r="K178" s="25"/>
      <x:c r="L178" s="21"/>
      <x:c r="M178" s="21"/>
      <x:c r="N178" s="21"/>
      <x:c r="O178" s="21"/>
      <x:c r="P178" s="21"/>
    </x:row>
    <x:row r="179">
      <x:c r="A179" s="21"/>
      <x:c r="B179" s="21"/>
      <x:c r="C179" s="21"/>
      <x:c r="D179" s="21"/>
      <x:c r="E179" s="21"/>
      <x:c r="F179" s="21"/>
      <x:c r="G179" s="21"/>
      <x:c r="H179" s="21"/>
      <x:c r="I179" s="21"/>
      <x:c r="J179" s="25"/>
      <x:c r="K179" s="25"/>
      <x:c r="L179" s="21"/>
      <x:c r="M179" s="21"/>
      <x:c r="N179" s="21"/>
      <x:c r="O179" s="21"/>
      <x:c r="P179" s="21"/>
    </x:row>
    <x:row r="180">
      <x:c r="A180" s="21"/>
      <x:c r="B180" s="21"/>
      <x:c r="C180" s="21"/>
      <x:c r="D180" s="21"/>
      <x:c r="E180" s="21"/>
      <x:c r="F180" s="21"/>
      <x:c r="G180" s="21"/>
      <x:c r="H180" s="21"/>
      <x:c r="I180" s="21"/>
      <x:c r="J180" s="25"/>
      <x:c r="K180" s="25"/>
      <x:c r="L180" s="21"/>
      <x:c r="M180" s="21"/>
      <x:c r="N180" s="21"/>
      <x:c r="O180" s="21"/>
      <x:c r="P180" s="21"/>
    </x:row>
    <x:row r="181">
      <x:c r="A181" s="21"/>
      <x:c r="B181" s="21"/>
      <x:c r="C181" s="21"/>
      <x:c r="D181" s="21"/>
      <x:c r="E181" s="21"/>
      <x:c r="F181" s="21"/>
      <x:c r="G181" s="21"/>
      <x:c r="H181" s="21"/>
      <x:c r="I181" s="21"/>
      <x:c r="J181" s="25"/>
      <x:c r="K181" s="25"/>
      <x:c r="L181" s="21"/>
      <x:c r="M181" s="21"/>
      <x:c r="N181" s="21"/>
      <x:c r="O181" s="21"/>
      <x:c r="P181" s="21"/>
    </x:row>
    <x:row r="182">
      <x:c r="A182" s="21"/>
      <x:c r="B182" s="21"/>
      <x:c r="C182" s="21"/>
      <x:c r="D182" s="21"/>
      <x:c r="E182" s="21"/>
      <x:c r="F182" s="21"/>
      <x:c r="G182" s="21"/>
      <x:c r="H182" s="21"/>
      <x:c r="I182" s="21"/>
      <x:c r="J182" s="25"/>
      <x:c r="K182" s="25"/>
      <x:c r="L182" s="21"/>
      <x:c r="M182" s="21"/>
      <x:c r="N182" s="21"/>
      <x:c r="O182" s="21"/>
      <x:c r="P182" s="21"/>
    </x:row>
    <x:row r="183">
      <x:c r="A183" s="21"/>
      <x:c r="B183" s="21"/>
      <x:c r="C183" s="21"/>
      <x:c r="D183" s="21"/>
      <x:c r="E183" s="21"/>
      <x:c r="F183" s="21"/>
      <x:c r="G183" s="21"/>
      <x:c r="H183" s="21"/>
      <x:c r="I183" s="21"/>
      <x:c r="J183" s="25"/>
      <x:c r="K183" s="25"/>
      <x:c r="L183" s="21"/>
      <x:c r="M183" s="21"/>
      <x:c r="N183" s="21"/>
      <x:c r="O183" s="21"/>
      <x:c r="P183" s="21"/>
    </x:row>
    <x:row r="184">
      <x:c r="A184" s="21"/>
      <x:c r="B184" s="21"/>
      <x:c r="C184" s="21"/>
      <x:c r="D184" s="21"/>
      <x:c r="E184" s="21"/>
      <x:c r="F184" s="21"/>
      <x:c r="G184" s="21"/>
      <x:c r="H184" s="21"/>
      <x:c r="I184" s="21"/>
      <x:c r="J184" s="25"/>
      <x:c r="K184" s="25"/>
      <x:c r="L184" s="21"/>
      <x:c r="M184" s="21"/>
      <x:c r="N184" s="21"/>
      <x:c r="O184" s="21"/>
      <x:c r="P184" s="21"/>
    </x:row>
    <x:row r="185">
      <x:c r="A185" s="21"/>
      <x:c r="B185" s="21"/>
      <x:c r="C185" s="21"/>
      <x:c r="D185" s="21"/>
      <x:c r="E185" s="21"/>
      <x:c r="F185" s="21"/>
      <x:c r="G185" s="21"/>
      <x:c r="H185" s="21"/>
      <x:c r="I185" s="21"/>
      <x:c r="J185" s="25"/>
      <x:c r="K185" s="25"/>
      <x:c r="L185" s="21"/>
      <x:c r="M185" s="21"/>
      <x:c r="N185" s="21"/>
      <x:c r="O185" s="21"/>
      <x:c r="P185" s="21"/>
    </x:row>
    <x:row r="186">
      <x:c r="A186" s="21"/>
      <x:c r="B186" s="21"/>
      <x:c r="C186" s="21"/>
      <x:c r="D186" s="21"/>
      <x:c r="E186" s="21"/>
      <x:c r="F186" s="21"/>
      <x:c r="G186" s="21"/>
      <x:c r="H186" s="21"/>
      <x:c r="I186" s="21"/>
      <x:c r="J186" s="25"/>
      <x:c r="K186" s="25"/>
      <x:c r="L186" s="21"/>
      <x:c r="M186" s="21"/>
      <x:c r="N186" s="21"/>
      <x:c r="O186" s="21"/>
      <x:c r="P186" s="21"/>
    </x:row>
    <x:row r="187">
      <x:c r="A187" s="21"/>
      <x:c r="B187" s="21"/>
      <x:c r="C187" s="21"/>
      <x:c r="D187" s="21"/>
      <x:c r="E187" s="21"/>
      <x:c r="F187" s="21"/>
      <x:c r="G187" s="21"/>
      <x:c r="H187" s="21"/>
      <x:c r="I187" s="21"/>
      <x:c r="J187" s="25"/>
      <x:c r="K187" s="25"/>
      <x:c r="L187" s="21"/>
      <x:c r="M187" s="21"/>
      <x:c r="N187" s="21"/>
      <x:c r="O187" s="21"/>
      <x:c r="P187" s="21"/>
    </x:row>
    <x:row r="188">
      <x:c r="A188" s="21"/>
      <x:c r="B188" s="21"/>
      <x:c r="C188" s="21"/>
      <x:c r="D188" s="21"/>
      <x:c r="E188" s="21"/>
      <x:c r="F188" s="21"/>
      <x:c r="G188" s="21"/>
      <x:c r="H188" s="21"/>
      <x:c r="I188" s="21"/>
      <x:c r="J188" s="25"/>
      <x:c r="K188" s="25"/>
      <x:c r="L188" s="21"/>
      <x:c r="M188" s="21"/>
      <x:c r="N188" s="21"/>
      <x:c r="O188" s="21"/>
      <x:c r="P188" s="21"/>
    </x:row>
    <x:row r="189">
      <x:c r="A189" s="21"/>
      <x:c r="B189" s="21"/>
      <x:c r="C189" s="21"/>
      <x:c r="D189" s="21"/>
      <x:c r="E189" s="21"/>
      <x:c r="F189" s="21"/>
      <x:c r="G189" s="21"/>
      <x:c r="H189" s="21"/>
      <x:c r="I189" s="21"/>
      <x:c r="J189" s="25"/>
      <x:c r="K189" s="25"/>
      <x:c r="L189" s="21"/>
      <x:c r="M189" s="21"/>
      <x:c r="N189" s="21"/>
      <x:c r="O189" s="21"/>
      <x:c r="P189" s="21"/>
    </x:row>
    <x:row r="190">
      <x:c r="A190" s="21"/>
      <x:c r="B190" s="21"/>
      <x:c r="C190" s="21"/>
      <x:c r="D190" s="21"/>
      <x:c r="E190" s="21"/>
      <x:c r="F190" s="21"/>
      <x:c r="G190" s="21"/>
      <x:c r="H190" s="21"/>
      <x:c r="I190" s="21"/>
      <x:c r="J190" s="25"/>
      <x:c r="K190" s="25"/>
      <x:c r="L190" s="21"/>
      <x:c r="M190" s="21"/>
      <x:c r="N190" s="21"/>
      <x:c r="O190" s="21"/>
      <x:c r="P190" s="21"/>
    </x:row>
    <x:row r="191">
      <x:c r="A191" s="21"/>
      <x:c r="B191" s="21"/>
      <x:c r="C191" s="21"/>
      <x:c r="D191" s="21"/>
      <x:c r="E191" s="21"/>
      <x:c r="F191" s="21"/>
      <x:c r="G191" s="21"/>
      <x:c r="H191" s="21"/>
      <x:c r="I191" s="21"/>
      <x:c r="J191" s="25"/>
      <x:c r="K191" s="25"/>
      <x:c r="L191" s="21"/>
      <x:c r="M191" s="21"/>
      <x:c r="N191" s="21"/>
      <x:c r="O191" s="21"/>
      <x:c r="P191" s="21"/>
    </x:row>
    <x:row r="192">
      <x:c r="A192" s="21"/>
      <x:c r="B192" s="21"/>
      <x:c r="C192" s="21"/>
      <x:c r="D192" s="21"/>
      <x:c r="E192" s="21"/>
      <x:c r="F192" s="21"/>
      <x:c r="G192" s="21"/>
      <x:c r="H192" s="21"/>
      <x:c r="I192" s="21"/>
      <x:c r="J192" s="25"/>
      <x:c r="K192" s="25"/>
      <x:c r="L192" s="21"/>
      <x:c r="M192" s="21"/>
      <x:c r="N192" s="21"/>
      <x:c r="O192" s="21"/>
      <x:c r="P192" s="21"/>
    </x:row>
    <x:row r="193">
      <x:c r="A193" s="21"/>
      <x:c r="B193" s="21"/>
      <x:c r="C193" s="21"/>
      <x:c r="D193" s="21"/>
      <x:c r="E193" s="21"/>
      <x:c r="F193" s="21"/>
      <x:c r="G193" s="21"/>
      <x:c r="H193" s="21"/>
      <x:c r="I193" s="21"/>
      <x:c r="J193" s="25"/>
      <x:c r="K193" s="25"/>
      <x:c r="L193" s="21"/>
      <x:c r="M193" s="21"/>
      <x:c r="N193" s="21"/>
      <x:c r="O193" s="21"/>
      <x:c r="P193" s="21"/>
    </x:row>
    <x:row r="194">
      <x:c r="A194" s="21"/>
      <x:c r="B194" s="21"/>
      <x:c r="C194" s="21"/>
      <x:c r="D194" s="21"/>
      <x:c r="E194" s="21"/>
      <x:c r="F194" s="21"/>
      <x:c r="G194" s="21"/>
      <x:c r="H194" s="21"/>
      <x:c r="I194" s="21"/>
      <x:c r="J194" s="25"/>
      <x:c r="K194" s="25"/>
      <x:c r="L194" s="21"/>
      <x:c r="M194" s="21"/>
      <x:c r="N194" s="21"/>
      <x:c r="O194" s="21"/>
      <x:c r="P194" s="21"/>
    </x:row>
    <x:row r="195">
      <x:c r="A195" s="21"/>
      <x:c r="B195" s="21"/>
      <x:c r="C195" s="21"/>
      <x:c r="D195" s="21"/>
      <x:c r="E195" s="21"/>
      <x:c r="F195" s="21"/>
      <x:c r="G195" s="21"/>
      <x:c r="H195" s="21"/>
      <x:c r="I195" s="21"/>
      <x:c r="J195" s="25"/>
      <x:c r="K195" s="25"/>
      <x:c r="L195" s="21"/>
      <x:c r="M195" s="21"/>
      <x:c r="N195" s="21"/>
      <x:c r="O195" s="21"/>
      <x:c r="P195" s="21"/>
    </x:row>
    <x:row r="196">
      <x:c r="A196" s="21"/>
      <x:c r="B196" s="21"/>
      <x:c r="C196" s="21"/>
      <x:c r="D196" s="21"/>
      <x:c r="E196" s="21"/>
      <x:c r="F196" s="21"/>
      <x:c r="G196" s="21"/>
      <x:c r="H196" s="21"/>
      <x:c r="I196" s="21"/>
      <x:c r="J196" s="25"/>
      <x:c r="K196" s="25"/>
      <x:c r="L196" s="21"/>
      <x:c r="M196" s="21"/>
      <x:c r="N196" s="21"/>
      <x:c r="O196" s="21"/>
      <x:c r="P196" s="21"/>
    </x:row>
    <x:row r="197">
      <x:c r="A197" s="21"/>
      <x:c r="B197" s="21"/>
      <x:c r="C197" s="21"/>
      <x:c r="D197" s="21"/>
      <x:c r="E197" s="21"/>
      <x:c r="F197" s="21"/>
      <x:c r="G197" s="21"/>
      <x:c r="H197" s="21"/>
      <x:c r="I197" s="21"/>
      <x:c r="J197" s="25"/>
      <x:c r="K197" s="25"/>
      <x:c r="L197" s="21"/>
      <x:c r="M197" s="21"/>
      <x:c r="N197" s="21"/>
      <x:c r="O197" s="21"/>
      <x:c r="P197" s="21"/>
    </x:row>
    <x:row r="198">
      <x:c r="A198" s="21"/>
      <x:c r="B198" s="21"/>
      <x:c r="C198" s="21"/>
      <x:c r="D198" s="21"/>
      <x:c r="E198" s="21"/>
      <x:c r="F198" s="21"/>
      <x:c r="G198" s="21"/>
      <x:c r="H198" s="21"/>
      <x:c r="I198" s="21"/>
      <x:c r="J198" s="25"/>
      <x:c r="K198" s="25"/>
      <x:c r="L198" s="21"/>
      <x:c r="M198" s="21"/>
      <x:c r="N198" s="21"/>
      <x:c r="O198" s="21"/>
      <x:c r="P198" s="21"/>
    </x:row>
    <x:row r="199">
      <x:c r="A199" s="21"/>
      <x:c r="B199" s="21"/>
      <x:c r="C199" s="21"/>
      <x:c r="D199" s="21"/>
      <x:c r="E199" s="21"/>
      <x:c r="F199" s="21"/>
      <x:c r="G199" s="21"/>
      <x:c r="H199" s="21"/>
      <x:c r="I199" s="21"/>
      <x:c r="J199" s="25"/>
      <x:c r="K199" s="25"/>
      <x:c r="L199" s="21"/>
      <x:c r="M199" s="21"/>
      <x:c r="N199" s="21"/>
      <x:c r="O199" s="21"/>
      <x:c r="P199" s="21"/>
    </x:row>
    <x:row r="200">
      <x:c r="A200" s="21"/>
      <x:c r="B200" s="21"/>
      <x:c r="C200" s="21"/>
      <x:c r="D200" s="21"/>
      <x:c r="E200" s="21"/>
      <x:c r="F200" s="21"/>
      <x:c r="G200" s="21"/>
      <x:c r="H200" s="21"/>
      <x:c r="I200" s="21"/>
      <x:c r="J200" s="25"/>
      <x:c r="K200" s="25"/>
      <x:c r="L200" s="21"/>
      <x:c r="M200" s="21"/>
      <x:c r="N200" s="21"/>
      <x:c r="O200" s="21"/>
      <x:c r="P200" s="21"/>
    </x:row>
    <x:row r="201">
      <x:c r="A201" s="21"/>
      <x:c r="B201" s="21"/>
      <x:c r="C201" s="21"/>
      <x:c r="D201" s="21"/>
      <x:c r="E201" s="21"/>
      <x:c r="F201" s="21"/>
      <x:c r="G201" s="21"/>
      <x:c r="H201" s="21"/>
      <x:c r="I201" s="21"/>
      <x:c r="J201" s="25"/>
      <x:c r="K201" s="25"/>
      <x:c r="L201" s="21"/>
      <x:c r="M201" s="21"/>
      <x:c r="N201" s="21"/>
      <x:c r="O201" s="21"/>
      <x:c r="P201" s="21"/>
    </x:row>
  </x:sheetData>
  <x:dataValidations count="3">
    <x:dataValidation type="list" sqref="D2:D201">
      <x:formula1>"Brand Logo,Hero Product,Packaging,Texture,How-to,Retail Display,Sales Page Screenshot,Social Post Screenshot,Other"</x:formula1>
    </x:dataValidation>
    <x:dataValidation type="list" sqref="M2:M201">
      <x:formula1>"Yes,No,Review Required"</x:formula1>
    </x:dataValidation>
    <x:dataValidation type="list" sqref="N2:N201">
      <x:formula1>"Yes,No"</x:formula1>
    </x:dataValidation>
  </x:dataValidations>
  <x:pageMargins left="0.7" right="0.7" top="0.75" bottom="0.75" header="0.3" footer="0.3"/>
  <x:legacyDrawing xmlns:r="http://schemas.openxmlformats.org/officeDocument/2006/relationships" r:id="Raf92c3da683f4bd5"/>
  <x:tableParts count="1">
    <x:tablePart xmlns:r="http://schemas.openxmlformats.org/officeDocument/2006/relationships" r:id="Rdef001a0662b479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4" hidden="0" customWidth="1"/>
    <x:col min="4" max="4" width="24" hidden="0" customWidth="1"/>
    <x:col min="5" max="5" width="24" hidden="0" customWidth="1"/>
    <x:col min="6" max="6" width="14" hidden="0" customWidth="1"/>
    <x:col min="7" max="7" width="14" hidden="0" customWidth="1"/>
    <x:col min="8" max="8" width="10" hidden="0" customWidth="1"/>
    <x:col min="9" max="9" width="17" hidden="0" customWidth="1"/>
    <x:col min="10" max="10" width="17" hidden="0" customWidth="1"/>
    <x:col min="11" max="11" width="17" hidden="0" customWidth="1"/>
    <x:col min="12" max="12" width="17" hidden="0" customWidth="1"/>
    <x:col min="13" max="13" width="17"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38" hidden="0" customWidth="1"/>
    <x:col min="22" max="22" width="38" hidden="0" customWidth="1"/>
  </x:cols>
  <x:sheetData>
    <x:row r="1">
      <x:c r="A1" s="14" t="str">
        <x:v>Term_ID</x:v>
      </x:c>
      <x:c r="B1" s="14" t="str">
        <x:v>Brand_ID</x:v>
      </x:c>
      <x:c r="C1" s="14" t="str">
        <x:v>Vendor / Manufacturer</x:v>
      </x:c>
      <x:c r="D1" s="14" t="str">
        <x:v>Contact</x:v>
      </x:c>
      <x:c r="E1" s="14" t="str">
        <x:v>Contact Details</x:v>
      </x:c>
      <x:c r="F1" s="14" t="str">
        <x:v>Check Date</x:v>
      </x:c>
      <x:c r="G1" s="14" t="str">
        <x:v>MOQ</x:v>
      </x:c>
      <x:c r="H1" s="14" t="str">
        <x:v>Currency</x:v>
      </x:c>
      <x:c r="I1" s="14" t="str">
        <x:v>Supply Cost</x:v>
      </x:c>
      <x:c r="J1" s="14" t="str">
        <x:v>Estimated Landed Cost</x:v>
      </x:c>
      <x:c r="K1" s="14" t="str">
        <x:v>Recommended MSRP</x:v>
      </x:c>
      <x:c r="L1" s="14" t="str">
        <x:v>Distributor Margin</x:v>
      </x:c>
      <x:c r="M1" s="14" t="str">
        <x:v>Retailer Margin</x:v>
      </x:c>
      <x:c r="N1" s="14" t="str">
        <x:v>Payment Terms</x:v>
      </x:c>
      <x:c r="O1" s="14" t="str">
        <x:v>Lead Time</x:v>
      </x:c>
      <x:c r="P1" s="14" t="str">
        <x:v>U.S. Exclusivity</x:v>
      </x:c>
      <x:c r="Q1" s="14" t="str">
        <x:v>Channel Restrictions</x:v>
      </x:c>
      <x:c r="R1" s="14" t="str">
        <x:v>Pricing / MAP Policy</x:v>
      </x:c>
      <x:c r="S1" s="14" t="str">
        <x:v>Sample Status</x:v>
      </x:c>
      <x:c r="T1" s="14" t="str">
        <x:v>Regulatory Documents</x:v>
      </x:c>
      <x:c r="U1" s="14" t="str">
        <x:v>Contract / Document Link</x:v>
      </x:c>
      <x:c r="V1" s="14" t="str">
        <x:v>Confidential Notes</x:v>
      </x:c>
    </x:row>
    <x:row r="2" ht="128" customHeight="1">
      <x:c r="A2" s="20" t="str">
        <x:v>TERM-COSRX-001</x:v>
      </x:c>
      <x:c r="B2" s="20" t="str">
        <x:v>KB001</x:v>
      </x:c>
      <x:c r="C2" s="20" t="str">
        <x:v>COSRX Inc. / Amorepacific Group — exact U.S. contracting and importing entity to be confirmed</x:v>
      </x:c>
      <x:c r="D2" s="20" t="str">
        <x:v>global@cosrx.co.kr</x:v>
      </x:c>
      <x:c r="E2" s="20" t="str">
        <x:v>Official global contact from COSRX FAQ. Request U.S. wholesale/authorized-distributor contact, product file and channel-rights documentation.</x:v>
      </x:c>
      <x:c r="F2" s="24" t="str">
        <x:v>2026-07-29</x:v>
      </x:c>
      <x:c r="G2" s="20" t="str">
        <x:v>Not Confirmed</x:v>
      </x:c>
      <x:c r="H2" s="20" t="str">
        <x:v>USD / KRW — quotation required</x:v>
      </x:c>
      <x:c r="I2" s="51"/>
      <x:c r="J2" s="51"/>
      <x:c r="K2" s="51"/>
      <x:c r="L2" s="51"/>
      <x:c r="M2" s="51"/>
      <x:c r="N2" s="20" t="str">
        <x:v>Not Confirmed</x:v>
      </x:c>
      <x:c r="O2" s="20" t="str">
        <x:v>Not Confirmed</x:v>
      </x:c>
      <x:c r="P2" s="20" t="str">
        <x:v>Not Confirmed</x:v>
      </x:c>
      <x:c r="Q2" s="20" t="str">
        <x:v>Official Amazon/TikTok/Walmart and authorized Ulta/Target/JCPenney/Urban Outfitters coverage creates likely channel restrictions; obtain written territory and marketplace permissions.</x:v>
      </x:c>
      <x:c r="R2" s="20" t="str">
        <x:v>Not Confirmed — require MAP, promotion cadence, advertised-price and unauthorized-reseller enforcement terms.</x:v>
      </x:c>
      <x:c r="S2" s="20" t="str">
        <x:v>Not Requested</x:v>
      </x:c>
      <x:c r="T2" s="20" t="str">
        <x:v>Not Confirmed — request MoCRA facility/product listing evidence, U.S. responsible-person details, safety substantiation, GMP evidence, INCI/label files, COA/spec/SDS, adverse-event SOP, claim substantiation and importer-of-record details.</x:v>
      </x:c>
      <x:c r="U2" s="20" t="str">
        <x:v>https://www.cosrx.com/pages/faq</x:v>
      </x:c>
      <x:c r="V2" s="20" t="str">
        <x:v>Do not place an order or model margins from Korea/U.S. retail prices. Require wholesale price list, MOQ, case pack, shelf life, batch traceability, samples, lead time, returns/damages, exclusivity, territory, gray-market controls and written authorization.</x:v>
      </x:c>
    </x:row>
    <x:row r="3" ht="150" customHeight="1">
      <x:c r="A3" s="21" t="str">
        <x:v>TERM-BOJ-001</x:v>
      </x:c>
      <x:c r="B3" s="21" t="str">
        <x:v>KB002</x:v>
      </x:c>
      <x:c r="C3" s="21" t="str">
        <x:v>GOODAI GLOBAL INC. / GOODAI GLOBAL USA / Hansung USA — exact U.S. seller, importer, responsible person and contracting entity to be confirmed</x:v>
      </x:c>
      <x:c r="D3" s="21" t="str">
        <x:v>cs@beautyofjoseon.com; support_kr@beautyofjoseon.com</x:v>
      </x:c>
      <x:c r="E3" s="21" t="str">
        <x:v>Official global/Korean contacts. Request the U.S. wholesale or authorized-distributor team and written confirmation of the entity that owns territory, imports stock, maintains regulatory files and invoices the distributor.</x:v>
      </x:c>
      <x:c r="F3" s="25" t="str">
        <x:v>2026-07-29</x:v>
      </x:c>
      <x:c r="G3" s="21" t="str">
        <x:v>Not Confirmed</x:v>
      </x:c>
      <x:c r="H3" s="21" t="str">
        <x:v>USD / KRW — quotation required</x:v>
      </x:c>
      <x:c r="I3" s="31"/>
      <x:c r="J3" s="31"/>
      <x:c r="K3" s="31" t="str">
        <x:v>Sampled suggested retail: $13–$24; exact distributor MSRP/MAP schedule required</x:v>
      </x:c>
      <x:c r="L3" s="35"/>
      <x:c r="M3" s="35"/>
      <x:c r="N3" s="21" t="str">
        <x:v>Not Confirmed</x:v>
      </x:c>
      <x:c r="O3" s="21" t="str">
        <x:v>Not Confirmed</x:v>
      </x:c>
      <x:c r="P3" s="21" t="str">
        <x:v>Not Confirmed</x:v>
      </x:c>
      <x:c r="Q3" s="21" t="str">
        <x:v>Official DTC, Amazon, TikTok Shop, Sephora, Costco, TJ Maxx, Marshalls and specialty coverage creates likely account, territory and marketplace restrictions. Obtain written rights by channel/SKU, including sunscreen-specific restrictions.</x:v>
      </x:c>
      <x:c r="R3" s="21" t="str">
        <x:v>Not Confirmed — require MAP, promotion calendar, price-protection, off-price policy and unauthorized-reseller enforcement terms. Current public promotions reached 10–50% on sampled products.</x:v>
      </x:c>
      <x:c r="S3" s="21" t="str">
        <x:v>Not Requested</x:v>
      </x:c>
      <x:c r="T3" s="21" t="str">
        <x:v>Not Confirmed — request cosmetics MoCRA facility/product-listing evidence, U.S. responsible-person and adverse-event SOP, GMP/safety substantiation, label/INCI/net-content files, COA/spec/SDS and claim support. For each U.S. sunscreen request drug establishment/listing/NDC-labeler details, final Drug Facts/artwork, M020 conformity analysis, SPF/broad-spectrum/water-resistance tests, manufacturing controls, stability and importer-of-record documents.</x:v>
      </x:c>
      <x:c r="U3" s="21" t="str">
        <x:v>https://www.goodai-global.com/en/company/history</x:v>
      </x:c>
      <x:c r="V3" s="21" t="str">
        <x:v>Do not place an order or model margins from Korea/U.S. retail prices. Require wholesale price list, MOQ/case pack, shelf life, batch traceability, samples, lead times, freight/duties, returns/damages, exclusivity, territory, account protection, gray-market controls, serialization/authenticity process, recall cooperation, insurance/indemnity and written authorization. Begin with non-SPF heroes unless the full U.S. OTC drug file is complete.</x:v>
      </x:c>
    </x:row>
    <x:row r="4" ht="158" customHeight="1">
      <x:c r="A4" s="21" t="str">
        <x:v>TERM-ANUA-001</x:v>
      </x:c>
      <x:c r="B4" s="21" t="str">
        <x:v>KB003</x:v>
      </x:c>
      <x:c r="C4" s="21" t="str">
        <x:v>The Founders Inc. / Anua Inc. — exact U.S. seller, importer, responsible person and contracting entity to be confirmed</x:v>
      </x:c>
      <x:c r="D4" s="21" t="str">
        <x:v>global_sales@thefounders.kr; business@anua.kr; help@anua.us</x:v>
      </x:c>
      <x:c r="E4" s="21" t="str">
        <x:v>Official corporate/business/customer-service contacts. Request the U.S. wholesale or authorized-distributor team and written confirmation of the entity controlling U.S. territory, accounts, importation, regulatory files and invoices.</x:v>
      </x:c>
      <x:c r="F4" s="25" t="str">
        <x:v>2026-07-29</x:v>
      </x:c>
      <x:c r="G4" s="21" t="str">
        <x:v>Not Confirmed</x:v>
      </x:c>
      <x:c r="H4" s="21" t="str">
        <x:v>USD / KRW — quotation required</x:v>
      </x:c>
      <x:c r="I4" s="31"/>
      <x:c r="J4" s="31"/>
      <x:c r="K4" s="31" t="str">
        <x:v>Sampled suggested retail $20–$30; exact distributor MSRP/MAP schedule required</x:v>
      </x:c>
      <x:c r="L4" s="35"/>
      <x:c r="M4" s="35"/>
      <x:c r="N4" s="21" t="str">
        <x:v>Not Confirmed</x:v>
      </x:c>
      <x:c r="O4" s="21" t="str">
        <x:v>Not Confirmed</x:v>
      </x:c>
      <x:c r="P4" s="21" t="str">
        <x:v>Not Confirmed</x:v>
      </x:c>
      <x:c r="Q4" s="21" t="str">
        <x:v>Official DTC, Amazon, TikTok Shop, approximately 1,500 Ulta stores and Olive Young USA create likely account, territory, marketplace and promotion restrictions. Obtain written authorization by account/channel/SKU and separate rules for sunscreen.</x:v>
      </x:c>
      <x:c r="R4" s="21" t="str">
        <x:v>Not Confirmed — require MAP, promotion calendar, price protection, advertised-price rules, off-price policy and unauthorized-reseller enforcement. Sampled Amazon prices were approximately 8–35% below official hero list prices.</x:v>
      </x:c>
      <x:c r="S4" s="21" t="str">
        <x:v>Not Requested</x:v>
      </x:c>
      <x:c r="T4" s="21" t="str">
        <x:v>Not Confirmed — request cosmetics MoCRA facility/product-listing evidence, U.S. responsible-person and serious-adverse-event SOP, GMP/safety substantiation, labels/INCI/net contents, COA/spec/SDS, stability, claim support and importer-of-record details. For U.S. sunscreen request exact drug establishment/listing/NDC-labeler records, final Drug Facts/artwork, M020 analysis, SPF/broad-spectrum/water-resistance testing, manufacturing controls and batch traceability.</x:v>
      </x:c>
      <x:c r="U4" s="21" t="str">
        <x:v>https://thefounders.kr/en</x:v>
      </x:c>
      <x:c r="V4" s="21" t="str">
        <x:v>Do not place an order or model margin from Korean/U.S. consumer prices. Require wholesale price list, MOQ/case pack, shelf life, batch traceability, samples, lead time, freight/duties, returns/damages, recalls, insurance/indemnity, exclusivity, territory, account protection, gray-market controls, serialization/HiddenTag policy, marketplace takedown cooperation and written authorization. Start with non-SPF heroes only if protected account economics exist.</x:v>
      </x:c>
    </x:row>
    <x:row r="5" ht="164" customHeight="1">
      <x:c r="A5" s="21" t="str">
        <x:v>TERM-LAN-001</x:v>
      </x:c>
      <x:c r="B5" s="21" t="str">
        <x:v>KB005</x:v>
      </x:c>
      <x:c r="C5" s="21" t="str">
        <x:v>AMOREPACIFIC US, Inc. — confirm exact U.S. wholesale seller, importer, responsible person and contracting entity by SKU</x:v>
      </x:c>
      <x:c r="D5" s="21" t="str">
        <x:v>laneige@apus.amorepacific.com; 1-877-325-1799</x:v>
      </x:c>
      <x:c r="E5" s="21" t="str">
        <x:v>Official U.S. customer-service/legal contact. Request routing to the Laneige wholesale, business development or authorized-distribution team and written confirmation of account, territory, channel, invoicing, import and regulatory ownership.</x:v>
      </x:c>
      <x:c r="F5" s="25" t="str">
        <x:v>2026-07-30</x:v>
      </x:c>
      <x:c r="G5" s="21" t="str">
        <x:v>Not Confirmed</x:v>
      </x:c>
      <x:c r="H5" s="21" t="str">
        <x:v>USD / KRW — quotation required</x:v>
      </x:c>
      <x:c r="I5" s="31"/>
      <x:c r="J5" s="31"/>
      <x:c r="K5" s="31" t="str">
        <x:v>Official sampled hero MSRP $19–$38; exact wholesale MSRP/MAP schedule required</x:v>
      </x:c>
      <x:c r="L5" s="35"/>
      <x:c r="M5" s="35"/>
      <x:c r="N5" s="21" t="str">
        <x:v>Not Confirmed</x:v>
      </x:c>
      <x:c r="O5" s="21" t="str">
        <x:v>Not Confirmed</x:v>
      </x:c>
      <x:c r="P5" s="21" t="str">
        <x:v>Not Confirmed</x:v>
      </x:c>
      <x:c r="Q5" s="21" t="str">
        <x:v>Official DTC, Amazon, TikTok Shop, Sephora/Kohl's and Aritaum create substantial account, territory, marketplace and promotion restrictions. Obtain written authorization by account, channel, territory and SKU.</x:v>
      </x:c>
      <x:c r="R5" s="21" t="str">
        <x:v>Not Confirmed — require MAP, promotion calendar, price protection, unauthorized-reseller enforcement, off-price policy and marketplace controls. Sampled Amazon lip prices were 20% below MSRP; sampled Walmart marketplace price was about 37% below MSRP.</x:v>
      </x:c>
      <x:c r="S5" s="21" t="str">
        <x:v>Not Requested</x:v>
      </x:c>
      <x:c r="T5" s="21" t="str">
        <x:v>Not Confirmed — request MoCRA facility/product-listing evidence, U.S. responsible-person confirmation, serious-adverse-event SOP, GMP/safety substantiation, labels/INCI/net contents, COA/spec/SDS, stability, claim support, batch traceability and importer-of-record details. Any future SPF SKU requires a separate complete U.S. OTC-drug file.</x:v>
      </x:c>
      <x:c r="U5" s="21" t="str">
        <x:v>https://us.laneige.com/policies/privacy-policy</x:v>
      </x:c>
      <x:c r="V5" s="21" t="str">
        <x:v>Do not place an order or model margin from consumer prices. Require wholesale price list, MOQ/case pack, shelf life, samples, lead time, freight/duties, returns/damages, recalls, insurance/indemnity, exclusivity, protected accounts, MAP/promotion terms, gray-market controls, serialization/batch traceability, marketplace takedown cooperation and licensed assets. Proceed only for protected non-conflicting accounts with workable landed margin.</x:v>
      </x:c>
    </x:row>
    <x:row r="6" ht="280" customHeight="1">
      <x:c r="A6" s="21" t="str">
        <x:v>TERM-SKN-001</x:v>
      </x:c>
      <x:c r="B6" s="21" t="str">
        <x:v>KB004</x:v>
      </x:c>
      <x:c r="C6" s="21" t="str">
        <x:v>CRAVER Corporation / SKIN1004 — confirm exact U.S. wholesale seller, importer, MoCRA responsible person and sunscreen OTC labeler/contracting entity by SKU</x:v>
      </x:c>
      <x:c r="D6" s="21" t="str">
        <x:v>sales@skin1004korea.com; hello@skin1004korea.com; skin1004nycflagship@cravercorp.com; +1 (646) 819-9968</x:v>
      </x:c>
      <x:c r="E6" s="21" t="str">
        <x:v>Official FAQ provides sales@skin1004korea.com for wholesale routing. Request written confirmation of account, territory, channel, invoicing, import, responsible-person and OTC-drug ownership.</x:v>
      </x:c>
      <x:c r="F6" s="25" t="str">
        <x:v>2026-07-30</x:v>
      </x:c>
      <x:c r="G6" s="21" t="str">
        <x:v>Not Confirmed</x:v>
      </x:c>
      <x:c r="H6" s="21" t="str">
        <x:v>USD / KRW — quotation required</x:v>
      </x:c>
      <x:c r="I6" s="31"/>
      <x:c r="J6" s="31"/>
      <x:c r="K6" s="31" t="str">
        <x:v>Selected U.S. hero MSRPs $18–$26 at Ulta; exact wholesale MSRP/MAP schedule required</x:v>
      </x:c>
      <x:c r="L6" s="35"/>
      <x:c r="M6" s="35"/>
      <x:c r="N6" s="21" t="str">
        <x:v>Not Confirmed</x:v>
      </x:c>
      <x:c r="O6" s="21" t="str">
        <x:v>Official FAQ says U.S. DTC orders are fulfilled from a U.S. warehouse; wholesale warehouse, lead time and freight terms not confirmed</x:v>
      </x:c>
      <x:c r="P6" s="21" t="str">
        <x:v>Not Confirmed</x:v>
      </x:c>
      <x:c r="Q6" s="21" t="str">
        <x:v>Official DTC, Amazon, TikTok Shop, Ulta, Target/Walmart visibility, New York flagship and existing specialty authorized sellers create material account, territory, marketplace and promotion restrictions. Obtain written authorization by account, channel, territory and SKU.</x:v>
      </x:c>
      <x:c r="R6" s="21" t="str">
        <x:v>Not Confirmed — require MAP, promotion calendar, price protection, unauthorized-reseller enforcement, off-price policy and marketplace controls. Sampled Amazon hero prices were approximately 26%–47% below selected Ulta MSRPs.</x:v>
      </x:c>
      <x:c r="S6" s="21" t="str">
        <x:v>Not Requested</x:v>
      </x:c>
      <x:c r="T6" s="21" t="str">
        <x:v>Not Confirmed — request MoCRA facility/product-listing evidence, U.S. responsible-person confirmation, serious-adverse-event/recall SOPs, GMP and safety substantiation, labels/INCI/net contents, COA/spec/SDS, stability, claim support, batch traceability and importer-of-record details. For Sun Serum UV SPF 50 require complete U.S. OTC file tied to NDC 85796-2805, Drug Facts, testing, establishment/product records and exact U.S. formula/packaging controls.</x:v>
      </x:c>
      <x:c r="U6" s="21" t="str">
        <x:v>https://www.skin1004.com/pages/faq</x:v>
      </x:c>
      <x:c r="V6" s="21" t="str">
        <x:v>Do not place an order or model margin from consumer prices. Require wholesale price list, MOQ/case pack, shelf life, samples, lead time, freight/duties, returns/damages, recalls, insurance/indemnity, exclusivity, protected accounts, MAP/promotion terms, gray-market controls, serialization/batch traceability, marketplace takedown cooperation and licensed assets. Exclude Korean/global sunscreen from U.S. resale. Proceed only for protected non-conflicting accounts with workable landed margin.</x:v>
      </x:c>
    </x:row>
    <x:row r="7" ht="310" customHeight="1">
      <x:c r="A7" s="21" t="str">
        <x:v>TERM-TIR-001</x:v>
      </x:c>
      <x:c r="B7" s="21" t="str">
        <x:v>KB006</x:v>
      </x:c>
      <x:c r="C7" s="21" t="str">
        <x:v>GOODAI GLOBAL INC. / TIRTIR Co., Ltd. / TIRTIR USA Inc. / GOODAI GLOBAL USA / Hansung USA — confirm exact U.S. wholesale seller, importer, MoCRA responsible person, OTC labeler and contracting entity by SKU</x:v>
      </x:c>
      <x:c r="D7" s="21" t="str">
        <x:v>raheelim@tirtir.co.kr; biz@tirtir.co.kr; cs@tirtir.global</x:v>
      </x:c>
      <x:c r="E7" s="21" t="str">
        <x:v>Official Korean export/partnership contacts and U.S. customer-service contact. Request routing to U.S. wholesale/business development and written confirmation of entity, account, territory, channel, invoicing, import, responsible-person and OTC ownership.</x:v>
      </x:c>
      <x:c r="F7" s="25" t="str">
        <x:v>2026-07-30</x:v>
      </x:c>
      <x:c r="G7" s="21" t="str">
        <x:v>Not Confirmed</x:v>
      </x:c>
      <x:c r="H7" s="21" t="str">
        <x:v>USD / KRW — quotation required</x:v>
      </x:c>
      <x:c r="I7" s="31"/>
      <x:c r="J7" s="31"/>
      <x:c r="K7" s="31" t="str">
        <x:v>Core sampled U.S. MSRP: cushions $25, setting spray $15, concealer $16 and Milk Skin Toner $25; exact wholesale MSRP/MAP schedule required</x:v>
      </x:c>
      <x:c r="L7" s="35"/>
      <x:c r="M7" s="35"/>
      <x:c r="N7" s="21" t="str">
        <x:v>Not Confirmed</x:v>
      </x:c>
      <x:c r="O7" s="21" t="str">
        <x:v>Not Confirmed — TIRTIR USA Inc. and GOODAI/Hansung U.S. infrastructure exist, but wholesale warehouse, lead time, allocation and freight terms were not public</x:v>
      </x:c>
      <x:c r="P7" s="21" t="str">
        <x:v>Not Confirmed</x:v>
      </x:c>
      <x:c r="Q7" s="21" t="str">
        <x:v>Official DTC, Amazon, TikTok Shop, Ulta, Costco, iHerb and direct GOODAI/Hansung U.S. infrastructure create material account, territory, marketplace, specialty, club and promotion restrictions. Obtain written authorization by account, customer segment, channel, territory and SKU.</x:v>
      </x:c>
      <x:c r="R7" s="21" t="str">
        <x:v>Not Confirmed — require MAP, promotion calendar, price protection, unauthorized-reseller enforcement, off-price/club policy and marketplace controls. Current official/Amazon promotions commonly reached 15%–25%; Walmart and cross-border prices/sellers create additional pressure.</x:v>
      </x:c>
      <x:c r="S7" s="21" t="str">
        <x:v>Not Requested</x:v>
      </x:c>
      <x:c r="T7" s="21" t="str">
        <x:v>Not Confirmed — request cosmetics MoCRA facility/product-listing evidence, U.S. responsible-person confirmation, serious-adverse-event/recall SOPs, GMP and safety substantiation, current U.S. labels/INCI/net contents, COA/spec/SDS, stability, claim support, batch traceability, shade/formula change control and importer-of-record details. Hydro UV Shield SPF 50: require complete U.S. OTC file tied to NDC 87496-201/M020, Drug Facts, testing and exact U.S. formula/artwork. Exclude cross-border SPF 40/PA++ cushion packaging from U.S. cosmetic resale.</x:v>
      </x:c>
      <x:c r="U7" s="21" t="str">
        <x:v>https://www.goodai-global.com/en/company/history</x:v>
      </x:c>
      <x:c r="V7" s="21" t="str">
        <x:v>Do not place an order or model margin from consumer prices. Require wholesale price list, MOQ/case pack, shelf life, samples/testers, lead time, freight/duties, returns/damages/shade returns, recalls, insurance/indemnity, protected accounts, exclusivity/territory, MAP/promotion funding, gray-market controls, serialization/batch traceability, marketplace takedown cooperation and licensed assets. Proceed only for protected non-conflicting accounts with workable landed margin.</x:v>
      </x:c>
    </x:row>
    <x:row r="8" ht="330" customHeight="1">
      <x:c r="A8" s="21" t="str">
        <x:v>TERM-VT-001</x:v>
      </x:c>
      <x:c r="B8" s="21" t="str">
        <x:v>KB007</x:v>
      </x:c>
      <x:c r="C8" s="21" t="str">
        <x:v>VT CO., Ltd. / VT Cosmetics / VT Cosmetics US — confirm exact U.S. wholesale seller, importer, MoCRA responsible person and contracting entity by SKU</x:v>
      </x:c>
      <x:c r="D8" s="21" t="str">
        <x:v>overseassales@vt-cosmetics.co.kr; cs_global@vt-cosmetics.co.kr; 1661-9456</x:v>
      </x:c>
      <x:c r="E8" s="21" t="str">
        <x:v>Official global retailer page supplies the B2B and customer-service contacts. Request routing to U.S. wholesale/business development and written confirmation of legal entity, invoicing, inventory ownership, importer of record, responsible person, territory, account and SKU rights.</x:v>
      </x:c>
      <x:c r="F8" s="25" t="str">
        <x:v>2026-07-30</x:v>
      </x:c>
      <x:c r="G8" s="21" t="str">
        <x:v>Not Confirmed</x:v>
      </x:c>
      <x:c r="H8" s="21" t="str">
        <x:v>USD / KRW — quotation required</x:v>
      </x:c>
      <x:c r="I8" s="31"/>
      <x:c r="J8" s="31"/>
      <x:c r="K8" s="31" t="str">
        <x:v>Core sampled U.S. MSRP: Reedle Shot 100 $26, PDRN Essence $28, Capsule Cream $20, Lip Plumper Expert $16 and Cica Daily Mask about $21; exact wholesale MSRP/MAP schedule required</x:v>
      </x:c>
      <x:c r="L8" s="35"/>
      <x:c r="M8" s="35"/>
      <x:c r="N8" s="21" t="str">
        <x:v>Not Confirmed</x:v>
      </x:c>
      <x:c r="O8" s="21" t="str">
        <x:v>Not Confirmed — official U.S. Amazon/TikTok operation exists, but wholesale warehouse, allocation, lead time, freight and case-pack terms were not public</x:v>
      </x:c>
      <x:c r="P8" s="21" t="str">
        <x:v>Not Confirmed</x:v>
      </x:c>
      <x:c r="Q8" s="21" t="str">
        <x:v>Official DTC, Amazon, TikTok Shop, Ulta, Target, Nordstrom, Costco, iHerb, Song of Skin, Moida and cross-border authorized sellers create material marketplace, specialty, mass, department, club and promotion conflicts. Obtain written authorization by account, channel, territory and SKU.</x:v>
      </x:c>
      <x:c r="R8" s="21" t="str">
        <x:v>Not Confirmed — require MAP, promotion calendar, price protection, unauthorized-reseller enforcement, club/off-price policy and marketplace controls. Public official/Amazon/TikTok offers often discount 10%–40%; Walmart and cross-border sellers add further pressure.</x:v>
      </x:c>
      <x:c r="S8" s="21" t="str">
        <x:v>Not Requested</x:v>
      </x:c>
      <x:c r="T8" s="21" t="str">
        <x:v>Not Confirmed — request MoCRA facility registrations/product listings, U.S. responsible-person confirmation, serious-adverse-event/recall SOPs, GMP and safety substantiation, current U.S. labels/INCI/net contents, COA/spec/SDS, microbiology, stability, packaging compatibility, claim support, batch/lot traceability and importer-of-record details. Require U.S. counsel review of all microneedling, penetration/absorption, acne/pustule, scar, repair/regeneration, exosome/PDRN, collagen and hair-growth language. Obtain sensitization/irritation files and consumer-use warnings for Reedle and Lip Plumper.</x:v>
      </x:c>
      <x:c r="U8" s="21" t="str">
        <x:v>https://globalvt-cosmetics.com/pages/retailers</x:v>
      </x:c>
      <x:c r="V8" s="21" t="str">
        <x:v>Do not place an order or model margin from consumer prices. Require wholesale price list, MOQ/case pack, shelf life, samples/testers, lead time, freight/duties, returns/damages/adverse reactions, recalls, insurance/indemnity, protected accounts, exclusivity/territory, MAP/promotion funding, gray-market/counterfeit controls, serialization/batch traceability, marketplace takedown cooperation and licensed claims-approved assets. Start with lower-sensation Reedle 50/100, PDRN hydration and daily-mask SKUs only if protected economics and U.S. claim files are complete.</x:v>
      </x:c>
    </x:row>
    <x:row r="9" ht="330" customHeight="1">
      <x:c r="A9" s="21" t="str">
        <x:v>TERM-RL-001</x:v>
      </x:c>
      <x:c r="B9" s="21" t="str">
        <x:v>KB008</x:v>
      </x:c>
      <x:c r="C9" s="21" t="str">
        <x:v>SEORIN COMPANY Co., Ltd. / UB Round Lab LLC — confirm exact U.S. wholesale seller, importer, MoCRA responsible person, OTC labeler and contracting entity by SKU</x:v>
      </x:c>
      <x:c r="D9" s="21" t="str">
        <x:v>sales@roundlab.co.kr; trade@roundlab.co.kr; hello@roundlab.com</x:v>
      </x:c>
      <x:c r="E9" s="21" t="str">
        <x:v>Official Korean company footer and U.S. privacy/contact pages supply these contacts. Request routing to U.S. wholesale/business development and written confirmation of legal entity, invoicing, inventory ownership, importer of record, responsible person, OTC labeler/registrant, territory, account and SKU rights.</x:v>
      </x:c>
      <x:c r="F9" s="25" t="str">
        <x:v>2026-07-30</x:v>
      </x:c>
      <x:c r="G9" s="21" t="str">
        <x:v>Not Confirmed</x:v>
      </x:c>
      <x:c r="H9" s="21" t="str">
        <x:v>USD / KRW — quotation required</x:v>
      </x:c>
      <x:c r="I9" s="31"/>
      <x:c r="J9" s="31"/>
      <x:c r="K9" s="31" t="str">
        <x:v>Sampled U.S. shelf anchors: 200 mL Dokdo Toner $16.99, Dokdo Cleanser $17, Birch Cream $36 and both UVLock sunscreens $24.99; exact wholesale MSRP/MAP schedule required</x:v>
      </x:c>
      <x:c r="L9" s="35"/>
      <x:c r="M9" s="35"/>
      <x:c r="N9" s="21" t="str">
        <x:v>Not Confirmed</x:v>
      </x:c>
      <x:c r="O9" s="21" t="str">
        <x:v>Not Confirmed — official U.S. warehouse/entity and broad retail presence exist, but wholesale allocation, lead time, freight, case pack and service levels were not public</x:v>
      </x:c>
      <x:c r="P9" s="21" t="str">
        <x:v>Not Confirmed</x:v>
      </x:c>
      <x:c r="Q9" s="21" t="str">
        <x:v>Official DTC, Amazon, TikTok Shop, Ulta, Target, Costco, iHerb, Olive Young/cross-border sellers and Walmart marketplace create material marketplace, mass, specialty, club and promotion conflicts. Obtain written authorization by account, channel, territory and SKU. Sunscreen authorization must name the exact U.S. NDC/formula/size.</x:v>
      </x:c>
      <x:c r="R9" s="21" t="str">
        <x:v>Not Confirmed — require MAP, promotion calendar, price protection, unauthorized-reseller enforcement, club/off-price policy, cross-border controls and marketplace rules. Current Target/Amazon/DTC/TikTok and club offers materially compress price.</x:v>
      </x:c>
      <x:c r="S9" s="21" t="str">
        <x:v>Not Requested</x:v>
      </x:c>
      <x:c r="T9" s="21" t="str">
        <x:v>Not Confirmed — request MoCRA facility registrations/product listings, U.S. responsible-person confirmation, serious-adverse-event/recall SOPs, GMP and safety substantiation, current U.S. labels/INCI/net contents, COA/spec/SDS, microbiology, stability, packaging compatibility, claim support, batch/lot traceability and importer-of-record details. For every sunscreen require current drug establishment/product listing, labeler/registrant/manufacturer roles, NDC-specific Drug Facts/final artwork, monograph conformity, SPF/broad-spectrum/water-resistance tests, stability, batch controls and proof that supplied inventory is the U.S. OTC formula. Require counsel review of eczema, circulation, immunity, cell rejuvenation, detox, pigmentation, collagen, hair-loss, acne and cell-turnover language.</x:v>
      </x:c>
      <x:c r="U9" s="21" t="str">
        <x:v>https://roundlab.co.kr/shopinfo/company.html</x:v>
      </x:c>
      <x:c r="V9" s="21" t="str">
        <x:v>Do not place an order or model margin from consumer prices. Require wholesale price list, MOQ/case pack, shelf life, samples/testers, lead time, freight/duties, returns/damages/adverse reactions, recalls, insurance/indemnity, protected accounts, exclusivity/territory, MAP/promotion funding, gray-market/counterfeit controls, serialization/batch traceability, marketplace takedown cooperation and licensed claims-approved assets. Start with non-SPF Dokdo Toner/Cleanser and Birch Cream unless full U.S. OTC sunscreen documentation and protected channel economics are complete.</x:v>
      </x:c>
    </x:row>
    <x:row r="10" ht="360" customHeight="1">
      <x:c r="A10" s="21" t="str">
        <x:v>TERM-MED-001</x:v>
      </x:c>
      <x:c r="B10" s="21" t="str">
        <x:v>KB009</x:v>
      </x:c>
      <x:c r="C10" s="21" t="str">
        <x:v>L&amp;P Cosmetic Co., Ltd. / LNP COSMETICS / Mediheal — confirm exact U.S. wholesale seller, inventory owner, importer, MoCRA responsible person, OTC labeler/registrant and contracting entity by SKU</x:v>
      </x:c>
      <x:c r="D10" s="21" t="str">
        <x:v>medihealus@medihealcos.com; hello@medihealus.com — request routing to U.S. wholesale/business development</x:v>
      </x:c>
      <x:c r="E10" s="21" t="str">
        <x:v>Official DTC footer, policies and company pages provide customer-service contacts and Korean company details. Request written confirmation of legal entity, invoicing, U.S. inventory/warehouse, importer of record, responsible person, OTC labeler/registrant, territory, account and SKU rights.</x:v>
      </x:c>
      <x:c r="F10" s="25" t="str">
        <x:v>2026-07-30</x:v>
      </x:c>
      <x:c r="G10" s="21" t="str">
        <x:v>Not Confirmed</x:v>
      </x:c>
      <x:c r="H10" s="21" t="str">
        <x:v>USD / KRW — quotation required</x:v>
      </x:c>
      <x:c r="I10" s="31"/>
      <x:c r="J10" s="31"/>
      <x:c r="K10" s="31" t="str">
        <x:v>Sampled U.S. shelf anchors: 100-pad jars $26.40, essential mask 10-packs $22, treatment serums $18.70 and Madecassoside Sun Serum $22; exact wholesale MSRP/MAP schedule required</x:v>
      </x:c>
      <x:c r="L10" s="35"/>
      <x:c r="M10" s="35"/>
      <x:c r="N10" s="21" t="str">
        <x:v>Not Confirmed</x:v>
      </x:c>
      <x:c r="O10" s="21" t="str">
        <x:v>Not Confirmed — broad direct/national retail and apparent official U.S. fulfillment exist, but wholesale MOQ, case pack, lead time, fill rate, freight, allocation and service levels were not public</x:v>
      </x:c>
      <x:c r="P10" s="21" t="str">
        <x:v>Not Confirmed</x:v>
      </x:c>
      <x:c r="Q10" s="21" t="str">
        <x:v>Official DTC, Amazon seller Mediheal Cos, TikTok Shop, Ulta, Target, Costco, iHerb, Olive Young, cross-border retailers and Walmart marketplace create material marketplace, specialty, mass, club and promotional conflict. Obtain written authorization by account, channel, territory and SKU. Sunscreen authorization must name exact NDC 74005-002, formula, size and artwork.</x:v>
      </x:c>
      <x:c r="R10" s="21" t="str">
        <x:v>Not Confirmed — require MAP, promotion calendar, price protection, club/off-price policy, unauthorized-reseller enforcement, cross-border controls and marketplace rules. Amazon $16.80 pad deals are about 36% below current $26.40 DTC/Ulta list, while TikTok Shop displayed $39.60 for newer pads.</x:v>
      </x:c>
      <x:c r="S10" s="21" t="str">
        <x:v>Not Requested</x:v>
      </x:c>
      <x:c r="T10" s="21" t="str">
        <x:v>Not Confirmed — request MoCRA facility registrations/product listings, U.S. responsible-person confirmation, serious-adverse-event/recall SOPs, GMP and safety substantiation, current U.S. labels/INCI/net contents, COA/spec/SDS, microbiology, preservative-efficacy, stability, packaging compatibility, claim support, batch/lot traceability and importer-of-record details. For the Madecassoside Moisture Sun Serum require current drug establishment/product listing, labeler/registrant/manufacturer roles, NDC 74005-002 Drug Facts and final artwork, monograph conformity, SPF/broad-spectrum/water-resistance tests, stability and formula/lot reconciliation against the official DTC ingredient page. Require counsel review of acne treatment, blemish repair, penetration, lifting, wrinkle, pore-tightening and skin-renewal claims.</x:v>
      </x:c>
      <x:c r="U10" s="21" t="str">
        <x:v>https://mediheal.com/pages/about-us-1</x:v>
      </x:c>
      <x:c r="V10" s="21" t="str">
        <x:v>Do not place an order or model margin from consumer prices. Request: wholesale price tiers and net landed cost; MOQ/case pack; U.S. warehouse and Incoterms; shelf life/PAO and minimum remaining life; samples/testers; lead time/fill rate; returns/damages/adverse reactions; recall/insurance/indemnity; protected accounts/exclusivity/territory; MAP/promotion funding; counterfeit/gray-market controls; serialization/lot traceability; licensed claims-approved assets; refill compatibility; clinical substantiation; and a test program. Start with non-drug Madecassoside/Teatree pads and masks unless a protected sunscreen program and complete U.S. OTC file are supplied.</x:v>
      </x:c>
    </x:row>
    <x:row r="11" ht="380" customHeight="1">
      <x:c r="A11" s="21" t="str">
        <x:v>TERM-DJ-001</x:v>
      </x:c>
      <x:c r="B11" s="21" t="str">
        <x:v>KB010</x:v>
      </x:c>
      <x:c r="C11" s="21" t="str">
        <x:v>Have &amp; Be USA, Inc. / Have &amp; Be Co., Ltd. / The Estée Lauder Companies — confirm exact U.S. wholesale seller, inventory owner, importer, MoCRA responsible person, OTC labeler/registrant and contracting entity by SKU and shade</x:v>
      </x:c>
      <x:c r="D11" s="21" t="str">
        <x:v>Use the official Dr.Jart+ U.S. Contact Us and request routing to Have &amp; Be USA / Estée Lauder wholesale or business development; no public wholesale email was confirmed</x:v>
      </x:c>
      <x:c r="E11" s="21" t="str">
        <x:v>Official DTC footer/store pages identify Have &amp; Be USA, while SEC/DailyMed records identify Have &amp; Be and Estée Lauder roles. Request written legal-entity, invoicing, warehouse, importer, responsible-person, labeler/registrant, territory, account, channel, SKU and shade confirmation.</x:v>
      </x:c>
      <x:c r="F11" s="25" t="str">
        <x:v>2026-07-31</x:v>
      </x:c>
      <x:c r="G11" s="21" t="str">
        <x:v>Not Confirmed</x:v>
      </x:c>
      <x:c r="H11" s="21" t="str">
        <x:v>USD / KRW — quotation required</x:v>
      </x:c>
      <x:c r="I11" s="31"/>
      <x:c r="J11" s="31"/>
      <x:c r="K11" s="31" t="str">
        <x:v>Observed official U.S. shelf anchors: Cicapair $25 mini / $54 value; Ceramidin and Cicapair 50 mL moisturizers $52; Cryo Rubber $16.50; Premium BB SPF 40 $49</x:v>
      </x:c>
      <x:c r="L11" s="35"/>
      <x:c r="M11" s="35"/>
      <x:c r="N11" s="21" t="str">
        <x:v>Not Confirmed</x:v>
      </x:c>
      <x:c r="O11" s="21" t="str">
        <x:v>Not Confirmed — mature U.S. DTC, Sephora/Kohl's, Amazon Premium Beauty and TikTok Shop infrastructure exists, but wholesale MOQ, case pack, lead time, fill rate, freight, allocation and service levels were not public</x:v>
      </x:c>
      <x:c r="P11" s="21" t="str">
        <x:v>Not Confirmed and unlikely for broad e-commerce — require account-, territory-, channel-, SKU- and shade-specific written authorization</x:v>
      </x:c>
      <x:c r="Q11" s="21" t="str">
        <x:v>Official DTC, Sephora, Kohl's, Amazon Premium Beauty, TikTok Shop, cross-border/off-price sellers and Target/Walmart marketplaces create severe conflict. Obtain written authorization and a current authorized-seller/account list. SPF authorization must name exact NDC, shade, size, formula and final artwork.</x:v>
      </x:c>
      <x:c r="R11" s="21" t="str">
        <x:v>Not Confirmed — require MSRP/MAP, promotion calendar, price protection, off-price/club policy, unauthorized-reseller enforcement, cross-border controls, marketplace rules and inventory/return protections.</x:v>
      </x:c>
      <x:c r="S11" s="21" t="str">
        <x:v>Not Requested</x:v>
      </x:c>
      <x:c r="T11" s="21" t="str">
        <x:v>Not Confirmed — request current MoCRA facility registrations/product listings, U.S. responsible-person confirmation, safety substantiation, serious-adverse-event/recall SOPs, GMP evidence, U.S. labels/INCI/net contents, COA/spec/SDS, microbiology, preservative-efficacy, stability, packaging compatibility, claims substantiation, batch/lot traceability, insurance and importer-of-record details. For Cicapair SPF 30 require current NDC 49404-156 Drug Facts and exact size/formula/artwork parity. For Premium BB require shade-specific NDC/Drug Facts files beyond the verified Fair-Light NDC 49404-148-02, plus monograph conformity, SPF/broad-spectrum/water-resistance testing and stability. Require counsel review of redness, rosacea, barrier-repair, post-procedure, sensitive-skin and anti-aging claims.</x:v>
      </x:c>
      <x:c r="U11" s="21" t="str">
        <x:v>https://www.drjart.com/about</x:v>
      </x:c>
      <x:c r="V11" s="21" t="str">
        <x:v>Do not place an order or model margins from consumer prices. Request: wholesale tiers and net landed cost; MOQ/case pack; U.S. warehouse and Incoterms; shelf life/PAO and minimum remaining life; samples/testers; lead time/fill rate; returns/damages/adverse reactions; recall/insurance/indemnity; protected accounts/exclusivity/territory; MAP/promotion funding; counterfeit/gray-market controls; serialization/lot traceability; licensed claims-approved assets; clinical substantiation; and an account-specific test. Do not pursue undifferentiated Amazon/TikTok/Walmart/Target resale. Start only with a protected non-SPF skincare or mask program unless complete OTC files and shade controls are supplied.</x:v>
      </x:c>
    </x:row>
    <x:row r="12" ht="410" customHeight="1">
      <x:c r="A12" s="21" t="str">
        <x:v>TERM-TOR-001</x:v>
      </x:c>
      <x:c r="B12" s="21" t="str">
        <x:v>KB011</x:v>
      </x:c>
      <x:c r="C12" s="21" t="str">
        <x:v>Torriden Co., Ltd. — confirm exact U.S. wholesale seller, merchant of record, inventory owner, importer of record, MoCRA responsible person, warehouse operator and manufacturing facilities by SKU</x:v>
      </x:c>
      <x:c r="D12" s="21" t="str">
        <x:v>torriden.usa@torriden.com</x:v>
      </x:c>
      <x:c r="E12" s="21" t="str">
        <x:v>Official U.S. story/footer contact and Korean corporate pages. Request routing to U.S. wholesale/business development and written legal-entity, invoicing, warehouse, importer, responsible-person, territory, account, channel and SKU confirmation.</x:v>
      </x:c>
      <x:c r="F12" s="25" t="str">
        <x:v>2026-08-01</x:v>
      </x:c>
      <x:c r="G12" s="21" t="str">
        <x:v>Not Confirmed</x:v>
      </x:c>
      <x:c r="H12" s="21" t="str">
        <x:v>USD / KRW — quotation required</x:v>
      </x:c>
      <x:c r="I12" s="31"/>
      <x:c r="J12" s="31"/>
      <x:c r="K12" s="31" t="str">
        <x:v>Observed official U.S. anchors: DIVE IN Serum $24/50 mL; Soothing Cream $27/100 mL; Toner $23/300 mL; Mask $33/10; SOLID IN Lip Essence $11/11 mL</x:v>
      </x:c>
      <x:c r="L12" s="35"/>
      <x:c r="M12" s="35"/>
      <x:c r="N12" s="21" t="str">
        <x:v>Not Confirmed</x:v>
      </x:c>
      <x:c r="O12" s="21" t="str">
        <x:v>Not Confirmed — mature U.S. DTC, Amazon, TikTok Shop, Sephora, Costco and Olive Young infrastructure exists, but wholesale MOQ, case pack, lead time, fill rate, freight, allocation and service levels were not public</x:v>
      </x:c>
      <x:c r="P12" s="21" t="str">
        <x:v>Not Confirmed and unlikely for broad e-commerce — require account-, territory-, channel- and SKU-specific written authorization</x:v>
      </x:c>
      <x:c r="Q12" s="21" t="str">
        <x:v>Official DTC, Amazon and TikTok Shop, Sephora, Costco, Olive Young, cross-border discounters and Walmart marketplace create severe conflict. Obtain a current authorized-seller/account list and explicit rights. Korean-market SPF products require separate exact U.S. OTC authorization and files.</x:v>
      </x:c>
      <x:c r="R12" s="21" t="str">
        <x:v>Not Confirmed — require MSRP/MAP schedule, promotion calendar, club/off-price and cross-border policy, price protection, unauthorized-reseller enforcement, marketplace rules and inventory/return protections.</x:v>
      </x:c>
      <x:c r="S12" s="21" t="str">
        <x:v>Not Requested</x:v>
      </x:c>
      <x:c r="T12" s="21" t="str">
        <x:v>Not Confirmed — request current MoCRA facility registrations/product listings, U.S. responsible-person confirmation, safety substantiation, serious-adverse-event/recall SOPs, GMP evidence, U.S. labels/INCI/net contents, COA/spec/SDS, microbiology, preservative-efficacy, stability, packaging compatibility, claims substantiation, batch/lot traceability, insurance, manufacturer and importer-of-record details. Require formula/package version mapping and counsel review of deep-layer, pore-tightening, wrinkle, pigmentation, acne, sensitive-skin and barrier-repair claims. Do not accept Korean sunscreen for U.S. distribution without exact U.S. OTC/NDC/Drug Facts, actives, monograph conformity, SPF/broad-spectrum/water-resistance testing, stability and final artwork.</x:v>
      </x:c>
      <x:c r="U12" s="21" t="str">
        <x:v>https://torriden.us/pages/torriden-story</x:v>
      </x:c>
      <x:c r="V12" s="21" t="str">
        <x:v>Do not place an order or model margins from consumer prices. Request wholesale tiers and net landed cost; MOQ/case pack; U.S. warehouse and Incoterms; shelf life/PAO and minimum remaining life; samples/testers; lead time/fill rate; returns/damages/adverse reactions; recall/insurance/indemnity; protected accounts/exclusivity/territory; MAP/promotion funding; Costco/off-price/cross-border policy; counterfeit/gray-market controls; serialization/lot traceability; licensed claims-approved assets; clinical substantiation; and an account-specific pilot. Do not pursue undifferentiated Amazon, TikTok, Walmart or club resale.</x:v>
      </x:c>
    </x:row>
    <x:row r="13" ht="160" customHeight="1">
      <x:c r="A13" s="21" t="str">
        <x:v>TERM-NBZ-001</x:v>
      </x:c>
      <x:c r="B13" s="21" t="str">
        <x:v>KB012</x:v>
      </x:c>
      <x:c r="C13" s="21" t="str">
        <x:v>BENOW BEAUTY Inc. / Numbuzin — confirm exact manufacturer, U.S. wholesale seller, inventory owner, importer of record, MoCRA responsible person, warehouse operator and factories by SKU</x:v>
      </x:c>
      <x:c r="D13" s="21" t="str">
        <x:v>sales@benow.co.kr</x:v>
      </x:c>
      <x:c r="E13" s="21" t="str">
        <x:v>Official About/FAQ contacts: sales@benow.co.kr for wholesale, marketing@benow.co.kr for marketing and cs_numbuzinus@benow.co.kr for U.S. consumer support. Request written legal-entity, invoicing, warehouse, importer, responsible-person, territory, account, channel and SKU confirmation.</x:v>
      </x:c>
      <x:c r="F13" s="25" t="str">
        <x:v>2026-08-01</x:v>
      </x:c>
      <x:c r="G13" s="21" t="str">
        <x:v>Not Confirmed</x:v>
      </x:c>
      <x:c r="H13" s="21" t="str">
        <x:v>USD / KRW — quotation required</x:v>
      </x:c>
      <x:c r="I13" s="31"/>
      <x:c r="J13" s="31"/>
      <x:c r="K13" s="31" t="str">
        <x:v>Observed official/retail anchors: No. 9 Essence $29/50 mL; No. 5 Serum $20-$26/30 mL; No. 3 Toner $19-$22/200 mL; No. 9 Toner $19-$22/200 mL; No. 3 Serum $28/50 mL</x:v>
      </x:c>
      <x:c r="L13" s="35"/>
      <x:c r="M13" s="35"/>
      <x:c r="N13" s="21" t="str">
        <x:v>Not Confirmed</x:v>
      </x:c>
      <x:c r="O13" s="21" t="str">
        <x:v>Not Confirmed — official U.S. DTC/fulfillment, Amazon, TikTok Shop, Ulta, Target and Costco already exist; request MOQ, case pack, lead time, fill rate, freight, allocation, shelf life and service levels</x:v>
      </x:c>
      <x:c r="P13" s="21" t="str">
        <x:v>Not Confirmed and unlikely for broad e-commerce — require account-, geography-, channel- and SKU-specific written protection</x:v>
      </x:c>
      <x:c r="Q13" s="21" t="str">
        <x:v>Official DTC, Amazon, TikTok, Ulta, Target, Costco and cross-border discounters create severe conflict. Obtain current authorized-seller/account lists. Exclude Korean or other-market sunscreen unless exact U.S. OTC NDC/Drug Facts/formula/label match is documented.</x:v>
      </x:c>
      <x:c r="R13" s="21" t="str">
        <x:v>Not Confirmed — require MSRP/MAP schedule, promotion calendar, club/off-price and cross-border policy, price protection, unauthorized-reseller enforcement, marketplace rules and inventory/return protections.</x:v>
      </x:c>
      <x:c r="S13" s="21" t="str">
        <x:v>Not Requested</x:v>
      </x:c>
      <x:c r="T13" s="21" t="str">
        <x:v>Not Confirmed — request current MoCRA facility registrations/product listings, U.S. responsible-person confirmation, safety substantiation, serious-adverse-event/recall SOPs, GMP evidence, U.S. labels/INCI/net contents, COA/spec/SDS, microbiology, preservative-efficacy, stability, packaging compatibility, claims substantiation, batch/lot traceability, insurance, manufacturer and importer details. Require formula/package version mapping and counsel review of penetration, pore, elasticity, wrinkle, dark-spot, collagen, NAD+ and PDRN claims. For sunscreen, require exact DailyMed/NDC/Drug Facts match, active-ingredient and monograph conformity, SPF/broad-spectrum/water-resistance testing, stability and final artwork.</x:v>
      </x:c>
      <x:c r="U13" s="21" t="str">
        <x:v>https://us.numbuzin.com/pages/numbuzin</x:v>
      </x:c>
      <x:c r="V13" s="21" t="str">
        <x:v>Do not place an order or model margins from consumer prices. Request wholesale tiers/net landed cost; MOQ/case pack; U.S. warehouse and Incoterms; shelf life/PAO and minimum remaining life; samples/testers; lead time/fill rate; returns/damages/adverse reactions; recall/insurance/indemnity; protected accounts/exclusivity/territory; MAP/promotion funding; Target/Ulta/Costco/off-price/cross-border policy; counterfeit/gray-market controls; serialization/lot traceability; licensed claims-approved assets; and an account-specific pilot. Do not pursue undifferentiated Amazon, TikTok, Walmart marketplace or club resale.</x:v>
      </x:c>
    </x:row>
    <x:row r="14" ht="170" customHeight="1">
      <x:c r="A14" s="21" t="str">
        <x:v>TERM-MIX-001</x:v>
      </x:c>
      <x:c r="B14" s="21" t="str">
        <x:v>KB013</x:v>
      </x:c>
      <x:c r="C14" s="21" t="str">
        <x:v>PARKET INC. / Mixsoon — confirm exact manufacturer, U.S. wholesale seller, inventory owner, importer of record, MoCRA responsible person, warehouse operator and factories by SKU</x:v>
      </x:c>
      <x:c r="D14" s="21" t="str">
        <x:v>b2binquiry@pkcosm.com</x:v>
      </x:c>
      <x:c r="E14" s="21" t="str">
        <x:v>Official U.S. About/footer and Korean corporate page provide the B2B contact; customer service is global_cs@mixsoon.us. Request written legal-entity, invoicing, warehouse, importer, responsible-person, territory, account, channel and SKU confirmation.</x:v>
      </x:c>
      <x:c r="F14" s="25" t="str">
        <x:v>2026-08-01</x:v>
      </x:c>
      <x:c r="G14" s="21" t="str">
        <x:v>Not Confirmed</x:v>
      </x:c>
      <x:c r="H14" s="21" t="str">
        <x:v>USD / KRW — quotation required</x:v>
      </x:c>
      <x:c r="I14" s="31"/>
      <x:c r="J14" s="31"/>
      <x:c r="K14" s="31" t="str">
        <x:v>Observed current/list anchors: Bean Essence $28/$35; Bean Cream $28/$35; Glacier Serum $23.20/$29; Bean Cleansing Oil $20/$25; PDRN Tinted Moisturizer about $22</x:v>
      </x:c>
      <x:c r="L14" s="35"/>
      <x:c r="M14" s="35"/>
      <x:c r="N14" s="21" t="str">
        <x:v>Not Confirmed</x:v>
      </x:c>
      <x:c r="O14" s="21" t="str">
        <x:v>Not Confirmed — official U.S. DTC, Amazon, TikTok Shop, Ulta, Walmart, Costco, TJX and cross-border channels already exist; request MOQ, case pack, lead time, fill rate, allocation, freight, shelf life and service levels</x:v>
      </x:c>
      <x:c r="P14" s="21" t="str">
        <x:v>Not Confirmed and unlikely for broad e-commerce — require account-, geography-, channel- and SKU-specific written protection</x:v>
      </x:c>
      <x:c r="Q14" s="21" t="str">
        <x:v>Official DTC/Amazon/TikTok plus Ulta/Walmart/Costco/TJX and authorized cross-border retailers create severe conflict. Obtain current authorized-seller/account list, off-price/club rules and product-version map. Do not source sunscreen unless the exact U.S. OTC NDC/Drug Facts/formula/label and testing file are verified.</x:v>
      </x:c>
      <x:c r="R14" s="21" t="str">
        <x:v>Not Confirmed — require MSRP/MAP schedule, promotion calendar, TikTok affiliate and bundle rules, club/off-price/cross-border policy, price protection, unauthorized-reseller enforcement, marketplace rules and return/inventory protections.</x:v>
      </x:c>
      <x:c r="S14" s="21" t="str">
        <x:v>Not Requested</x:v>
      </x:c>
      <x:c r="T14" s="21" t="str">
        <x:v>Not Confirmed — request current MoCRA facility registrations/product listings, U.S. responsible-person confirmation, exact manufacturers/importer, safety substantiation, serious-adverse-event/recall SOPs, GMP evidence, U.S. labels/INCI/net contents, COA/spec/SDS, microbiology, preservative-efficacy, stability, packaging compatibility, claims substantiation, batch/lot traceability, complaint trending and insurance. Require formula/package/UPC/version mapping; reconciliation of Bean Cleansing Oil fragrance-free copy versus listed Fragrance (Parfum); counsel review of pore/sebum, exfoliation, penetration, repair, regeneration, elasticity, wrinkle, acne, collagen and PDRN claims; and exact U.S. OTC documentation for sunscreen.</x:v>
      </x:c>
      <x:c r="U14" s="21" t="str">
        <x:v>https://mixsoon.co.kr/shopinfo/company.html</x:v>
      </x:c>
      <x:c r="V14" s="21" t="str">
        <x:v>Do not place an order or model margins from consumer prices. Request wholesale tiers/net landed cost; MOQ/case pack; U.S. warehouse and Incoterms; shelf life/PAO and minimum remaining life; samples/testers; lead time/fill rate; returns/damages/adverse reactions; recall/insurance/indemnity; protected accounts/exclusivity/territory; MAP/promotion funding; Ulta/Walmart/Costco/TJX/off-price/cross-border policy; TikTok affiliate rules; counterfeit/gray-market controls; serialization/lot traceability; licensed claims-approved assets; and an account-specific pilot. Do not pursue undifferentiated Amazon, TikTok, Walmart, club or off-price resale.</x:v>
      </x:c>
    </x:row>
    <x:row r="15" ht="174" customHeight="1">
      <x:c r="A15" s="21" t="str">
        <x:v>TERM-DAL-001</x:v>
      </x:c>
      <x:c r="B15" s="21" t="str">
        <x:v>KB014</x:v>
      </x:c>
      <x:c r="C15" s="21" t="str">
        <x:v>d'Alba Global Co., Ltd. / DALBA USA CORP. — confirm exact U.S. wholesale seller, inventory owner, importer of record, MoCRA responsible person, U.S. warehouse and manufacturers by SKU</x:v>
      </x:c>
      <x:c r="D15" s="21" t="str">
        <x:v>biz_america@dalba.com</x:v>
      </x:c>
      <x:c r="E15" s="21" t="str">
        <x:v>Official corporate brand page provides the Americas business contact. Request written legal-entity, invoicing, tax, warehouse, importer, responsible-person, territory, account, channel and SKU confirmation.</x:v>
      </x:c>
      <x:c r="F15" s="25" t="str">
        <x:v>2026-08-01</x:v>
      </x:c>
      <x:c r="G15" s="21" t="str">
        <x:v>Not Confirmed</x:v>
      </x:c>
      <x:c r="H15" s="21" t="str">
        <x:v>USD / KRW — quotation required</x:v>
      </x:c>
      <x:c r="I15" s="31"/>
      <x:c r="J15" s="31"/>
      <x:c r="K15" s="31" t="str">
        <x:v>Observed consumer anchors: First Spray $24 list/$21 current; Multi Balm $24/$22; Vital Spray $24/$21; Grinding Cream about $54/$45; Tone-Up SPF $26/$18 official or $28 Ulta</x:v>
      </x:c>
      <x:c r="L15" s="35"/>
      <x:c r="M15" s="35"/>
      <x:c r="N15" s="21" t="str">
        <x:v>Not Confirmed</x:v>
      </x:c>
      <x:c r="O15" s="21" t="str">
        <x:v>Not Confirmed — official DTC, Amazon, TikTok, Ulta and Costco are mature; request MOQ, case pack, lead time, fill rate, allocation, freight, shelf life and service levels</x:v>
      </x:c>
      <x:c r="P15" s="21" t="str">
        <x:v>Not Confirmed and unlikely for broad U.S. e-commerce — require written account-, geography-, channel- and SKU-specific protection or exclusive packs</x:v>
      </x:c>
      <x:c r="Q15" s="21" t="str">
        <x:v>Direct U.S. subsidiary and official sellers, Ulta/Costco scale, TikTok bundles, cross-border sellers and third-party Walmart offers create severe conflict. Obtain current authorized-seller/account list, club and off-price rules, regional formula/UPC map, serialization or lot controls and counterfeit enforcement.</x:v>
      </x:c>
      <x:c r="R15" s="21" t="str">
        <x:v>Not Confirmed — require MSRP/MAP schedule, promotion calendar, TikTok affiliate/bundle rules, Costco pack policy, price protection, unauthorized-reseller enforcement, marketplace rules and inventory/return protections.</x:v>
      </x:c>
      <x:c r="S15" s="21" t="str">
        <x:v>Not Requested</x:v>
      </x:c>
      <x:c r="T15" s="21" t="str">
        <x:v>Not Confirmed — request current MoCRA registrations/listings, U.S. responsible-person confirmation, exact manufacturers/importer, safety substantiation, adverse-event/recall SOPs, GMP evidence, U.S. labels/INCI/net contents, allergen/fragrance disclosure, COA/spec/SDS, microbiology, preservative efficacy, stability, packaging compatibility, batch/lot traceability, complaint trends, insurance and claims substantiation. Counsel must review penetration-through-makeup, sensitive/rosacea, elasticity, lifting, wrinkle, dark-spot, collagen and Volufiline language. For every sunscreen, require the exact U.S. OTC NDC/Drug Facts/formula/size/artwork and testing file; do not source Korean or other-market substitutes.</x:v>
      </x:c>
      <x:c r="U15" s="21" t="str">
        <x:v>https://dalbaglobal.com/whoweare/brands.php</x:v>
      </x:c>
      <x:c r="V15" s="21" t="str">
        <x:v>Do not place an order or model margins from consumer prices. Request wholesale tiers and net landed cost; MOQ/case pack; U.S. warehouse and Incoterms; shelf life/PAO and minimum remaining life; samples/testers; lead time/fill rate; returns/damages/adverse reactions; recall/insurance/indemnity; protected accounts/exclusivity/territory; MAP/promotion funding; Ulta/Costco/official DTC/Amazon/TikTok carveouts; cross-border policy; affiliate rules; gray-market controls; licensed claims-approved assets; and an account-specific pilot. Avoid undifferentiated Amazon, TikTok, Walmart marketplace or club resale.</x:v>
      </x:c>
    </x:row>
    <x:row r="16" ht="180" customHeight="1">
      <x:c r="A16" s="21" t="str">
        <x:v>TERM-SBM-001</x:v>
      </x:c>
      <x:c r="B16" s="21" t="str">
        <x:v>KB015</x:v>
      </x:c>
      <x:c r="C16" s="21" t="str">
        <x:v>PERENNEBELL Co., Ltd. / exact U.S. wholesale seller to be confirmed — confirm contracting entity, inventory owner, importer of record, MoCRA responsible person, OTC drug labeler/establishment roles, U.S. warehouse and manufacturers by SKU</x:v>
      </x:c>
      <x:c r="D16" s="21" t="str">
        <x:v>global@somebymi.com</x:v>
      </x:c>
      <x:c r="E16" s="21" t="str">
        <x:v>Official company page provides global/export inquiry. Request written legal-entity, invoicing, tax, warehouse, importer, responsible-person, OTC-drug, territory, account, channel and SKU confirmation.</x:v>
      </x:c>
      <x:c r="F16" s="25" t="str">
        <x:v>2026-08-01</x:v>
      </x:c>
      <x:c r="G16" s="21" t="str">
        <x:v>Not Confirmed</x:v>
      </x:c>
      <x:c r="H16" s="21" t="str">
        <x:v>USD / KRW — quotation required</x:v>
      </x:c>
      <x:c r="I16" s="31"/>
      <x:c r="J16" s="31"/>
      <x:c r="K16" s="31" t="str">
        <x:v>Observed consumer anchors: Amazon Body Cleanser $19.90, Toner $16.80, Foam $13.30, Cream $15.80, Retinol Serum $20.60; Ulta equivalents $21/$24/$19/$27/$32</x:v>
      </x:c>
      <x:c r="L16" s="35"/>
      <x:c r="M16" s="35"/>
      <x:c r="N16" s="21" t="str">
        <x:v>Not Confirmed</x:v>
      </x:c>
      <x:c r="O16" s="21" t="str">
        <x:v>Not Confirmed — request MOQ, case pack, lead time, fill rate, allocation, freight, shelf life, samples/testers and service levels</x:v>
      </x:c>
      <x:c r="P16" s="21" t="str">
        <x:v>Not Confirmed and unlikely for broad U.S. e-commerce — require written account-, geography-, channel- and SKU-specific protection or exclusive sets</x:v>
      </x:c>
      <x:c r="Q16" s="21" t="str">
        <x:v>Official Amazon/TikTok, Ulta partnership, Costco authorization, Target Plus/Walmart seller variability and cross-border partners create severe conflict. Obtain current authorized-seller/account list, formula/UPC/NDC map, serialization/lot controls, diversion policy and counterfeit enforcement.</x:v>
      </x:c>
      <x:c r="R16" s="21" t="str">
        <x:v>Not Confirmed — require MSRP/MAP schedule, promotion calendar, TikTok affiliate/bundle rules, Costco pack policy, Target Plus/Walmart seller policy, cross-border rules, price protection and unauthorized-reseller enforcement.</x:v>
      </x:c>
      <x:c r="S16" s="21" t="str">
        <x:v>Not Requested</x:v>
      </x:c>
      <x:c r="T16" s="21" t="str">
        <x:v>Not Confirmed — request MoCRA facility registrations/listings for cosmetics; exact U.S. responsible person; OTC drug establishment registration/listing and current Drug Facts/NDC records for acne/SPF SKUs; manufacturers/importer; GMP and safety substantiation; U.S. labels/INCI/net contents; allergens/fragrance disclosure; COA/spec/SDS; microbiology; preservative efficacy; stability; packaging compatibility; lot traceability; complaint/adverse-event and recall SOPs; insurance and claims evidence. Counsel must review 30-day, acne treatment, anti-hair-loss, inflammation, repair, wrinkle/firming and before-and-after language. Source only exact U.S. NDC 74472-102 Body Cleanser, 74472-101 Acne Clear Foam and 74472-235 V10 Hyal Air Fit Sunscreen products; do not substitute foreign-market versions.</x:v>
      </x:c>
      <x:c r="U16" s="21" t="str">
        <x:v>https://somebymi.co.kr/shopinfo/guide.html</x:v>
      </x:c>
      <x:c r="V16" s="21" t="str">
        <x:v>Do not place an order or model margins from consumer prices. Request wholesale tiers and net landed cost; MOQ/case pack; U.S. warehouse and Incoterms; shelf life/PAO and minimum remaining life; samples/testers; lead time/fill rate; returns/damages/adverse reactions; recall/insurance/indemnity; protected accounts/exclusivity/territory; MAP and promotional funding; Amazon/TikTok/Ulta/Costco carveouts; Target Plus/Walmart and cross-border policy; affiliate rules; gray-market controls; exact cosmetic/OTC SKU maps; licensed claims-approved assets; and an account-specific pilot. Avoid undifferentiated marketplace resale.</x:v>
      </x:c>
    </x:row>
    <x:row r="17" ht="188" customHeight="1">
      <x:c r="A17" s="21" t="str">
        <x:v>TERM-ISN-001</x:v>
      </x:c>
      <x:c r="B17" s="21" t="str">
        <x:v>KB016</x:v>
      </x:c>
      <x:c r="C17" s="21" t="str">
        <x:v>ISNTREE Inc. / exact U.S. wholesale seller to be confirmed — confirm contracting entity, inventory owner, importer of record, MoCRA responsible person, OTC drug labeler/establishment roles, U.S. warehouse and manufacturers by SKU</x:v>
      </x:c>
      <x:c r="D17" s="21" t="str">
        <x:v>sales1@isntree.com</x:v>
      </x:c>
      <x:c r="E17" s="21" t="str">
        <x:v>Official company page provides global sales/partnership contact; also global_marketing@isntree.com and global_ecomm@isntree.com by function. Request written legal-entity, invoicing, tax, warehouse, importer, responsible-person, OTC-drug, territory, account, channel and SKU confirmation.</x:v>
      </x:c>
      <x:c r="F17" s="25" t="str">
        <x:v>2026-08-01</x:v>
      </x:c>
      <x:c r="G17" s="21" t="str">
        <x:v>Not Confirmed</x:v>
      </x:c>
      <x:c r="H17" s="21" t="str">
        <x:v>USD / KRW — quotation required</x:v>
      </x:c>
      <x:c r="I17" s="31"/>
      <x:c r="J17" s="31"/>
      <x:c r="K17" s="31" t="str">
        <x:v>Proposed U.S. anchors: Daily Sun Gel $20; Green Tea Toner $20-$24; HA Serum $24-$26; Aqua Gel Cream $22-$24; Yam Root Cleanser $26-$28</x:v>
      </x:c>
      <x:c r="L17" s="35"/>
      <x:c r="M17" s="35"/>
      <x:c r="N17" s="21" t="str">
        <x:v>Not Confirmed</x:v>
      </x:c>
      <x:c r="O17" s="21" t="str">
        <x:v>Not Confirmed — request MOQ, case pack, lead time, fill rate, allocation, freight, shelf life, samples/testers and service levels</x:v>
      </x:c>
      <x:c r="P17" s="21" t="str">
        <x:v>Not Confirmed — require written account-, geography-, channel- and SKU-specific protection or exclusive sets</x:v>
      </x:c>
      <x:c r="Q17" s="21" t="str">
        <x:v>Official Amazon, global DTC, iHerb, Soko Glam, cross-border partners, Target Plus/Walmart third parties and uncertain Ulta status create conflict. Obtain current authorized-seller/account list, formula/UPC/NDC map, serialization/lot controls, diversion policy and counterfeit enforcement.</x:v>
      </x:c>
      <x:c r="R17" s="21" t="str">
        <x:v>Not Confirmed — require MSRP/MAP schedule, promotion calendar, affiliate/bundle rules, Target Plus/Walmart seller policy, cross-border rules, price protection and unauthorized-reseller enforcement.</x:v>
      </x:c>
      <x:c r="S17" s="21" t="str">
        <x:v>Not Requested</x:v>
      </x:c>
      <x:c r="T17" s="21" t="str">
        <x:v>Not Confirmed — request MoCRA facility registrations/listings for cosmetics; exact U.S. responsible person; OTC drug establishment registration/listing and current Drug Facts/NDC records for SPF products; manufacturers/importer; GMP and safety substantiation; U.S. labels/INCI/net contents; allergen/fragrance disclosure; COA/spec/SDS; microbiology; preservative efficacy; stability; packaging compatibility; lot traceability; complaint/adverse-event and recall SOPs; insurance and claims evidence. Counsel must review clean/non-toxic, acne/blemish, pore, sebum, deep penetration, firming, collagen, healing and barrier claims. Source only exact U.S. NDC 81100-501 Daily Sun Gel, 81100-504 Natural Suncream and 81100-505 Watery Sunscreen products; do not substitute foreign SPF50+ PA++++ versions.</x:v>
      </x:c>
      <x:c r="U17" s="21" t="str">
        <x:v>https://www.isntree.com/shopinfo/company.html</x:v>
      </x:c>
      <x:c r="V17" s="21" t="str">
        <x:v>Do not place an order or model margins from consumer prices. Request wholesale tiers and net landed cost; MOQ/case pack; U.S. warehouse and Incoterms; shelf life/PAO and minimum remaining life; samples/testers; lead time/fill rate; returns/damages/adverse reactions; recall/insurance/indemnity; protected accounts/exclusivity/territory; MAP and promotional funding; Amazon/iHerb/Soko Glam/Ulta carveouts; Target Plus/Walmart and cross-border policy; affiliate rules; gray-market controls; exact cosmetic/OTC SKU maps; licensed claims-approved assets; and an account-specific pilot. Avoid undifferentiated marketplace resale.</x:v>
      </x:c>
    </x:row>
    <x:row r="18" ht="194" customHeight="1">
      <x:c r="A18" s="21" t="str">
        <x:v>TERM-GDL-001</x:v>
      </x:c>
      <x:c r="B18" s="21" t="str">
        <x:v>KB017</x:v>
      </x:c>
      <x:c r="C18" s="21" t="str">
        <x:v>CLIO Cosmetics Co., Ltd. / CLUBCLIO / exact U.S. wholesale seller to be confirmed — confirm contracting entity, inventory owner, importer of record, MoCRA responsible person, OTC drug labeler/establishment roles, U.S. warehouse and manufacturers by SKU</x:v>
      </x:c>
      <x:c r="D18" s="21"/>
      <x:c r="E18" s="21" t="str">
        <x:v>Use the official CLIO corporate overseas-export/partnership workflow. No public Goodal U.S. wholesale email was accepted as verified in this pass. Request written legal-entity, invoicing, tax, warehouse, importer, responsible-person, OTC-drug, territory, account, channel and SKU confirmation.</x:v>
      </x:c>
      <x:c r="F18" s="25" t="str">
        <x:v>2026-08-01</x:v>
      </x:c>
      <x:c r="G18" s="21" t="str">
        <x:v>Not Confirmed</x:v>
      </x:c>
      <x:c r="H18" s="21" t="str">
        <x:v>USD / KRW — quotation required</x:v>
      </x:c>
      <x:c r="I18" s="31"/>
      <x:c r="J18" s="31"/>
      <x:c r="K18" s="31" t="str">
        <x:v>Proposed U.S. anchors: Serum Alpha $24-$26; Eye Patches Alpha $20-$22; Cream Alpha $24-$26; exact U.S. OTC sunscreen $24-$26; Toner Pads Alpha $24-$27</x:v>
      </x:c>
      <x:c r="L18" s="35"/>
      <x:c r="M18" s="35"/>
      <x:c r="N18" s="21" t="str">
        <x:v>Not Confirmed</x:v>
      </x:c>
      <x:c r="O18" s="21" t="str">
        <x:v>Not Confirmed — request MOQ, case pack, lead time, fill rate, allocation, freight, shelf life, samples/testers and service levels</x:v>
      </x:c>
      <x:c r="P18" s="21" t="str">
        <x:v>Not Confirmed and likely limited for broad U.S. e-commerce — require written account-, geography-, channel- and SKU-specific protection or exclusive sizes/sets</x:v>
      </x:c>
      <x:c r="Q18" s="21" t="str">
        <x:v>Official Amazon/CLUBCLIO, current Target, iHerb, Olive Young, YesStyle/cross-border sellers, Walmart marketplace, TikTok third parties and historical Costco create high conflict. Obtain a current authorized-seller/account list, exact formula/UPC/NDC map, serialization/lot controls, diversion policy and counterfeit enforcement.</x:v>
      </x:c>
      <x:c r="R18" s="21" t="str">
        <x:v>Not Confirmed — require MSRP/MAP schedule, promotion calendar, Amazon/Target/iHerb carveouts, TikTok affiliate/bundle rules, Walmart seller policy, cross-border rules, price protection and unauthorized-reseller enforcement.</x:v>
      </x:c>
      <x:c r="S18" s="21" t="str">
        <x:v>Not Requested</x:v>
      </x:c>
      <x:c r="T18" s="21" t="str">
        <x:v>Not Confirmed — request MoCRA facility registrations/listings for cosmetics; exact U.S. responsible person; OTC drug establishment registration/listing and current Drug Facts/NDC records for sun products; manufacturers/importer; GMP and safety substantiation; U.S. labels/INCI/net contents; allergens/fragrance disclosure; COA/spec/SDS; microbiology; preservative efficacy; stability; packaging compatibility; lot traceability; complaint/adverse-event and recall SOPs; insurance and claims evidence. Counsel must review exosome size, deep absorption, seven-day effects, pigmentation, dark circles, collagen, firming, repair and before/after language. Source only exact U.S. Drug Facts versions, including NDC 84532-001, 84532-002, 84532-003 and 84532-004 as applicable; do not substitute foreign SPF50+ PA++++ products.</x:v>
      </x:c>
      <x:c r="U18" s="21" t="str">
        <x:v>https://cliocosmetic.com/</x:v>
      </x:c>
      <x:c r="V18" s="21" t="str">
        <x:v>Do not place an order or model margins from consumer prices. Request wholesale tiers and net landed cost; MOQ/case pack; U.S. warehouse and Incoterms; shelf life/PAO and minimum remaining life; samples/testers; lead time/fill rate; returns/damages/adverse reactions; recall/insurance/indemnity; protected accounts/exclusivity/territory; MAP and promotional funding; Amazon/Target/iHerb/Costco carveouts; TikTok/Walmart/cross-border policy; affiliate rules; gray-market controls; exact cosmetic/OTC SKU maps; licensed claims-approved assets; and a protected account-specific pilot. Avoid undifferentiated marketplace resale.</x:v>
      </x:c>
    </x:row>
    <x:row r="19" ht="190" customHeight="1">
      <x:c r="A19" s="21" t="str">
        <x:v>TERM-IMF-001</x:v>
      </x:c>
      <x:c r="B19" s="21" t="str">
        <x:v>KB018</x:v>
      </x:c>
      <x:c r="C19" s="21" t="str">
        <x:v>LAB &amp; Company Inc. — exact U.S. contracting/importing entity and current Wishtrend role to confirm</x:v>
      </x:c>
      <x:c r="D19" s="21" t="str">
        <x:v>imfromofficial@gmail.com</x:v>
      </x:c>
      <x:c r="E19" s="21" t="str">
        <x:v>Official site lists this for marketing partnerships. Ask to route the request to authorized U.S. wholesale/export, regulatory and channel-rights contacts; independently verify before exchanging confidential or banking information.</x:v>
      </x:c>
      <x:c r="F19" s="25" t="str">
        <x:v>2026-08-01</x:v>
      </x:c>
      <x:c r="G19" s="21" t="str">
        <x:v>BuyKOREA listing showed MOQ 20 and mixed minimum order $750; exact current U.S. wholesale MOQ/case packs not confirmed</x:v>
      </x:c>
      <x:c r="H19" s="21" t="str">
        <x:v>USD / KRW — quotation required</x:v>
      </x:c>
      <x:c r="I19" s="31"/>
      <x:c r="J19" s="31"/>
      <x:c r="K19" s="31"/>
      <x:c r="L19" s="35"/>
      <x:c r="M19" s="35"/>
      <x:c r="N19" s="21" t="str">
        <x:v>Not Confirmed</x:v>
      </x:c>
      <x:c r="O19" s="21" t="str">
        <x:v>Not Confirmed</x:v>
      </x:c>
      <x:c r="P19" s="21" t="str">
        <x:v>Not Confirmed</x:v>
      </x:c>
      <x:c r="Q19" s="21" t="str">
        <x:v>Require written territory, account, SKU, Amazon, Walmart, TikTok Shop, DTC, specialty retail and cross-border permissions. Clarify imfrom versus wishtrend seller roles and all existing Ulta/iHerb/Target obligations.</x:v>
      </x:c>
      <x:c r="R19" s="21" t="str">
        <x:v>Not Confirmed — require MAP, promotion calendar, Amazon/TikTok coupon governance, unauthorized-reseller enforcement, bundle/size rules and remedies for price leakage.</x:v>
      </x:c>
      <x:c r="S19" s="21" t="str">
        <x:v>Not Requested</x:v>
      </x:c>
      <x:c r="T19" s="21" t="str">
        <x:v>Not Confirmed — request MoCRA facility registration/product listing evidence, U.S. responsible-person/importer details, exact current labels/INCI/net contents/UPC, safety substantiation, GMP, COA/spec/SDS, micro/preservative/stability/packaging files, lot/expiry traceability, insurance, complaint/adverse-event/recall SOPs and claims support. For any SPF, require exact U.S. OTC Drug Facts/NDC/establishment/listing/artwork/testing.</x:v>
      </x:c>
      <x:c r="U19" s="21" t="str">
        <x:v>https://m.imfrom.co.kr/brand/brand_about.html</x:v>
      </x:c>
      <x:c r="V19" s="21" t="str">
        <x:v>Do not order from a retail or marketplace seller. Request current wholesale price list, case packs, MOQ, lead time, shelf life at delivery, incoterms, importer of record, returns/damages, testers/samples, marketing support, exclusivity, territory, channel protections and a complete old/new formula/packaging/UPC transition map.</x:v>
      </x:c>
    </x:row>
    <x:row r="20" ht="198" customHeight="1">
      <x:c r="A20" s="21" t="str">
        <x:v>TERM-DKL-001</x:v>
      </x:c>
      <x:c r="B20" s="21" t="str">
        <x:v>KB019</x:v>
      </x:c>
      <x:c r="C20" s="21" t="str">
        <x:v>WISHCOMPANY US CORP / WISHCOMPANY Inc. — exact seller, importer, responsible person and contracting entity to confirm</x:v>
      </x:c>
      <x:c r="D20" s="21" t="str">
        <x:v>wishus@wishcompany.net</x:v>
      </x:c>
      <x:c r="E20" s="21" t="str">
        <x:v>Official B2B page provides U.S. wholesale inquiry form and wishus@wishcompany.net. Do not send bank or confidential documents until the counterparty and domain are independently verified.</x:v>
      </x:c>
      <x:c r="F20" s="25" t="str">
        <x:v>2026-08-01</x:v>
      </x:c>
      <x:c r="G20" s="21" t="str">
        <x:v>Official B2B FAQ says MOQ varies by program/assortment and is shared on the line sheet; entry is described as accessible for boutiques and spas</x:v>
      </x:c>
      <x:c r="H20" s="21" t="str">
        <x:v>USD — quotation required</x:v>
      </x:c>
      <x:c r="I20" s="31"/>
      <x:c r="J20" s="31"/>
      <x:c r="K20" s="31"/>
      <x:c r="L20" s="35"/>
      <x:c r="M20" s="35"/>
      <x:c r="N20" s="21" t="str">
        <x:v>Not Confirmed</x:v>
      </x:c>
      <x:c r="O20" s="21" t="str">
        <x:v>U.S. fulfillment claimed by official B2B page</x:v>
      </x:c>
      <x:c r="P20" s="21" t="str">
        <x:v>Net terms available for qualified accounts; new accounts typically prepaid</x:v>
      </x:c>
      <x:c r="Q20" s="21" t="str">
        <x:v>Require written territory, account, SKU, DTC, Amazon, Walmart, TikTok Shop, Olive Young, spa/professional, specialty retail and cross-border permissions. Confirm whether wishtrend is the seller of record and whether a new distributor may sell online at all.</x:v>
      </x:c>
      <x:c r="R20" s="21" t="str">
        <x:v>Not Confirmed — require MAP, promotion calendar, DTC/Amazon/TikTok discount parity, coupon/bundle rules, unauthorized-reseller enforcement, price-protection/markdown support and remedies for price leakage.</x:v>
      </x:c>
      <x:c r="S20" s="21" t="str">
        <x:v>Not Requested</x:v>
      </x:c>
      <x:c r="T20" s="21" t="str">
        <x:v>Not Confirmed — request MoCRA facility registration/product listing, U.S. responsible person/importer, exact labels/INCI/net contents/UPC, safety substantiation, GMP, COA/spec/SDS, microbiology, preservative efficacy, stability, packaging compatibility, vitamin-C oxidation specification, lot/expiry traceability, insurance, complaint/adverse-event/recall SOPs, trademark authorization and claims support. Exclude all SPF until exact U.S. OTC Drug Facts/NDC/establishment/listing/formula/testing are supplied.</x:v>
      </x:c>
      <x:c r="U20" s="21" t="str">
        <x:v>https://www.klairs.com/pages/contact</x:v>
      </x:c>
      <x:c r="V20" s="21" t="str">
        <x:v>Request line sheet, wholesale prices, case packs, MOQ, tester/sample policy, lead time, shelf life at delivery, inventory location, incoterms, returns/damages, marketing/co-op support, exclusivity, account protections and a complete formula/packaging/UPC history. Reconcile official 5M/8M/9M/10M toner claims and 40+/80+ country claims before using them in sales materials.</x:v>
      </x:c>
    </x:row>
    <x:row r="21" ht="208" customHeight="1">
      <x:c r="A21" s="21" t="str">
        <x:v>TERM-HHW-001</x:v>
      </x:c>
      <x:c r="B21" s="21" t="str">
        <x:v>KB020</x:v>
      </x:c>
      <x:c r="C21" s="21" t="str">
        <x:v>DFS Company / Haruharu Wonder — exact U.S. seller, importer, responsible person and contracting entity to confirm</x:v>
      </x:c>
      <x:c r="D21" s="21" t="str">
        <x:v>overseas@thedfs.co.kr</x:v>
      </x:c>
      <x:c r="E21" s="21" t="str">
        <x:v>Official global contact page and Linktree publish overseas@thedfs.co.kr for wholesale/distribution. Do not send bank or confidential documents until the counterparty, authority and domain are independently verified.</x:v>
      </x:c>
      <x:c r="F21" s="25" t="str">
        <x:v>2026-08-01</x:v>
      </x:c>
      <x:c r="G21" s="21" t="str">
        <x:v>Not Public — request SKU-level MOQ, opening-order minimum, case packs and tester/sample policy</x:v>
      </x:c>
      <x:c r="H21" s="21" t="str">
        <x:v>USD — quotation required</x:v>
      </x:c>
      <x:c r="I21" s="31"/>
      <x:c r="J21" s="31"/>
      <x:c r="K21" s="31"/>
      <x:c r="L21" s="35"/>
      <x:c r="M21" s="35"/>
      <x:c r="N21" s="21" t="str">
        <x:v>Not Confirmed</x:v>
      </x:c>
      <x:c r="O21" s="21" t="str">
        <x:v>Not Confirmed — global DTC lists a Delaware regional office and U.S. portal terms list DFS USA INC in Irvine; request exact inventory location and fulfillment entity</x:v>
      </x:c>
      <x:c r="P21" s="21" t="str">
        <x:v>Not Confirmed — request prepay/credit terms, deposits, currency, freight, duties, chargebacks and price-protection terms</x:v>
      </x:c>
      <x:c r="Q21" s="21" t="str">
        <x:v>Require written territory, account, SKU, DTC, Amazon, Walmart, TikTok Shop, Target, iHerb, StyleKorean, spa/professional, specialty retail and cross-border permissions. Confirm incumbent Target rights and whether any new distributor may sell online.</x:v>
      </x:c>
      <x:c r="R21" s="21" t="str">
        <x:v>Not Confirmed — require MAP, promotion calendar, DTC/Amazon/Target/TikTok/StyleKorean parity, coupon/bundle rules, unauthorized-reseller enforcement, price-protection/markdown support and remedies for price leakage.</x:v>
      </x:c>
      <x:c r="S21" s="21" t="str">
        <x:v>Not Requested</x:v>
      </x:c>
      <x:c r="T21" s="21" t="str">
        <x:v>Not Confirmed — request MoCRA facility registration/product listing, U.S. responsible person/importer, exact labels/INCI/net contents/UPC, safety substantiation, GMP, COA/spec/SDS, microbiology, preservative efficacy, stability, packaging compatibility, lot/expiry traceability, insurance, complaint/adverse-event/recall SOPs, trademark authorization and claims support. Exclude all SPF until exact U.S. Drug Facts, NDC/listing, establishment, approved-application or monograph pathway, formula and testing are supplied.</x:v>
      </x:c>
      <x:c r="U21" s="21" t="str">
        <x:v>https://haruharuwonder.com/policies/contact-information</x:v>
      </x:c>
      <x:c r="V21" s="21" t="str">
        <x:v>Request corporate/brand-rights chart reconciling DFS Company, Haruharu Wonder USA, Inc., DFS USA INC and StyleKorean; line sheet, wholesale prices, case packs, MOQ, shelf life at delivery, lead times, inventory location, incoterms, returns/damages, co-op assets, exclusivity/account protections, authorized-seller list, UPC/lot authentication protocol and complete formula/packaging history. Cosmetic heroes only; no SPF quotation until regulatory clearance.</x:v>
      </x:c>
    </x:row>
    <x:row r="22">
      <x:c r="A22" s="21"/>
      <x:c r="B22" s="21"/>
      <x:c r="C22" s="21"/>
      <x:c r="D22" s="21"/>
      <x:c r="E22" s="21"/>
      <x:c r="F22" s="25"/>
      <x:c r="G22" s="21"/>
      <x:c r="H22" s="21"/>
      <x:c r="I22" s="31"/>
      <x:c r="J22" s="31"/>
      <x:c r="K22" s="31"/>
      <x:c r="L22" s="35"/>
      <x:c r="M22" s="35"/>
      <x:c r="N22" s="21"/>
      <x:c r="O22" s="21"/>
      <x:c r="P22" s="21"/>
      <x:c r="Q22" s="21"/>
      <x:c r="R22" s="21"/>
      <x:c r="S22" s="21"/>
      <x:c r="T22" s="21"/>
      <x:c r="U22" s="21"/>
      <x:c r="V22" s="21"/>
    </x:row>
    <x:row r="23">
      <x:c r="A23" s="21"/>
      <x:c r="B23" s="21"/>
      <x:c r="C23" s="21"/>
      <x:c r="D23" s="21"/>
      <x:c r="E23" s="21"/>
      <x:c r="F23" s="25"/>
      <x:c r="G23" s="21"/>
      <x:c r="H23" s="21"/>
      <x:c r="I23" s="31"/>
      <x:c r="J23" s="31"/>
      <x:c r="K23" s="31"/>
      <x:c r="L23" s="35"/>
      <x:c r="M23" s="35"/>
      <x:c r="N23" s="21"/>
      <x:c r="O23" s="21"/>
      <x:c r="P23" s="21"/>
      <x:c r="Q23" s="21"/>
      <x:c r="R23" s="21"/>
      <x:c r="S23" s="21"/>
      <x:c r="T23" s="21"/>
      <x:c r="U23" s="21"/>
      <x:c r="V23" s="21"/>
    </x:row>
    <x:row r="24">
      <x:c r="A24" s="21"/>
      <x:c r="B24" s="21"/>
      <x:c r="C24" s="21"/>
      <x:c r="D24" s="21"/>
      <x:c r="E24" s="21"/>
      <x:c r="F24" s="25"/>
      <x:c r="G24" s="21"/>
      <x:c r="H24" s="21"/>
      <x:c r="I24" s="31"/>
      <x:c r="J24" s="31"/>
      <x:c r="K24" s="31"/>
      <x:c r="L24" s="35"/>
      <x:c r="M24" s="35"/>
      <x:c r="N24" s="21"/>
      <x:c r="O24" s="21"/>
      <x:c r="P24" s="21"/>
      <x:c r="Q24" s="21"/>
      <x:c r="R24" s="21"/>
      <x:c r="S24" s="21"/>
      <x:c r="T24" s="21"/>
      <x:c r="U24" s="21"/>
      <x:c r="V24" s="21"/>
    </x:row>
    <x:row r="25">
      <x:c r="A25" s="21"/>
      <x:c r="B25" s="21"/>
      <x:c r="C25" s="21"/>
      <x:c r="D25" s="21"/>
      <x:c r="E25" s="21"/>
      <x:c r="F25" s="25"/>
      <x:c r="G25" s="21"/>
      <x:c r="H25" s="21"/>
      <x:c r="I25" s="31"/>
      <x:c r="J25" s="31"/>
      <x:c r="K25" s="31"/>
      <x:c r="L25" s="35"/>
      <x:c r="M25" s="35"/>
      <x:c r="N25" s="21"/>
      <x:c r="O25" s="21"/>
      <x:c r="P25" s="21"/>
      <x:c r="Q25" s="21"/>
      <x:c r="R25" s="21"/>
      <x:c r="S25" s="21"/>
      <x:c r="T25" s="21"/>
      <x:c r="U25" s="21"/>
      <x:c r="V25" s="21"/>
    </x:row>
    <x:row r="26">
      <x:c r="A26" s="21"/>
      <x:c r="B26" s="21"/>
      <x:c r="C26" s="21"/>
      <x:c r="D26" s="21"/>
      <x:c r="E26" s="21"/>
      <x:c r="F26" s="25"/>
      <x:c r="G26" s="21"/>
      <x:c r="H26" s="21"/>
      <x:c r="I26" s="31"/>
      <x:c r="J26" s="31"/>
      <x:c r="K26" s="31"/>
      <x:c r="L26" s="35"/>
      <x:c r="M26" s="35"/>
      <x:c r="N26" s="21"/>
      <x:c r="O26" s="21"/>
      <x:c r="P26" s="21"/>
      <x:c r="Q26" s="21"/>
      <x:c r="R26" s="21"/>
      <x:c r="S26" s="21"/>
      <x:c r="T26" s="21"/>
      <x:c r="U26" s="21"/>
      <x:c r="V26" s="21"/>
    </x:row>
    <x:row r="27">
      <x:c r="A27" s="21"/>
      <x:c r="B27" s="21"/>
      <x:c r="C27" s="21"/>
      <x:c r="D27" s="21"/>
      <x:c r="E27" s="21"/>
      <x:c r="F27" s="25"/>
      <x:c r="G27" s="21"/>
      <x:c r="H27" s="21"/>
      <x:c r="I27" s="31"/>
      <x:c r="J27" s="31"/>
      <x:c r="K27" s="31"/>
      <x:c r="L27" s="35"/>
      <x:c r="M27" s="35"/>
      <x:c r="N27" s="21"/>
      <x:c r="O27" s="21"/>
      <x:c r="P27" s="21"/>
      <x:c r="Q27" s="21"/>
      <x:c r="R27" s="21"/>
      <x:c r="S27" s="21"/>
      <x:c r="T27" s="21"/>
      <x:c r="U27" s="21"/>
      <x:c r="V27" s="21"/>
    </x:row>
    <x:row r="28">
      <x:c r="A28" s="21"/>
      <x:c r="B28" s="21"/>
      <x:c r="C28" s="21"/>
      <x:c r="D28" s="21"/>
      <x:c r="E28" s="21"/>
      <x:c r="F28" s="25"/>
      <x:c r="G28" s="21"/>
      <x:c r="H28" s="21"/>
      <x:c r="I28" s="31"/>
      <x:c r="J28" s="31"/>
      <x:c r="K28" s="31"/>
      <x:c r="L28" s="35"/>
      <x:c r="M28" s="35"/>
      <x:c r="N28" s="21"/>
      <x:c r="O28" s="21"/>
      <x:c r="P28" s="21"/>
      <x:c r="Q28" s="21"/>
      <x:c r="R28" s="21"/>
      <x:c r="S28" s="21"/>
      <x:c r="T28" s="21"/>
      <x:c r="U28" s="21"/>
      <x:c r="V28" s="21"/>
    </x:row>
    <x:row r="29">
      <x:c r="A29" s="21"/>
      <x:c r="B29" s="21"/>
      <x:c r="C29" s="21"/>
      <x:c r="D29" s="21"/>
      <x:c r="E29" s="21"/>
      <x:c r="F29" s="25"/>
      <x:c r="G29" s="21"/>
      <x:c r="H29" s="21"/>
      <x:c r="I29" s="31"/>
      <x:c r="J29" s="31"/>
      <x:c r="K29" s="31"/>
      <x:c r="L29" s="35"/>
      <x:c r="M29" s="35"/>
      <x:c r="N29" s="21"/>
      <x:c r="O29" s="21"/>
      <x:c r="P29" s="21"/>
      <x:c r="Q29" s="21"/>
      <x:c r="R29" s="21"/>
      <x:c r="S29" s="21"/>
      <x:c r="T29" s="21"/>
      <x:c r="U29" s="21"/>
      <x:c r="V29" s="21"/>
    </x:row>
    <x:row r="30">
      <x:c r="A30" s="21"/>
      <x:c r="B30" s="21"/>
      <x:c r="C30" s="21"/>
      <x:c r="D30" s="21"/>
      <x:c r="E30" s="21"/>
      <x:c r="F30" s="25"/>
      <x:c r="G30" s="21"/>
      <x:c r="H30" s="21"/>
      <x:c r="I30" s="31"/>
      <x:c r="J30" s="31"/>
      <x:c r="K30" s="31"/>
      <x:c r="L30" s="35"/>
      <x:c r="M30" s="35"/>
      <x:c r="N30" s="21"/>
      <x:c r="O30" s="21"/>
      <x:c r="P30" s="21"/>
      <x:c r="Q30" s="21"/>
      <x:c r="R30" s="21"/>
      <x:c r="S30" s="21"/>
      <x:c r="T30" s="21"/>
      <x:c r="U30" s="21"/>
      <x:c r="V30" s="21"/>
    </x:row>
    <x:row r="31">
      <x:c r="A31" s="21"/>
      <x:c r="B31" s="21"/>
      <x:c r="C31" s="21"/>
      <x:c r="D31" s="21"/>
      <x:c r="E31" s="21"/>
      <x:c r="F31" s="25"/>
      <x:c r="G31" s="21"/>
      <x:c r="H31" s="21"/>
      <x:c r="I31" s="31"/>
      <x:c r="J31" s="31"/>
      <x:c r="K31" s="31"/>
      <x:c r="L31" s="35"/>
      <x:c r="M31" s="35"/>
      <x:c r="N31" s="21"/>
      <x:c r="O31" s="21"/>
      <x:c r="P31" s="21"/>
      <x:c r="Q31" s="21"/>
      <x:c r="R31" s="21"/>
      <x:c r="S31" s="21"/>
      <x:c r="T31" s="21"/>
      <x:c r="U31" s="21"/>
      <x:c r="V31" s="21"/>
    </x:row>
    <x:row r="32">
      <x:c r="A32" s="21"/>
      <x:c r="B32" s="21"/>
      <x:c r="C32" s="21"/>
      <x:c r="D32" s="21"/>
      <x:c r="E32" s="21"/>
      <x:c r="F32" s="25"/>
      <x:c r="G32" s="21"/>
      <x:c r="H32" s="21"/>
      <x:c r="I32" s="31"/>
      <x:c r="J32" s="31"/>
      <x:c r="K32" s="31"/>
      <x:c r="L32" s="35"/>
      <x:c r="M32" s="35"/>
      <x:c r="N32" s="21"/>
      <x:c r="O32" s="21"/>
      <x:c r="P32" s="21"/>
      <x:c r="Q32" s="21"/>
      <x:c r="R32" s="21"/>
      <x:c r="S32" s="21"/>
      <x:c r="T32" s="21"/>
      <x:c r="U32" s="21"/>
      <x:c r="V32" s="21"/>
    </x:row>
    <x:row r="33">
      <x:c r="A33" s="21"/>
      <x:c r="B33" s="21"/>
      <x:c r="C33" s="21"/>
      <x:c r="D33" s="21"/>
      <x:c r="E33" s="21"/>
      <x:c r="F33" s="25"/>
      <x:c r="G33" s="21"/>
      <x:c r="H33" s="21"/>
      <x:c r="I33" s="31"/>
      <x:c r="J33" s="31"/>
      <x:c r="K33" s="31"/>
      <x:c r="L33" s="35"/>
      <x:c r="M33" s="35"/>
      <x:c r="N33" s="21"/>
      <x:c r="O33" s="21"/>
      <x:c r="P33" s="21"/>
      <x:c r="Q33" s="21"/>
      <x:c r="R33" s="21"/>
      <x:c r="S33" s="21"/>
      <x:c r="T33" s="21"/>
      <x:c r="U33" s="21"/>
      <x:c r="V33" s="21"/>
    </x:row>
    <x:row r="34">
      <x:c r="A34" s="21"/>
      <x:c r="B34" s="21"/>
      <x:c r="C34" s="21"/>
      <x:c r="D34" s="21"/>
      <x:c r="E34" s="21"/>
      <x:c r="F34" s="25"/>
      <x:c r="G34" s="21"/>
      <x:c r="H34" s="21"/>
      <x:c r="I34" s="31"/>
      <x:c r="J34" s="31"/>
      <x:c r="K34" s="31"/>
      <x:c r="L34" s="35"/>
      <x:c r="M34" s="35"/>
      <x:c r="N34" s="21"/>
      <x:c r="O34" s="21"/>
      <x:c r="P34" s="21"/>
      <x:c r="Q34" s="21"/>
      <x:c r="R34" s="21"/>
      <x:c r="S34" s="21"/>
      <x:c r="T34" s="21"/>
      <x:c r="U34" s="21"/>
      <x:c r="V34" s="21"/>
    </x:row>
    <x:row r="35">
      <x:c r="A35" s="21"/>
      <x:c r="B35" s="21"/>
      <x:c r="C35" s="21"/>
      <x:c r="D35" s="21"/>
      <x:c r="E35" s="21"/>
      <x:c r="F35" s="25"/>
      <x:c r="G35" s="21"/>
      <x:c r="H35" s="21"/>
      <x:c r="I35" s="31"/>
      <x:c r="J35" s="31"/>
      <x:c r="K35" s="31"/>
      <x:c r="L35" s="35"/>
      <x:c r="M35" s="35"/>
      <x:c r="N35" s="21"/>
      <x:c r="O35" s="21"/>
      <x:c r="P35" s="21"/>
      <x:c r="Q35" s="21"/>
      <x:c r="R35" s="21"/>
      <x:c r="S35" s="21"/>
      <x:c r="T35" s="21"/>
      <x:c r="U35" s="21"/>
      <x:c r="V35" s="21"/>
    </x:row>
    <x:row r="36">
      <x:c r="A36" s="21"/>
      <x:c r="B36" s="21"/>
      <x:c r="C36" s="21"/>
      <x:c r="D36" s="21"/>
      <x:c r="E36" s="21"/>
      <x:c r="F36" s="25"/>
      <x:c r="G36" s="21"/>
      <x:c r="H36" s="21"/>
      <x:c r="I36" s="31"/>
      <x:c r="J36" s="31"/>
      <x:c r="K36" s="31"/>
      <x:c r="L36" s="35"/>
      <x:c r="M36" s="35"/>
      <x:c r="N36" s="21"/>
      <x:c r="O36" s="21"/>
      <x:c r="P36" s="21"/>
      <x:c r="Q36" s="21"/>
      <x:c r="R36" s="21"/>
      <x:c r="S36" s="21"/>
      <x:c r="T36" s="21"/>
      <x:c r="U36" s="21"/>
      <x:c r="V36" s="21"/>
    </x:row>
    <x:row r="37">
      <x:c r="A37" s="21"/>
      <x:c r="B37" s="21"/>
      <x:c r="C37" s="21"/>
      <x:c r="D37" s="21"/>
      <x:c r="E37" s="21"/>
      <x:c r="F37" s="25"/>
      <x:c r="G37" s="21"/>
      <x:c r="H37" s="21"/>
      <x:c r="I37" s="31"/>
      <x:c r="J37" s="31"/>
      <x:c r="K37" s="31"/>
      <x:c r="L37" s="35"/>
      <x:c r="M37" s="35"/>
      <x:c r="N37" s="21"/>
      <x:c r="O37" s="21"/>
      <x:c r="P37" s="21"/>
      <x:c r="Q37" s="21"/>
      <x:c r="R37" s="21"/>
      <x:c r="S37" s="21"/>
      <x:c r="T37" s="21"/>
      <x:c r="U37" s="21"/>
      <x:c r="V37" s="21"/>
    </x:row>
    <x:row r="38">
      <x:c r="A38" s="21"/>
      <x:c r="B38" s="21"/>
      <x:c r="C38" s="21"/>
      <x:c r="D38" s="21"/>
      <x:c r="E38" s="21"/>
      <x:c r="F38" s="25"/>
      <x:c r="G38" s="21"/>
      <x:c r="H38" s="21"/>
      <x:c r="I38" s="31"/>
      <x:c r="J38" s="31"/>
      <x:c r="K38" s="31"/>
      <x:c r="L38" s="35"/>
      <x:c r="M38" s="35"/>
      <x:c r="N38" s="21"/>
      <x:c r="O38" s="21"/>
      <x:c r="P38" s="21"/>
      <x:c r="Q38" s="21"/>
      <x:c r="R38" s="21"/>
      <x:c r="S38" s="21"/>
      <x:c r="T38" s="21"/>
      <x:c r="U38" s="21"/>
      <x:c r="V38" s="21"/>
    </x:row>
    <x:row r="39">
      <x:c r="A39" s="21"/>
      <x:c r="B39" s="21"/>
      <x:c r="C39" s="21"/>
      <x:c r="D39" s="21"/>
      <x:c r="E39" s="21"/>
      <x:c r="F39" s="25"/>
      <x:c r="G39" s="21"/>
      <x:c r="H39" s="21"/>
      <x:c r="I39" s="31"/>
      <x:c r="J39" s="31"/>
      <x:c r="K39" s="31"/>
      <x:c r="L39" s="35"/>
      <x:c r="M39" s="35"/>
      <x:c r="N39" s="21"/>
      <x:c r="O39" s="21"/>
      <x:c r="P39" s="21"/>
      <x:c r="Q39" s="21"/>
      <x:c r="R39" s="21"/>
      <x:c r="S39" s="21"/>
      <x:c r="T39" s="21"/>
      <x:c r="U39" s="21"/>
      <x:c r="V39" s="21"/>
    </x:row>
    <x:row r="40">
      <x:c r="A40" s="21"/>
      <x:c r="B40" s="21"/>
      <x:c r="C40" s="21"/>
      <x:c r="D40" s="21"/>
      <x:c r="E40" s="21"/>
      <x:c r="F40" s="25"/>
      <x:c r="G40" s="21"/>
      <x:c r="H40" s="21"/>
      <x:c r="I40" s="31"/>
      <x:c r="J40" s="31"/>
      <x:c r="K40" s="31"/>
      <x:c r="L40" s="35"/>
      <x:c r="M40" s="35"/>
      <x:c r="N40" s="21"/>
      <x:c r="O40" s="21"/>
      <x:c r="P40" s="21"/>
      <x:c r="Q40" s="21"/>
      <x:c r="R40" s="21"/>
      <x:c r="S40" s="21"/>
      <x:c r="T40" s="21"/>
      <x:c r="U40" s="21"/>
      <x:c r="V40" s="21"/>
    </x:row>
    <x:row r="41">
      <x:c r="A41" s="21"/>
      <x:c r="B41" s="21"/>
      <x:c r="C41" s="21"/>
      <x:c r="D41" s="21"/>
      <x:c r="E41" s="21"/>
      <x:c r="F41" s="25"/>
      <x:c r="G41" s="21"/>
      <x:c r="H41" s="21"/>
      <x:c r="I41" s="31"/>
      <x:c r="J41" s="31"/>
      <x:c r="K41" s="31"/>
      <x:c r="L41" s="35"/>
      <x:c r="M41" s="35"/>
      <x:c r="N41" s="21"/>
      <x:c r="O41" s="21"/>
      <x:c r="P41" s="21"/>
      <x:c r="Q41" s="21"/>
      <x:c r="R41" s="21"/>
      <x:c r="S41" s="21"/>
      <x:c r="T41" s="21"/>
      <x:c r="U41" s="21"/>
      <x:c r="V41" s="21"/>
    </x:row>
    <x:row r="42">
      <x:c r="A42" s="21"/>
      <x:c r="B42" s="21"/>
      <x:c r="C42" s="21"/>
      <x:c r="D42" s="21"/>
      <x:c r="E42" s="21"/>
      <x:c r="F42" s="25"/>
      <x:c r="G42" s="21"/>
      <x:c r="H42" s="21"/>
      <x:c r="I42" s="31"/>
      <x:c r="J42" s="31"/>
      <x:c r="K42" s="31"/>
      <x:c r="L42" s="35"/>
      <x:c r="M42" s="35"/>
      <x:c r="N42" s="21"/>
      <x:c r="O42" s="21"/>
      <x:c r="P42" s="21"/>
      <x:c r="Q42" s="21"/>
      <x:c r="R42" s="21"/>
      <x:c r="S42" s="21"/>
      <x:c r="T42" s="21"/>
      <x:c r="U42" s="21"/>
      <x:c r="V42" s="21"/>
    </x:row>
    <x:row r="43">
      <x:c r="A43" s="21"/>
      <x:c r="B43" s="21"/>
      <x:c r="C43" s="21"/>
      <x:c r="D43" s="21"/>
      <x:c r="E43" s="21"/>
      <x:c r="F43" s="25"/>
      <x:c r="G43" s="21"/>
      <x:c r="H43" s="21"/>
      <x:c r="I43" s="31"/>
      <x:c r="J43" s="31"/>
      <x:c r="K43" s="31"/>
      <x:c r="L43" s="35"/>
      <x:c r="M43" s="35"/>
      <x:c r="N43" s="21"/>
      <x:c r="O43" s="21"/>
      <x:c r="P43" s="21"/>
      <x:c r="Q43" s="21"/>
      <x:c r="R43" s="21"/>
      <x:c r="S43" s="21"/>
      <x:c r="T43" s="21"/>
      <x:c r="U43" s="21"/>
      <x:c r="V43" s="21"/>
    </x:row>
    <x:row r="44">
      <x:c r="A44" s="21"/>
      <x:c r="B44" s="21"/>
      <x:c r="C44" s="21"/>
      <x:c r="D44" s="21"/>
      <x:c r="E44" s="21"/>
      <x:c r="F44" s="25"/>
      <x:c r="G44" s="21"/>
      <x:c r="H44" s="21"/>
      <x:c r="I44" s="31"/>
      <x:c r="J44" s="31"/>
      <x:c r="K44" s="31"/>
      <x:c r="L44" s="35"/>
      <x:c r="M44" s="35"/>
      <x:c r="N44" s="21"/>
      <x:c r="O44" s="21"/>
      <x:c r="P44" s="21"/>
      <x:c r="Q44" s="21"/>
      <x:c r="R44" s="21"/>
      <x:c r="S44" s="21"/>
      <x:c r="T44" s="21"/>
      <x:c r="U44" s="21"/>
      <x:c r="V44" s="21"/>
    </x:row>
    <x:row r="45">
      <x:c r="A45" s="21"/>
      <x:c r="B45" s="21"/>
      <x:c r="C45" s="21"/>
      <x:c r="D45" s="21"/>
      <x:c r="E45" s="21"/>
      <x:c r="F45" s="25"/>
      <x:c r="G45" s="21"/>
      <x:c r="H45" s="21"/>
      <x:c r="I45" s="31"/>
      <x:c r="J45" s="31"/>
      <x:c r="K45" s="31"/>
      <x:c r="L45" s="35"/>
      <x:c r="M45" s="35"/>
      <x:c r="N45" s="21"/>
      <x:c r="O45" s="21"/>
      <x:c r="P45" s="21"/>
      <x:c r="Q45" s="21"/>
      <x:c r="R45" s="21"/>
      <x:c r="S45" s="21"/>
      <x:c r="T45" s="21"/>
      <x:c r="U45" s="21"/>
      <x:c r="V45" s="21"/>
    </x:row>
    <x:row r="46">
      <x:c r="A46" s="21"/>
      <x:c r="B46" s="21"/>
      <x:c r="C46" s="21"/>
      <x:c r="D46" s="21"/>
      <x:c r="E46" s="21"/>
      <x:c r="F46" s="25"/>
      <x:c r="G46" s="21"/>
      <x:c r="H46" s="21"/>
      <x:c r="I46" s="31"/>
      <x:c r="J46" s="31"/>
      <x:c r="K46" s="31"/>
      <x:c r="L46" s="35"/>
      <x:c r="M46" s="35"/>
      <x:c r="N46" s="21"/>
      <x:c r="O46" s="21"/>
      <x:c r="P46" s="21"/>
      <x:c r="Q46" s="21"/>
      <x:c r="R46" s="21"/>
      <x:c r="S46" s="21"/>
      <x:c r="T46" s="21"/>
      <x:c r="U46" s="21"/>
      <x:c r="V46" s="21"/>
    </x:row>
    <x:row r="47">
      <x:c r="A47" s="21"/>
      <x:c r="B47" s="21"/>
      <x:c r="C47" s="21"/>
      <x:c r="D47" s="21"/>
      <x:c r="E47" s="21"/>
      <x:c r="F47" s="25"/>
      <x:c r="G47" s="21"/>
      <x:c r="H47" s="21"/>
      <x:c r="I47" s="31"/>
      <x:c r="J47" s="31"/>
      <x:c r="K47" s="31"/>
      <x:c r="L47" s="35"/>
      <x:c r="M47" s="35"/>
      <x:c r="N47" s="21"/>
      <x:c r="O47" s="21"/>
      <x:c r="P47" s="21"/>
      <x:c r="Q47" s="21"/>
      <x:c r="R47" s="21"/>
      <x:c r="S47" s="21"/>
      <x:c r="T47" s="21"/>
      <x:c r="U47" s="21"/>
      <x:c r="V47" s="21"/>
    </x:row>
    <x:row r="48">
      <x:c r="A48" s="21"/>
      <x:c r="B48" s="21"/>
      <x:c r="C48" s="21"/>
      <x:c r="D48" s="21"/>
      <x:c r="E48" s="21"/>
      <x:c r="F48" s="25"/>
      <x:c r="G48" s="21"/>
      <x:c r="H48" s="21"/>
      <x:c r="I48" s="31"/>
      <x:c r="J48" s="31"/>
      <x:c r="K48" s="31"/>
      <x:c r="L48" s="35"/>
      <x:c r="M48" s="35"/>
      <x:c r="N48" s="21"/>
      <x:c r="O48" s="21"/>
      <x:c r="P48" s="21"/>
      <x:c r="Q48" s="21"/>
      <x:c r="R48" s="21"/>
      <x:c r="S48" s="21"/>
      <x:c r="T48" s="21"/>
      <x:c r="U48" s="21"/>
      <x:c r="V48" s="21"/>
    </x:row>
    <x:row r="49">
      <x:c r="A49" s="21"/>
      <x:c r="B49" s="21"/>
      <x:c r="C49" s="21"/>
      <x:c r="D49" s="21"/>
      <x:c r="E49" s="21"/>
      <x:c r="F49" s="25"/>
      <x:c r="G49" s="21"/>
      <x:c r="H49" s="21"/>
      <x:c r="I49" s="31"/>
      <x:c r="J49" s="31"/>
      <x:c r="K49" s="31"/>
      <x:c r="L49" s="35"/>
      <x:c r="M49" s="35"/>
      <x:c r="N49" s="21"/>
      <x:c r="O49" s="21"/>
      <x:c r="P49" s="21"/>
      <x:c r="Q49" s="21"/>
      <x:c r="R49" s="21"/>
      <x:c r="S49" s="21"/>
      <x:c r="T49" s="21"/>
      <x:c r="U49" s="21"/>
      <x:c r="V49" s="21"/>
    </x:row>
    <x:row r="50">
      <x:c r="A50" s="21"/>
      <x:c r="B50" s="21"/>
      <x:c r="C50" s="21"/>
      <x:c r="D50" s="21"/>
      <x:c r="E50" s="21"/>
      <x:c r="F50" s="25"/>
      <x:c r="G50" s="21"/>
      <x:c r="H50" s="21"/>
      <x:c r="I50" s="31"/>
      <x:c r="J50" s="31"/>
      <x:c r="K50" s="31"/>
      <x:c r="L50" s="35"/>
      <x:c r="M50" s="35"/>
      <x:c r="N50" s="21"/>
      <x:c r="O50" s="21"/>
      <x:c r="P50" s="21"/>
      <x:c r="Q50" s="21"/>
      <x:c r="R50" s="21"/>
      <x:c r="S50" s="21"/>
      <x:c r="T50" s="21"/>
      <x:c r="U50" s="21"/>
      <x:c r="V50" s="21"/>
    </x:row>
    <x:row r="51">
      <x:c r="A51" s="21"/>
      <x:c r="B51" s="21"/>
      <x:c r="C51" s="21"/>
      <x:c r="D51" s="21"/>
      <x:c r="E51" s="21"/>
      <x:c r="F51" s="25"/>
      <x:c r="G51" s="21"/>
      <x:c r="H51" s="21"/>
      <x:c r="I51" s="31"/>
      <x:c r="J51" s="31"/>
      <x:c r="K51" s="31"/>
      <x:c r="L51" s="35"/>
      <x:c r="M51" s="35"/>
      <x:c r="N51" s="21"/>
      <x:c r="O51" s="21"/>
      <x:c r="P51" s="21"/>
      <x:c r="Q51" s="21"/>
      <x:c r="R51" s="21"/>
      <x:c r="S51" s="21"/>
      <x:c r="T51" s="21"/>
      <x:c r="U51" s="21"/>
      <x:c r="V51" s="21"/>
    </x:row>
    <x:row r="52">
      <x:c r="A52" s="21"/>
      <x:c r="B52" s="21"/>
      <x:c r="C52" s="21"/>
      <x:c r="D52" s="21"/>
      <x:c r="E52" s="21"/>
      <x:c r="F52" s="25"/>
      <x:c r="G52" s="21"/>
      <x:c r="H52" s="21"/>
      <x:c r="I52" s="31"/>
      <x:c r="J52" s="31"/>
      <x:c r="K52" s="31"/>
      <x:c r="L52" s="35"/>
      <x:c r="M52" s="35"/>
      <x:c r="N52" s="21"/>
      <x:c r="O52" s="21"/>
      <x:c r="P52" s="21"/>
      <x:c r="Q52" s="21"/>
      <x:c r="R52" s="21"/>
      <x:c r="S52" s="21"/>
      <x:c r="T52" s="21"/>
      <x:c r="U52" s="21"/>
      <x:c r="V52" s="21"/>
    </x:row>
    <x:row r="53">
      <x:c r="A53" s="21"/>
      <x:c r="B53" s="21"/>
      <x:c r="C53" s="21"/>
      <x:c r="D53" s="21"/>
      <x:c r="E53" s="21"/>
      <x:c r="F53" s="25"/>
      <x:c r="G53" s="21"/>
      <x:c r="H53" s="21"/>
      <x:c r="I53" s="31"/>
      <x:c r="J53" s="31"/>
      <x:c r="K53" s="31"/>
      <x:c r="L53" s="35"/>
      <x:c r="M53" s="35"/>
      <x:c r="N53" s="21"/>
      <x:c r="O53" s="21"/>
      <x:c r="P53" s="21"/>
      <x:c r="Q53" s="21"/>
      <x:c r="R53" s="21"/>
      <x:c r="S53" s="21"/>
      <x:c r="T53" s="21"/>
      <x:c r="U53" s="21"/>
      <x:c r="V53" s="21"/>
    </x:row>
    <x:row r="54">
      <x:c r="A54" s="21"/>
      <x:c r="B54" s="21"/>
      <x:c r="C54" s="21"/>
      <x:c r="D54" s="21"/>
      <x:c r="E54" s="21"/>
      <x:c r="F54" s="25"/>
      <x:c r="G54" s="21"/>
      <x:c r="H54" s="21"/>
      <x:c r="I54" s="31"/>
      <x:c r="J54" s="31"/>
      <x:c r="K54" s="31"/>
      <x:c r="L54" s="35"/>
      <x:c r="M54" s="35"/>
      <x:c r="N54" s="21"/>
      <x:c r="O54" s="21"/>
      <x:c r="P54" s="21"/>
      <x:c r="Q54" s="21"/>
      <x:c r="R54" s="21"/>
      <x:c r="S54" s="21"/>
      <x:c r="T54" s="21"/>
      <x:c r="U54" s="21"/>
      <x:c r="V54" s="21"/>
    </x:row>
    <x:row r="55">
      <x:c r="A55" s="21"/>
      <x:c r="B55" s="21"/>
      <x:c r="C55" s="21"/>
      <x:c r="D55" s="21"/>
      <x:c r="E55" s="21"/>
      <x:c r="F55" s="25"/>
      <x:c r="G55" s="21"/>
      <x:c r="H55" s="21"/>
      <x:c r="I55" s="31"/>
      <x:c r="J55" s="31"/>
      <x:c r="K55" s="31"/>
      <x:c r="L55" s="35"/>
      <x:c r="M55" s="35"/>
      <x:c r="N55" s="21"/>
      <x:c r="O55" s="21"/>
      <x:c r="P55" s="21"/>
      <x:c r="Q55" s="21"/>
      <x:c r="R55" s="21"/>
      <x:c r="S55" s="21"/>
      <x:c r="T55" s="21"/>
      <x:c r="U55" s="21"/>
      <x:c r="V55" s="21"/>
    </x:row>
    <x:row r="56">
      <x:c r="A56" s="21"/>
      <x:c r="B56" s="21"/>
      <x:c r="C56" s="21"/>
      <x:c r="D56" s="21"/>
      <x:c r="E56" s="21"/>
      <x:c r="F56" s="25"/>
      <x:c r="G56" s="21"/>
      <x:c r="H56" s="21"/>
      <x:c r="I56" s="31"/>
      <x:c r="J56" s="31"/>
      <x:c r="K56" s="31"/>
      <x:c r="L56" s="35"/>
      <x:c r="M56" s="35"/>
      <x:c r="N56" s="21"/>
      <x:c r="O56" s="21"/>
      <x:c r="P56" s="21"/>
      <x:c r="Q56" s="21"/>
      <x:c r="R56" s="21"/>
      <x:c r="S56" s="21"/>
      <x:c r="T56" s="21"/>
      <x:c r="U56" s="21"/>
      <x:c r="V56" s="21"/>
    </x:row>
    <x:row r="57">
      <x:c r="A57" s="21"/>
      <x:c r="B57" s="21"/>
      <x:c r="C57" s="21"/>
      <x:c r="D57" s="21"/>
      <x:c r="E57" s="21"/>
      <x:c r="F57" s="25"/>
      <x:c r="G57" s="21"/>
      <x:c r="H57" s="21"/>
      <x:c r="I57" s="31"/>
      <x:c r="J57" s="31"/>
      <x:c r="K57" s="31"/>
      <x:c r="L57" s="35"/>
      <x:c r="M57" s="35"/>
      <x:c r="N57" s="21"/>
      <x:c r="O57" s="21"/>
      <x:c r="P57" s="21"/>
      <x:c r="Q57" s="21"/>
      <x:c r="R57" s="21"/>
      <x:c r="S57" s="21"/>
      <x:c r="T57" s="21"/>
      <x:c r="U57" s="21"/>
      <x:c r="V57" s="21"/>
    </x:row>
    <x:row r="58">
      <x:c r="A58" s="21"/>
      <x:c r="B58" s="21"/>
      <x:c r="C58" s="21"/>
      <x:c r="D58" s="21"/>
      <x:c r="E58" s="21"/>
      <x:c r="F58" s="25"/>
      <x:c r="G58" s="21"/>
      <x:c r="H58" s="21"/>
      <x:c r="I58" s="31"/>
      <x:c r="J58" s="31"/>
      <x:c r="K58" s="31"/>
      <x:c r="L58" s="35"/>
      <x:c r="M58" s="35"/>
      <x:c r="N58" s="21"/>
      <x:c r="O58" s="21"/>
      <x:c r="P58" s="21"/>
      <x:c r="Q58" s="21"/>
      <x:c r="R58" s="21"/>
      <x:c r="S58" s="21"/>
      <x:c r="T58" s="21"/>
      <x:c r="U58" s="21"/>
      <x:c r="V58" s="21"/>
    </x:row>
    <x:row r="59">
      <x:c r="A59" s="21"/>
      <x:c r="B59" s="21"/>
      <x:c r="C59" s="21"/>
      <x:c r="D59" s="21"/>
      <x:c r="E59" s="21"/>
      <x:c r="F59" s="25"/>
      <x:c r="G59" s="21"/>
      <x:c r="H59" s="21"/>
      <x:c r="I59" s="31"/>
      <x:c r="J59" s="31"/>
      <x:c r="K59" s="31"/>
      <x:c r="L59" s="35"/>
      <x:c r="M59" s="35"/>
      <x:c r="N59" s="21"/>
      <x:c r="O59" s="21"/>
      <x:c r="P59" s="21"/>
      <x:c r="Q59" s="21"/>
      <x:c r="R59" s="21"/>
      <x:c r="S59" s="21"/>
      <x:c r="T59" s="21"/>
      <x:c r="U59" s="21"/>
      <x:c r="V59" s="21"/>
    </x:row>
    <x:row r="60">
      <x:c r="A60" s="21"/>
      <x:c r="B60" s="21"/>
      <x:c r="C60" s="21"/>
      <x:c r="D60" s="21"/>
      <x:c r="E60" s="21"/>
      <x:c r="F60" s="25"/>
      <x:c r="G60" s="21"/>
      <x:c r="H60" s="21"/>
      <x:c r="I60" s="31"/>
      <x:c r="J60" s="31"/>
      <x:c r="K60" s="31"/>
      <x:c r="L60" s="35"/>
      <x:c r="M60" s="35"/>
      <x:c r="N60" s="21"/>
      <x:c r="O60" s="21"/>
      <x:c r="P60" s="21"/>
      <x:c r="Q60" s="21"/>
      <x:c r="R60" s="21"/>
      <x:c r="S60" s="21"/>
      <x:c r="T60" s="21"/>
      <x:c r="U60" s="21"/>
      <x:c r="V60" s="21"/>
    </x:row>
    <x:row r="61">
      <x:c r="A61" s="21"/>
      <x:c r="B61" s="21"/>
      <x:c r="C61" s="21"/>
      <x:c r="D61" s="21"/>
      <x:c r="E61" s="21"/>
      <x:c r="F61" s="25"/>
      <x:c r="G61" s="21"/>
      <x:c r="H61" s="21"/>
      <x:c r="I61" s="31"/>
      <x:c r="J61" s="31"/>
      <x:c r="K61" s="31"/>
      <x:c r="L61" s="35"/>
      <x:c r="M61" s="35"/>
      <x:c r="N61" s="21"/>
      <x:c r="O61" s="21"/>
      <x:c r="P61" s="21"/>
      <x:c r="Q61" s="21"/>
      <x:c r="R61" s="21"/>
      <x:c r="S61" s="21"/>
      <x:c r="T61" s="21"/>
      <x:c r="U61" s="21"/>
      <x:c r="V61" s="21"/>
    </x:row>
    <x:row r="62">
      <x:c r="A62" s="21"/>
      <x:c r="B62" s="21"/>
      <x:c r="C62" s="21"/>
      <x:c r="D62" s="21"/>
      <x:c r="E62" s="21"/>
      <x:c r="F62" s="25"/>
      <x:c r="G62" s="21"/>
      <x:c r="H62" s="21"/>
      <x:c r="I62" s="31"/>
      <x:c r="J62" s="31"/>
      <x:c r="K62" s="31"/>
      <x:c r="L62" s="35"/>
      <x:c r="M62" s="35"/>
      <x:c r="N62" s="21"/>
      <x:c r="O62" s="21"/>
      <x:c r="P62" s="21"/>
      <x:c r="Q62" s="21"/>
      <x:c r="R62" s="21"/>
      <x:c r="S62" s="21"/>
      <x:c r="T62" s="21"/>
      <x:c r="U62" s="21"/>
      <x:c r="V62" s="21"/>
    </x:row>
    <x:row r="63">
      <x:c r="A63" s="21"/>
      <x:c r="B63" s="21"/>
      <x:c r="C63" s="21"/>
      <x:c r="D63" s="21"/>
      <x:c r="E63" s="21"/>
      <x:c r="F63" s="25"/>
      <x:c r="G63" s="21"/>
      <x:c r="H63" s="21"/>
      <x:c r="I63" s="31"/>
      <x:c r="J63" s="31"/>
      <x:c r="K63" s="31"/>
      <x:c r="L63" s="35"/>
      <x:c r="M63" s="35"/>
      <x:c r="N63" s="21"/>
      <x:c r="O63" s="21"/>
      <x:c r="P63" s="21"/>
      <x:c r="Q63" s="21"/>
      <x:c r="R63" s="21"/>
      <x:c r="S63" s="21"/>
      <x:c r="T63" s="21"/>
      <x:c r="U63" s="21"/>
      <x:c r="V63" s="21"/>
    </x:row>
    <x:row r="64">
      <x:c r="A64" s="21"/>
      <x:c r="B64" s="21"/>
      <x:c r="C64" s="21"/>
      <x:c r="D64" s="21"/>
      <x:c r="E64" s="21"/>
      <x:c r="F64" s="25"/>
      <x:c r="G64" s="21"/>
      <x:c r="H64" s="21"/>
      <x:c r="I64" s="31"/>
      <x:c r="J64" s="31"/>
      <x:c r="K64" s="31"/>
      <x:c r="L64" s="35"/>
      <x:c r="M64" s="35"/>
      <x:c r="N64" s="21"/>
      <x:c r="O64" s="21"/>
      <x:c r="P64" s="21"/>
      <x:c r="Q64" s="21"/>
      <x:c r="R64" s="21"/>
      <x:c r="S64" s="21"/>
      <x:c r="T64" s="21"/>
      <x:c r="U64" s="21"/>
      <x:c r="V64" s="21"/>
    </x:row>
    <x:row r="65">
      <x:c r="A65" s="21"/>
      <x:c r="B65" s="21"/>
      <x:c r="C65" s="21"/>
      <x:c r="D65" s="21"/>
      <x:c r="E65" s="21"/>
      <x:c r="F65" s="25"/>
      <x:c r="G65" s="21"/>
      <x:c r="H65" s="21"/>
      <x:c r="I65" s="31"/>
      <x:c r="J65" s="31"/>
      <x:c r="K65" s="31"/>
      <x:c r="L65" s="35"/>
      <x:c r="M65" s="35"/>
      <x:c r="N65" s="21"/>
      <x:c r="O65" s="21"/>
      <x:c r="P65" s="21"/>
      <x:c r="Q65" s="21"/>
      <x:c r="R65" s="21"/>
      <x:c r="S65" s="21"/>
      <x:c r="T65" s="21"/>
      <x:c r="U65" s="21"/>
      <x:c r="V65" s="21"/>
    </x:row>
    <x:row r="66">
      <x:c r="A66" s="21"/>
      <x:c r="B66" s="21"/>
      <x:c r="C66" s="21"/>
      <x:c r="D66" s="21"/>
      <x:c r="E66" s="21"/>
      <x:c r="F66" s="25"/>
      <x:c r="G66" s="21"/>
      <x:c r="H66" s="21"/>
      <x:c r="I66" s="31"/>
      <x:c r="J66" s="31"/>
      <x:c r="K66" s="31"/>
      <x:c r="L66" s="35"/>
      <x:c r="M66" s="35"/>
      <x:c r="N66" s="21"/>
      <x:c r="O66" s="21"/>
      <x:c r="P66" s="21"/>
      <x:c r="Q66" s="21"/>
      <x:c r="R66" s="21"/>
      <x:c r="S66" s="21"/>
      <x:c r="T66" s="21"/>
      <x:c r="U66" s="21"/>
      <x:c r="V66" s="21"/>
    </x:row>
    <x:row r="67">
      <x:c r="A67" s="21"/>
      <x:c r="B67" s="21"/>
      <x:c r="C67" s="21"/>
      <x:c r="D67" s="21"/>
      <x:c r="E67" s="21"/>
      <x:c r="F67" s="25"/>
      <x:c r="G67" s="21"/>
      <x:c r="H67" s="21"/>
      <x:c r="I67" s="31"/>
      <x:c r="J67" s="31"/>
      <x:c r="K67" s="31"/>
      <x:c r="L67" s="35"/>
      <x:c r="M67" s="35"/>
      <x:c r="N67" s="21"/>
      <x:c r="O67" s="21"/>
      <x:c r="P67" s="21"/>
      <x:c r="Q67" s="21"/>
      <x:c r="R67" s="21"/>
      <x:c r="S67" s="21"/>
      <x:c r="T67" s="21"/>
      <x:c r="U67" s="21"/>
      <x:c r="V67" s="21"/>
    </x:row>
    <x:row r="68">
      <x:c r="A68" s="21"/>
      <x:c r="B68" s="21"/>
      <x:c r="C68" s="21"/>
      <x:c r="D68" s="21"/>
      <x:c r="E68" s="21"/>
      <x:c r="F68" s="25"/>
      <x:c r="G68" s="21"/>
      <x:c r="H68" s="21"/>
      <x:c r="I68" s="31"/>
      <x:c r="J68" s="31"/>
      <x:c r="K68" s="31"/>
      <x:c r="L68" s="35"/>
      <x:c r="M68" s="35"/>
      <x:c r="N68" s="21"/>
      <x:c r="O68" s="21"/>
      <x:c r="P68" s="21"/>
      <x:c r="Q68" s="21"/>
      <x:c r="R68" s="21"/>
      <x:c r="S68" s="21"/>
      <x:c r="T68" s="21"/>
      <x:c r="U68" s="21"/>
      <x:c r="V68" s="21"/>
    </x:row>
    <x:row r="69">
      <x:c r="A69" s="21"/>
      <x:c r="B69" s="21"/>
      <x:c r="C69" s="21"/>
      <x:c r="D69" s="21"/>
      <x:c r="E69" s="21"/>
      <x:c r="F69" s="25"/>
      <x:c r="G69" s="21"/>
      <x:c r="H69" s="21"/>
      <x:c r="I69" s="31"/>
      <x:c r="J69" s="31"/>
      <x:c r="K69" s="31"/>
      <x:c r="L69" s="35"/>
      <x:c r="M69" s="35"/>
      <x:c r="N69" s="21"/>
      <x:c r="O69" s="21"/>
      <x:c r="P69" s="21"/>
      <x:c r="Q69" s="21"/>
      <x:c r="R69" s="21"/>
      <x:c r="S69" s="21"/>
      <x:c r="T69" s="21"/>
      <x:c r="U69" s="21"/>
      <x:c r="V69" s="21"/>
    </x:row>
    <x:row r="70">
      <x:c r="A70" s="21"/>
      <x:c r="B70" s="21"/>
      <x:c r="C70" s="21"/>
      <x:c r="D70" s="21"/>
      <x:c r="E70" s="21"/>
      <x:c r="F70" s="25"/>
      <x:c r="G70" s="21"/>
      <x:c r="H70" s="21"/>
      <x:c r="I70" s="31"/>
      <x:c r="J70" s="31"/>
      <x:c r="K70" s="31"/>
      <x:c r="L70" s="35"/>
      <x:c r="M70" s="35"/>
      <x:c r="N70" s="21"/>
      <x:c r="O70" s="21"/>
      <x:c r="P70" s="21"/>
      <x:c r="Q70" s="21"/>
      <x:c r="R70" s="21"/>
      <x:c r="S70" s="21"/>
      <x:c r="T70" s="21"/>
      <x:c r="U70" s="21"/>
      <x:c r="V70" s="21"/>
    </x:row>
    <x:row r="71">
      <x:c r="A71" s="21"/>
      <x:c r="B71" s="21"/>
      <x:c r="C71" s="21"/>
      <x:c r="D71" s="21"/>
      <x:c r="E71" s="21"/>
      <x:c r="F71" s="25"/>
      <x:c r="G71" s="21"/>
      <x:c r="H71" s="21"/>
      <x:c r="I71" s="31"/>
      <x:c r="J71" s="31"/>
      <x:c r="K71" s="31"/>
      <x:c r="L71" s="35"/>
      <x:c r="M71" s="35"/>
      <x:c r="N71" s="21"/>
      <x:c r="O71" s="21"/>
      <x:c r="P71" s="21"/>
      <x:c r="Q71" s="21"/>
      <x:c r="R71" s="21"/>
      <x:c r="S71" s="21"/>
      <x:c r="T71" s="21"/>
      <x:c r="U71" s="21"/>
      <x:c r="V71" s="21"/>
    </x:row>
    <x:row r="72">
      <x:c r="A72" s="21"/>
      <x:c r="B72" s="21"/>
      <x:c r="C72" s="21"/>
      <x:c r="D72" s="21"/>
      <x:c r="E72" s="21"/>
      <x:c r="F72" s="25"/>
      <x:c r="G72" s="21"/>
      <x:c r="H72" s="21"/>
      <x:c r="I72" s="31"/>
      <x:c r="J72" s="31"/>
      <x:c r="K72" s="31"/>
      <x:c r="L72" s="35"/>
      <x:c r="M72" s="35"/>
      <x:c r="N72" s="21"/>
      <x:c r="O72" s="21"/>
      <x:c r="P72" s="21"/>
      <x:c r="Q72" s="21"/>
      <x:c r="R72" s="21"/>
      <x:c r="S72" s="21"/>
      <x:c r="T72" s="21"/>
      <x:c r="U72" s="21"/>
      <x:c r="V72" s="21"/>
    </x:row>
    <x:row r="73">
      <x:c r="A73" s="21"/>
      <x:c r="B73" s="21"/>
      <x:c r="C73" s="21"/>
      <x:c r="D73" s="21"/>
      <x:c r="E73" s="21"/>
      <x:c r="F73" s="25"/>
      <x:c r="G73" s="21"/>
      <x:c r="H73" s="21"/>
      <x:c r="I73" s="31"/>
      <x:c r="J73" s="31"/>
      <x:c r="K73" s="31"/>
      <x:c r="L73" s="35"/>
      <x:c r="M73" s="35"/>
      <x:c r="N73" s="21"/>
      <x:c r="O73" s="21"/>
      <x:c r="P73" s="21"/>
      <x:c r="Q73" s="21"/>
      <x:c r="R73" s="21"/>
      <x:c r="S73" s="21"/>
      <x:c r="T73" s="21"/>
      <x:c r="U73" s="21"/>
      <x:c r="V73" s="21"/>
    </x:row>
    <x:row r="74">
      <x:c r="A74" s="21"/>
      <x:c r="B74" s="21"/>
      <x:c r="C74" s="21"/>
      <x:c r="D74" s="21"/>
      <x:c r="E74" s="21"/>
      <x:c r="F74" s="25"/>
      <x:c r="G74" s="21"/>
      <x:c r="H74" s="21"/>
      <x:c r="I74" s="31"/>
      <x:c r="J74" s="31"/>
      <x:c r="K74" s="31"/>
      <x:c r="L74" s="35"/>
      <x:c r="M74" s="35"/>
      <x:c r="N74" s="21"/>
      <x:c r="O74" s="21"/>
      <x:c r="P74" s="21"/>
      <x:c r="Q74" s="21"/>
      <x:c r="R74" s="21"/>
      <x:c r="S74" s="21"/>
      <x:c r="T74" s="21"/>
      <x:c r="U74" s="21"/>
      <x:c r="V74" s="21"/>
    </x:row>
    <x:row r="75">
      <x:c r="A75" s="21"/>
      <x:c r="B75" s="21"/>
      <x:c r="C75" s="21"/>
      <x:c r="D75" s="21"/>
      <x:c r="E75" s="21"/>
      <x:c r="F75" s="25"/>
      <x:c r="G75" s="21"/>
      <x:c r="H75" s="21"/>
      <x:c r="I75" s="31"/>
      <x:c r="J75" s="31"/>
      <x:c r="K75" s="31"/>
      <x:c r="L75" s="35"/>
      <x:c r="M75" s="35"/>
      <x:c r="N75" s="21"/>
      <x:c r="O75" s="21"/>
      <x:c r="P75" s="21"/>
      <x:c r="Q75" s="21"/>
      <x:c r="R75" s="21"/>
      <x:c r="S75" s="21"/>
      <x:c r="T75" s="21"/>
      <x:c r="U75" s="21"/>
      <x:c r="V75" s="21"/>
    </x:row>
    <x:row r="76">
      <x:c r="A76" s="21"/>
      <x:c r="B76" s="21"/>
      <x:c r="C76" s="21"/>
      <x:c r="D76" s="21"/>
      <x:c r="E76" s="21"/>
      <x:c r="F76" s="25"/>
      <x:c r="G76" s="21"/>
      <x:c r="H76" s="21"/>
      <x:c r="I76" s="31"/>
      <x:c r="J76" s="31"/>
      <x:c r="K76" s="31"/>
      <x:c r="L76" s="35"/>
      <x:c r="M76" s="35"/>
      <x:c r="N76" s="21"/>
      <x:c r="O76" s="21"/>
      <x:c r="P76" s="21"/>
      <x:c r="Q76" s="21"/>
      <x:c r="R76" s="21"/>
      <x:c r="S76" s="21"/>
      <x:c r="T76" s="21"/>
      <x:c r="U76" s="21"/>
      <x:c r="V76" s="21"/>
    </x:row>
    <x:row r="77">
      <x:c r="A77" s="21"/>
      <x:c r="B77" s="21"/>
      <x:c r="C77" s="21"/>
      <x:c r="D77" s="21"/>
      <x:c r="E77" s="21"/>
      <x:c r="F77" s="25"/>
      <x:c r="G77" s="21"/>
      <x:c r="H77" s="21"/>
      <x:c r="I77" s="31"/>
      <x:c r="J77" s="31"/>
      <x:c r="K77" s="31"/>
      <x:c r="L77" s="35"/>
      <x:c r="M77" s="35"/>
      <x:c r="N77" s="21"/>
      <x:c r="O77" s="21"/>
      <x:c r="P77" s="21"/>
      <x:c r="Q77" s="21"/>
      <x:c r="R77" s="21"/>
      <x:c r="S77" s="21"/>
      <x:c r="T77" s="21"/>
      <x:c r="U77" s="21"/>
      <x:c r="V77" s="21"/>
    </x:row>
    <x:row r="78">
      <x:c r="A78" s="21"/>
      <x:c r="B78" s="21"/>
      <x:c r="C78" s="21"/>
      <x:c r="D78" s="21"/>
      <x:c r="E78" s="21"/>
      <x:c r="F78" s="25"/>
      <x:c r="G78" s="21"/>
      <x:c r="H78" s="21"/>
      <x:c r="I78" s="31"/>
      <x:c r="J78" s="31"/>
      <x:c r="K78" s="31"/>
      <x:c r="L78" s="35"/>
      <x:c r="M78" s="35"/>
      <x:c r="N78" s="21"/>
      <x:c r="O78" s="21"/>
      <x:c r="P78" s="21"/>
      <x:c r="Q78" s="21"/>
      <x:c r="R78" s="21"/>
      <x:c r="S78" s="21"/>
      <x:c r="T78" s="21"/>
      <x:c r="U78" s="21"/>
      <x:c r="V78" s="21"/>
    </x:row>
    <x:row r="79">
      <x:c r="A79" s="21"/>
      <x:c r="B79" s="21"/>
      <x:c r="C79" s="21"/>
      <x:c r="D79" s="21"/>
      <x:c r="E79" s="21"/>
      <x:c r="F79" s="25"/>
      <x:c r="G79" s="21"/>
      <x:c r="H79" s="21"/>
      <x:c r="I79" s="31"/>
      <x:c r="J79" s="31"/>
      <x:c r="K79" s="31"/>
      <x:c r="L79" s="35"/>
      <x:c r="M79" s="35"/>
      <x:c r="N79" s="21"/>
      <x:c r="O79" s="21"/>
      <x:c r="P79" s="21"/>
      <x:c r="Q79" s="21"/>
      <x:c r="R79" s="21"/>
      <x:c r="S79" s="21"/>
      <x:c r="T79" s="21"/>
      <x:c r="U79" s="21"/>
      <x:c r="V79" s="21"/>
    </x:row>
    <x:row r="80">
      <x:c r="A80" s="21"/>
      <x:c r="B80" s="21"/>
      <x:c r="C80" s="21"/>
      <x:c r="D80" s="21"/>
      <x:c r="E80" s="21"/>
      <x:c r="F80" s="25"/>
      <x:c r="G80" s="21"/>
      <x:c r="H80" s="21"/>
      <x:c r="I80" s="31"/>
      <x:c r="J80" s="31"/>
      <x:c r="K80" s="31"/>
      <x:c r="L80" s="35"/>
      <x:c r="M80" s="35"/>
      <x:c r="N80" s="21"/>
      <x:c r="O80" s="21"/>
      <x:c r="P80" s="21"/>
      <x:c r="Q80" s="21"/>
      <x:c r="R80" s="21"/>
      <x:c r="S80" s="21"/>
      <x:c r="T80" s="21"/>
      <x:c r="U80" s="21"/>
      <x:c r="V80" s="21"/>
    </x:row>
    <x:row r="81">
      <x:c r="A81" s="21"/>
      <x:c r="B81" s="21"/>
      <x:c r="C81" s="21"/>
      <x:c r="D81" s="21"/>
      <x:c r="E81" s="21"/>
      <x:c r="F81" s="25"/>
      <x:c r="G81" s="21"/>
      <x:c r="H81" s="21"/>
      <x:c r="I81" s="31"/>
      <x:c r="J81" s="31"/>
      <x:c r="K81" s="31"/>
      <x:c r="L81" s="35"/>
      <x:c r="M81" s="35"/>
      <x:c r="N81" s="21"/>
      <x:c r="O81" s="21"/>
      <x:c r="P81" s="21"/>
      <x:c r="Q81" s="21"/>
      <x:c r="R81" s="21"/>
      <x:c r="S81" s="21"/>
      <x:c r="T81" s="21"/>
      <x:c r="U81" s="21"/>
      <x:c r="V81" s="21"/>
    </x:row>
    <x:row r="82">
      <x:c r="A82" s="21"/>
      <x:c r="B82" s="21"/>
      <x:c r="C82" s="21"/>
      <x:c r="D82" s="21"/>
      <x:c r="E82" s="21"/>
      <x:c r="F82" s="25"/>
      <x:c r="G82" s="21"/>
      <x:c r="H82" s="21"/>
      <x:c r="I82" s="31"/>
      <x:c r="J82" s="31"/>
      <x:c r="K82" s="31"/>
      <x:c r="L82" s="35"/>
      <x:c r="M82" s="35"/>
      <x:c r="N82" s="21"/>
      <x:c r="O82" s="21"/>
      <x:c r="P82" s="21"/>
      <x:c r="Q82" s="21"/>
      <x:c r="R82" s="21"/>
      <x:c r="S82" s="21"/>
      <x:c r="T82" s="21"/>
      <x:c r="U82" s="21"/>
      <x:c r="V82" s="21"/>
    </x:row>
    <x:row r="83">
      <x:c r="A83" s="21"/>
      <x:c r="B83" s="21"/>
      <x:c r="C83" s="21"/>
      <x:c r="D83" s="21"/>
      <x:c r="E83" s="21"/>
      <x:c r="F83" s="25"/>
      <x:c r="G83" s="21"/>
      <x:c r="H83" s="21"/>
      <x:c r="I83" s="31"/>
      <x:c r="J83" s="31"/>
      <x:c r="K83" s="31"/>
      <x:c r="L83" s="35"/>
      <x:c r="M83" s="35"/>
      <x:c r="N83" s="21"/>
      <x:c r="O83" s="21"/>
      <x:c r="P83" s="21"/>
      <x:c r="Q83" s="21"/>
      <x:c r="R83" s="21"/>
      <x:c r="S83" s="21"/>
      <x:c r="T83" s="21"/>
      <x:c r="U83" s="21"/>
      <x:c r="V83" s="21"/>
    </x:row>
    <x:row r="84">
      <x:c r="A84" s="21"/>
      <x:c r="B84" s="21"/>
      <x:c r="C84" s="21"/>
      <x:c r="D84" s="21"/>
      <x:c r="E84" s="21"/>
      <x:c r="F84" s="25"/>
      <x:c r="G84" s="21"/>
      <x:c r="H84" s="21"/>
      <x:c r="I84" s="31"/>
      <x:c r="J84" s="31"/>
      <x:c r="K84" s="31"/>
      <x:c r="L84" s="35"/>
      <x:c r="M84" s="35"/>
      <x:c r="N84" s="21"/>
      <x:c r="O84" s="21"/>
      <x:c r="P84" s="21"/>
      <x:c r="Q84" s="21"/>
      <x:c r="R84" s="21"/>
      <x:c r="S84" s="21"/>
      <x:c r="T84" s="21"/>
      <x:c r="U84" s="21"/>
      <x:c r="V84" s="21"/>
    </x:row>
    <x:row r="85">
      <x:c r="A85" s="21"/>
      <x:c r="B85" s="21"/>
      <x:c r="C85" s="21"/>
      <x:c r="D85" s="21"/>
      <x:c r="E85" s="21"/>
      <x:c r="F85" s="25"/>
      <x:c r="G85" s="21"/>
      <x:c r="H85" s="21"/>
      <x:c r="I85" s="31"/>
      <x:c r="J85" s="31"/>
      <x:c r="K85" s="31"/>
      <x:c r="L85" s="35"/>
      <x:c r="M85" s="35"/>
      <x:c r="N85" s="21"/>
      <x:c r="O85" s="21"/>
      <x:c r="P85" s="21"/>
      <x:c r="Q85" s="21"/>
      <x:c r="R85" s="21"/>
      <x:c r="S85" s="21"/>
      <x:c r="T85" s="21"/>
      <x:c r="U85" s="21"/>
      <x:c r="V85" s="21"/>
    </x:row>
    <x:row r="86">
      <x:c r="A86" s="21"/>
      <x:c r="B86" s="21"/>
      <x:c r="C86" s="21"/>
      <x:c r="D86" s="21"/>
      <x:c r="E86" s="21"/>
      <x:c r="F86" s="25"/>
      <x:c r="G86" s="21"/>
      <x:c r="H86" s="21"/>
      <x:c r="I86" s="31"/>
      <x:c r="J86" s="31"/>
      <x:c r="K86" s="31"/>
      <x:c r="L86" s="35"/>
      <x:c r="M86" s="35"/>
      <x:c r="N86" s="21"/>
      <x:c r="O86" s="21"/>
      <x:c r="P86" s="21"/>
      <x:c r="Q86" s="21"/>
      <x:c r="R86" s="21"/>
      <x:c r="S86" s="21"/>
      <x:c r="T86" s="21"/>
      <x:c r="U86" s="21"/>
      <x:c r="V86" s="21"/>
    </x:row>
    <x:row r="87">
      <x:c r="A87" s="21"/>
      <x:c r="B87" s="21"/>
      <x:c r="C87" s="21"/>
      <x:c r="D87" s="21"/>
      <x:c r="E87" s="21"/>
      <x:c r="F87" s="25"/>
      <x:c r="G87" s="21"/>
      <x:c r="H87" s="21"/>
      <x:c r="I87" s="31"/>
      <x:c r="J87" s="31"/>
      <x:c r="K87" s="31"/>
      <x:c r="L87" s="35"/>
      <x:c r="M87" s="35"/>
      <x:c r="N87" s="21"/>
      <x:c r="O87" s="21"/>
      <x:c r="P87" s="21"/>
      <x:c r="Q87" s="21"/>
      <x:c r="R87" s="21"/>
      <x:c r="S87" s="21"/>
      <x:c r="T87" s="21"/>
      <x:c r="U87" s="21"/>
      <x:c r="V87" s="21"/>
    </x:row>
    <x:row r="88">
      <x:c r="A88" s="21"/>
      <x:c r="B88" s="21"/>
      <x:c r="C88" s="21"/>
      <x:c r="D88" s="21"/>
      <x:c r="E88" s="21"/>
      <x:c r="F88" s="25"/>
      <x:c r="G88" s="21"/>
      <x:c r="H88" s="21"/>
      <x:c r="I88" s="31"/>
      <x:c r="J88" s="31"/>
      <x:c r="K88" s="31"/>
      <x:c r="L88" s="35"/>
      <x:c r="M88" s="35"/>
      <x:c r="N88" s="21"/>
      <x:c r="O88" s="21"/>
      <x:c r="P88" s="21"/>
      <x:c r="Q88" s="21"/>
      <x:c r="R88" s="21"/>
      <x:c r="S88" s="21"/>
      <x:c r="T88" s="21"/>
      <x:c r="U88" s="21"/>
      <x:c r="V88" s="21"/>
    </x:row>
    <x:row r="89">
      <x:c r="A89" s="21"/>
      <x:c r="B89" s="21"/>
      <x:c r="C89" s="21"/>
      <x:c r="D89" s="21"/>
      <x:c r="E89" s="21"/>
      <x:c r="F89" s="25"/>
      <x:c r="G89" s="21"/>
      <x:c r="H89" s="21"/>
      <x:c r="I89" s="31"/>
      <x:c r="J89" s="31"/>
      <x:c r="K89" s="31"/>
      <x:c r="L89" s="35"/>
      <x:c r="M89" s="35"/>
      <x:c r="N89" s="21"/>
      <x:c r="O89" s="21"/>
      <x:c r="P89" s="21"/>
      <x:c r="Q89" s="21"/>
      <x:c r="R89" s="21"/>
      <x:c r="S89" s="21"/>
      <x:c r="T89" s="21"/>
      <x:c r="U89" s="21"/>
      <x:c r="V89" s="21"/>
    </x:row>
    <x:row r="90">
      <x:c r="A90" s="21"/>
      <x:c r="B90" s="21"/>
      <x:c r="C90" s="21"/>
      <x:c r="D90" s="21"/>
      <x:c r="E90" s="21"/>
      <x:c r="F90" s="25"/>
      <x:c r="G90" s="21"/>
      <x:c r="H90" s="21"/>
      <x:c r="I90" s="31"/>
      <x:c r="J90" s="31"/>
      <x:c r="K90" s="31"/>
      <x:c r="L90" s="35"/>
      <x:c r="M90" s="35"/>
      <x:c r="N90" s="21"/>
      <x:c r="O90" s="21"/>
      <x:c r="P90" s="21"/>
      <x:c r="Q90" s="21"/>
      <x:c r="R90" s="21"/>
      <x:c r="S90" s="21"/>
      <x:c r="T90" s="21"/>
      <x:c r="U90" s="21"/>
      <x:c r="V90" s="21"/>
    </x:row>
    <x:row r="91">
      <x:c r="A91" s="21"/>
      <x:c r="B91" s="21"/>
      <x:c r="C91" s="21"/>
      <x:c r="D91" s="21"/>
      <x:c r="E91" s="21"/>
      <x:c r="F91" s="25"/>
      <x:c r="G91" s="21"/>
      <x:c r="H91" s="21"/>
      <x:c r="I91" s="31"/>
      <x:c r="J91" s="31"/>
      <x:c r="K91" s="31"/>
      <x:c r="L91" s="35"/>
      <x:c r="M91" s="35"/>
      <x:c r="N91" s="21"/>
      <x:c r="O91" s="21"/>
      <x:c r="P91" s="21"/>
      <x:c r="Q91" s="21"/>
      <x:c r="R91" s="21"/>
      <x:c r="S91" s="21"/>
      <x:c r="T91" s="21"/>
      <x:c r="U91" s="21"/>
      <x:c r="V91" s="21"/>
    </x:row>
    <x:row r="92">
      <x:c r="A92" s="21"/>
      <x:c r="B92" s="21"/>
      <x:c r="C92" s="21"/>
      <x:c r="D92" s="21"/>
      <x:c r="E92" s="21"/>
      <x:c r="F92" s="25"/>
      <x:c r="G92" s="21"/>
      <x:c r="H92" s="21"/>
      <x:c r="I92" s="31"/>
      <x:c r="J92" s="31"/>
      <x:c r="K92" s="31"/>
      <x:c r="L92" s="35"/>
      <x:c r="M92" s="35"/>
      <x:c r="N92" s="21"/>
      <x:c r="O92" s="21"/>
      <x:c r="P92" s="21"/>
      <x:c r="Q92" s="21"/>
      <x:c r="R92" s="21"/>
      <x:c r="S92" s="21"/>
      <x:c r="T92" s="21"/>
      <x:c r="U92" s="21"/>
      <x:c r="V92" s="21"/>
    </x:row>
    <x:row r="93">
      <x:c r="A93" s="21"/>
      <x:c r="B93" s="21"/>
      <x:c r="C93" s="21"/>
      <x:c r="D93" s="21"/>
      <x:c r="E93" s="21"/>
      <x:c r="F93" s="25"/>
      <x:c r="G93" s="21"/>
      <x:c r="H93" s="21"/>
      <x:c r="I93" s="31"/>
      <x:c r="J93" s="31"/>
      <x:c r="K93" s="31"/>
      <x:c r="L93" s="35"/>
      <x:c r="M93" s="35"/>
      <x:c r="N93" s="21"/>
      <x:c r="O93" s="21"/>
      <x:c r="P93" s="21"/>
      <x:c r="Q93" s="21"/>
      <x:c r="R93" s="21"/>
      <x:c r="S93" s="21"/>
      <x:c r="T93" s="21"/>
      <x:c r="U93" s="21"/>
      <x:c r="V93" s="21"/>
    </x:row>
    <x:row r="94">
      <x:c r="A94" s="21"/>
      <x:c r="B94" s="21"/>
      <x:c r="C94" s="21"/>
      <x:c r="D94" s="21"/>
      <x:c r="E94" s="21"/>
      <x:c r="F94" s="25"/>
      <x:c r="G94" s="21"/>
      <x:c r="H94" s="21"/>
      <x:c r="I94" s="31"/>
      <x:c r="J94" s="31"/>
      <x:c r="K94" s="31"/>
      <x:c r="L94" s="35"/>
      <x:c r="M94" s="35"/>
      <x:c r="N94" s="21"/>
      <x:c r="O94" s="21"/>
      <x:c r="P94" s="21"/>
      <x:c r="Q94" s="21"/>
      <x:c r="R94" s="21"/>
      <x:c r="S94" s="21"/>
      <x:c r="T94" s="21"/>
      <x:c r="U94" s="21"/>
      <x:c r="V94" s="21"/>
    </x:row>
    <x:row r="95">
      <x:c r="A95" s="21"/>
      <x:c r="B95" s="21"/>
      <x:c r="C95" s="21"/>
      <x:c r="D95" s="21"/>
      <x:c r="E95" s="21"/>
      <x:c r="F95" s="25"/>
      <x:c r="G95" s="21"/>
      <x:c r="H95" s="21"/>
      <x:c r="I95" s="31"/>
      <x:c r="J95" s="31"/>
      <x:c r="K95" s="31"/>
      <x:c r="L95" s="35"/>
      <x:c r="M95" s="35"/>
      <x:c r="N95" s="21"/>
      <x:c r="O95" s="21"/>
      <x:c r="P95" s="21"/>
      <x:c r="Q95" s="21"/>
      <x:c r="R95" s="21"/>
      <x:c r="S95" s="21"/>
      <x:c r="T95" s="21"/>
      <x:c r="U95" s="21"/>
      <x:c r="V95" s="21"/>
    </x:row>
    <x:row r="96">
      <x:c r="A96" s="21"/>
      <x:c r="B96" s="21"/>
      <x:c r="C96" s="21"/>
      <x:c r="D96" s="21"/>
      <x:c r="E96" s="21"/>
      <x:c r="F96" s="25"/>
      <x:c r="G96" s="21"/>
      <x:c r="H96" s="21"/>
      <x:c r="I96" s="31"/>
      <x:c r="J96" s="31"/>
      <x:c r="K96" s="31"/>
      <x:c r="L96" s="35"/>
      <x:c r="M96" s="35"/>
      <x:c r="N96" s="21"/>
      <x:c r="O96" s="21"/>
      <x:c r="P96" s="21"/>
      <x:c r="Q96" s="21"/>
      <x:c r="R96" s="21"/>
      <x:c r="S96" s="21"/>
      <x:c r="T96" s="21"/>
      <x:c r="U96" s="21"/>
      <x:c r="V96" s="21"/>
    </x:row>
    <x:row r="97">
      <x:c r="A97" s="21"/>
      <x:c r="B97" s="21"/>
      <x:c r="C97" s="21"/>
      <x:c r="D97" s="21"/>
      <x:c r="E97" s="21"/>
      <x:c r="F97" s="25"/>
      <x:c r="G97" s="21"/>
      <x:c r="H97" s="21"/>
      <x:c r="I97" s="31"/>
      <x:c r="J97" s="31"/>
      <x:c r="K97" s="31"/>
      <x:c r="L97" s="35"/>
      <x:c r="M97" s="35"/>
      <x:c r="N97" s="21"/>
      <x:c r="O97" s="21"/>
      <x:c r="P97" s="21"/>
      <x:c r="Q97" s="21"/>
      <x:c r="R97" s="21"/>
      <x:c r="S97" s="21"/>
      <x:c r="T97" s="21"/>
      <x:c r="U97" s="21"/>
      <x:c r="V97" s="21"/>
    </x:row>
    <x:row r="98">
      <x:c r="A98" s="21"/>
      <x:c r="B98" s="21"/>
      <x:c r="C98" s="21"/>
      <x:c r="D98" s="21"/>
      <x:c r="E98" s="21"/>
      <x:c r="F98" s="25"/>
      <x:c r="G98" s="21"/>
      <x:c r="H98" s="21"/>
      <x:c r="I98" s="31"/>
      <x:c r="J98" s="31"/>
      <x:c r="K98" s="31"/>
      <x:c r="L98" s="35"/>
      <x:c r="M98" s="35"/>
      <x:c r="N98" s="21"/>
      <x:c r="O98" s="21"/>
      <x:c r="P98" s="21"/>
      <x:c r="Q98" s="21"/>
      <x:c r="R98" s="21"/>
      <x:c r="S98" s="21"/>
      <x:c r="T98" s="21"/>
      <x:c r="U98" s="21"/>
      <x:c r="V98" s="21"/>
    </x:row>
    <x:row r="99">
      <x:c r="A99" s="21"/>
      <x:c r="B99" s="21"/>
      <x:c r="C99" s="21"/>
      <x:c r="D99" s="21"/>
      <x:c r="E99" s="21"/>
      <x:c r="F99" s="25"/>
      <x:c r="G99" s="21"/>
      <x:c r="H99" s="21"/>
      <x:c r="I99" s="31"/>
      <x:c r="J99" s="31"/>
      <x:c r="K99" s="31"/>
      <x:c r="L99" s="35"/>
      <x:c r="M99" s="35"/>
      <x:c r="N99" s="21"/>
      <x:c r="O99" s="21"/>
      <x:c r="P99" s="21"/>
      <x:c r="Q99" s="21"/>
      <x:c r="R99" s="21"/>
      <x:c r="S99" s="21"/>
      <x:c r="T99" s="21"/>
      <x:c r="U99" s="21"/>
      <x:c r="V99" s="21"/>
    </x:row>
    <x:row r="100">
      <x:c r="A100" s="21"/>
      <x:c r="B100" s="21"/>
      <x:c r="C100" s="21"/>
      <x:c r="D100" s="21"/>
      <x:c r="E100" s="21"/>
      <x:c r="F100" s="25"/>
      <x:c r="G100" s="21"/>
      <x:c r="H100" s="21"/>
      <x:c r="I100" s="31"/>
      <x:c r="J100" s="31"/>
      <x:c r="K100" s="31"/>
      <x:c r="L100" s="35"/>
      <x:c r="M100" s="35"/>
      <x:c r="N100" s="21"/>
      <x:c r="O100" s="21"/>
      <x:c r="P100" s="21"/>
      <x:c r="Q100" s="21"/>
      <x:c r="R100" s="21"/>
      <x:c r="S100" s="21"/>
      <x:c r="T100" s="21"/>
      <x:c r="U100" s="21"/>
      <x:c r="V100" s="21"/>
    </x:row>
    <x:row r="101">
      <x:c r="A101" s="21"/>
      <x:c r="B101" s="21"/>
      <x:c r="C101" s="21"/>
      <x:c r="D101" s="21"/>
      <x:c r="E101" s="21"/>
      <x:c r="F101" s="25"/>
      <x:c r="G101" s="21"/>
      <x:c r="H101" s="21"/>
      <x:c r="I101" s="31"/>
      <x:c r="J101" s="31"/>
      <x:c r="K101" s="31"/>
      <x:c r="L101" s="35"/>
      <x:c r="M101" s="35"/>
      <x:c r="N101" s="21"/>
      <x:c r="O101" s="21"/>
      <x:c r="P101" s="21"/>
      <x:c r="Q101" s="21"/>
      <x:c r="R101" s="21"/>
      <x:c r="S101" s="21"/>
      <x:c r="T101" s="21"/>
      <x:c r="U101" s="21"/>
      <x:c r="V101" s="21"/>
    </x:row>
    <x:row r="102">
      <x:c r="A102" s="21"/>
      <x:c r="B102" s="21"/>
      <x:c r="C102" s="21"/>
      <x:c r="D102" s="21"/>
      <x:c r="E102" s="21"/>
      <x:c r="F102" s="25"/>
      <x:c r="G102" s="21"/>
      <x:c r="H102" s="21"/>
      <x:c r="I102" s="31"/>
      <x:c r="J102" s="31"/>
      <x:c r="K102" s="31"/>
      <x:c r="L102" s="35"/>
      <x:c r="M102" s="35"/>
      <x:c r="N102" s="21"/>
      <x:c r="O102" s="21"/>
      <x:c r="P102" s="21"/>
      <x:c r="Q102" s="21"/>
      <x:c r="R102" s="21"/>
      <x:c r="S102" s="21"/>
      <x:c r="T102" s="21"/>
      <x:c r="U102" s="21"/>
      <x:c r="V102" s="21"/>
    </x:row>
    <x:row r="103">
      <x:c r="A103" s="21"/>
      <x:c r="B103" s="21"/>
      <x:c r="C103" s="21"/>
      <x:c r="D103" s="21"/>
      <x:c r="E103" s="21"/>
      <x:c r="F103" s="25"/>
      <x:c r="G103" s="21"/>
      <x:c r="H103" s="21"/>
      <x:c r="I103" s="31"/>
      <x:c r="J103" s="31"/>
      <x:c r="K103" s="31"/>
      <x:c r="L103" s="35"/>
      <x:c r="M103" s="35"/>
      <x:c r="N103" s="21"/>
      <x:c r="O103" s="21"/>
      <x:c r="P103" s="21"/>
      <x:c r="Q103" s="21"/>
      <x:c r="R103" s="21"/>
      <x:c r="S103" s="21"/>
      <x:c r="T103" s="21"/>
      <x:c r="U103" s="21"/>
      <x:c r="V103" s="21"/>
    </x:row>
    <x:row r="104">
      <x:c r="A104" s="21"/>
      <x:c r="B104" s="21"/>
      <x:c r="C104" s="21"/>
      <x:c r="D104" s="21"/>
      <x:c r="E104" s="21"/>
      <x:c r="F104" s="25"/>
      <x:c r="G104" s="21"/>
      <x:c r="H104" s="21"/>
      <x:c r="I104" s="31"/>
      <x:c r="J104" s="31"/>
      <x:c r="K104" s="31"/>
      <x:c r="L104" s="35"/>
      <x:c r="M104" s="35"/>
      <x:c r="N104" s="21"/>
      <x:c r="O104" s="21"/>
      <x:c r="P104" s="21"/>
      <x:c r="Q104" s="21"/>
      <x:c r="R104" s="21"/>
      <x:c r="S104" s="21"/>
      <x:c r="T104" s="21"/>
      <x:c r="U104" s="21"/>
      <x:c r="V104" s="21"/>
    </x:row>
    <x:row r="105">
      <x:c r="A105" s="21"/>
      <x:c r="B105" s="21"/>
      <x:c r="C105" s="21"/>
      <x:c r="D105" s="21"/>
      <x:c r="E105" s="21"/>
      <x:c r="F105" s="25"/>
      <x:c r="G105" s="21"/>
      <x:c r="H105" s="21"/>
      <x:c r="I105" s="31"/>
      <x:c r="J105" s="31"/>
      <x:c r="K105" s="31"/>
      <x:c r="L105" s="35"/>
      <x:c r="M105" s="35"/>
      <x:c r="N105" s="21"/>
      <x:c r="O105" s="21"/>
      <x:c r="P105" s="21"/>
      <x:c r="Q105" s="21"/>
      <x:c r="R105" s="21"/>
      <x:c r="S105" s="21"/>
      <x:c r="T105" s="21"/>
      <x:c r="U105" s="21"/>
      <x:c r="V105" s="21"/>
    </x:row>
    <x:row r="106">
      <x:c r="A106" s="21"/>
      <x:c r="B106" s="21"/>
      <x:c r="C106" s="21"/>
      <x:c r="D106" s="21"/>
      <x:c r="E106" s="21"/>
      <x:c r="F106" s="25"/>
      <x:c r="G106" s="21"/>
      <x:c r="H106" s="21"/>
      <x:c r="I106" s="31"/>
      <x:c r="J106" s="31"/>
      <x:c r="K106" s="31"/>
      <x:c r="L106" s="35"/>
      <x:c r="M106" s="35"/>
      <x:c r="N106" s="21"/>
      <x:c r="O106" s="21"/>
      <x:c r="P106" s="21"/>
      <x:c r="Q106" s="21"/>
      <x:c r="R106" s="21"/>
      <x:c r="S106" s="21"/>
      <x:c r="T106" s="21"/>
      <x:c r="U106" s="21"/>
      <x:c r="V106" s="21"/>
    </x:row>
    <x:row r="107">
      <x:c r="A107" s="21"/>
      <x:c r="B107" s="21"/>
      <x:c r="C107" s="21"/>
      <x:c r="D107" s="21"/>
      <x:c r="E107" s="21"/>
      <x:c r="F107" s="25"/>
      <x:c r="G107" s="21"/>
      <x:c r="H107" s="21"/>
      <x:c r="I107" s="31"/>
      <x:c r="J107" s="31"/>
      <x:c r="K107" s="31"/>
      <x:c r="L107" s="35"/>
      <x:c r="M107" s="35"/>
      <x:c r="N107" s="21"/>
      <x:c r="O107" s="21"/>
      <x:c r="P107" s="21"/>
      <x:c r="Q107" s="21"/>
      <x:c r="R107" s="21"/>
      <x:c r="S107" s="21"/>
      <x:c r="T107" s="21"/>
      <x:c r="U107" s="21"/>
      <x:c r="V107" s="21"/>
    </x:row>
    <x:row r="108">
      <x:c r="A108" s="21"/>
      <x:c r="B108" s="21"/>
      <x:c r="C108" s="21"/>
      <x:c r="D108" s="21"/>
      <x:c r="E108" s="21"/>
      <x:c r="F108" s="25"/>
      <x:c r="G108" s="21"/>
      <x:c r="H108" s="21"/>
      <x:c r="I108" s="31"/>
      <x:c r="J108" s="31"/>
      <x:c r="K108" s="31"/>
      <x:c r="L108" s="35"/>
      <x:c r="M108" s="35"/>
      <x:c r="N108" s="21"/>
      <x:c r="O108" s="21"/>
      <x:c r="P108" s="21"/>
      <x:c r="Q108" s="21"/>
      <x:c r="R108" s="21"/>
      <x:c r="S108" s="21"/>
      <x:c r="T108" s="21"/>
      <x:c r="U108" s="21"/>
      <x:c r="V108" s="21"/>
    </x:row>
    <x:row r="109">
      <x:c r="A109" s="21"/>
      <x:c r="B109" s="21"/>
      <x:c r="C109" s="21"/>
      <x:c r="D109" s="21"/>
      <x:c r="E109" s="21"/>
      <x:c r="F109" s="25"/>
      <x:c r="G109" s="21"/>
      <x:c r="H109" s="21"/>
      <x:c r="I109" s="31"/>
      <x:c r="J109" s="31"/>
      <x:c r="K109" s="31"/>
      <x:c r="L109" s="35"/>
      <x:c r="M109" s="35"/>
      <x:c r="N109" s="21"/>
      <x:c r="O109" s="21"/>
      <x:c r="P109" s="21"/>
      <x:c r="Q109" s="21"/>
      <x:c r="R109" s="21"/>
      <x:c r="S109" s="21"/>
      <x:c r="T109" s="21"/>
      <x:c r="U109" s="21"/>
      <x:c r="V109" s="21"/>
    </x:row>
    <x:row r="110">
      <x:c r="A110" s="21"/>
      <x:c r="B110" s="21"/>
      <x:c r="C110" s="21"/>
      <x:c r="D110" s="21"/>
      <x:c r="E110" s="21"/>
      <x:c r="F110" s="25"/>
      <x:c r="G110" s="21"/>
      <x:c r="H110" s="21"/>
      <x:c r="I110" s="31"/>
      <x:c r="J110" s="31"/>
      <x:c r="K110" s="31"/>
      <x:c r="L110" s="35"/>
      <x:c r="M110" s="35"/>
      <x:c r="N110" s="21"/>
      <x:c r="O110" s="21"/>
      <x:c r="P110" s="21"/>
      <x:c r="Q110" s="21"/>
      <x:c r="R110" s="21"/>
      <x:c r="S110" s="21"/>
      <x:c r="T110" s="21"/>
      <x:c r="U110" s="21"/>
      <x:c r="V110" s="21"/>
    </x:row>
    <x:row r="111">
      <x:c r="A111" s="21"/>
      <x:c r="B111" s="21"/>
      <x:c r="C111" s="21"/>
      <x:c r="D111" s="21"/>
      <x:c r="E111" s="21"/>
      <x:c r="F111" s="25"/>
      <x:c r="G111" s="21"/>
      <x:c r="H111" s="21"/>
      <x:c r="I111" s="31"/>
      <x:c r="J111" s="31"/>
      <x:c r="K111" s="31"/>
      <x:c r="L111" s="35"/>
      <x:c r="M111" s="35"/>
      <x:c r="N111" s="21"/>
      <x:c r="O111" s="21"/>
      <x:c r="P111" s="21"/>
      <x:c r="Q111" s="21"/>
      <x:c r="R111" s="21"/>
      <x:c r="S111" s="21"/>
      <x:c r="T111" s="21"/>
      <x:c r="U111" s="21"/>
      <x:c r="V111" s="21"/>
    </x:row>
    <x:row r="112">
      <x:c r="A112" s="21"/>
      <x:c r="B112" s="21"/>
      <x:c r="C112" s="21"/>
      <x:c r="D112" s="21"/>
      <x:c r="E112" s="21"/>
      <x:c r="F112" s="25"/>
      <x:c r="G112" s="21"/>
      <x:c r="H112" s="21"/>
      <x:c r="I112" s="31"/>
      <x:c r="J112" s="31"/>
      <x:c r="K112" s="31"/>
      <x:c r="L112" s="35"/>
      <x:c r="M112" s="35"/>
      <x:c r="N112" s="21"/>
      <x:c r="O112" s="21"/>
      <x:c r="P112" s="21"/>
      <x:c r="Q112" s="21"/>
      <x:c r="R112" s="21"/>
      <x:c r="S112" s="21"/>
      <x:c r="T112" s="21"/>
      <x:c r="U112" s="21"/>
      <x:c r="V112" s="21"/>
    </x:row>
    <x:row r="113">
      <x:c r="A113" s="21"/>
      <x:c r="B113" s="21"/>
      <x:c r="C113" s="21"/>
      <x:c r="D113" s="21"/>
      <x:c r="E113" s="21"/>
      <x:c r="F113" s="25"/>
      <x:c r="G113" s="21"/>
      <x:c r="H113" s="21"/>
      <x:c r="I113" s="31"/>
      <x:c r="J113" s="31"/>
      <x:c r="K113" s="31"/>
      <x:c r="L113" s="35"/>
      <x:c r="M113" s="35"/>
      <x:c r="N113" s="21"/>
      <x:c r="O113" s="21"/>
      <x:c r="P113" s="21"/>
      <x:c r="Q113" s="21"/>
      <x:c r="R113" s="21"/>
      <x:c r="S113" s="21"/>
      <x:c r="T113" s="21"/>
      <x:c r="U113" s="21"/>
      <x:c r="V113" s="21"/>
    </x:row>
    <x:row r="114">
      <x:c r="A114" s="21"/>
      <x:c r="B114" s="21"/>
      <x:c r="C114" s="21"/>
      <x:c r="D114" s="21"/>
      <x:c r="E114" s="21"/>
      <x:c r="F114" s="25"/>
      <x:c r="G114" s="21"/>
      <x:c r="H114" s="21"/>
      <x:c r="I114" s="31"/>
      <x:c r="J114" s="31"/>
      <x:c r="K114" s="31"/>
      <x:c r="L114" s="35"/>
      <x:c r="M114" s="35"/>
      <x:c r="N114" s="21"/>
      <x:c r="O114" s="21"/>
      <x:c r="P114" s="21"/>
      <x:c r="Q114" s="21"/>
      <x:c r="R114" s="21"/>
      <x:c r="S114" s="21"/>
      <x:c r="T114" s="21"/>
      <x:c r="U114" s="21"/>
      <x:c r="V114" s="21"/>
    </x:row>
    <x:row r="115">
      <x:c r="A115" s="21"/>
      <x:c r="B115" s="21"/>
      <x:c r="C115" s="21"/>
      <x:c r="D115" s="21"/>
      <x:c r="E115" s="21"/>
      <x:c r="F115" s="25"/>
      <x:c r="G115" s="21"/>
      <x:c r="H115" s="21"/>
      <x:c r="I115" s="31"/>
      <x:c r="J115" s="31"/>
      <x:c r="K115" s="31"/>
      <x:c r="L115" s="35"/>
      <x:c r="M115" s="35"/>
      <x:c r="N115" s="21"/>
      <x:c r="O115" s="21"/>
      <x:c r="P115" s="21"/>
      <x:c r="Q115" s="21"/>
      <x:c r="R115" s="21"/>
      <x:c r="S115" s="21"/>
      <x:c r="T115" s="21"/>
      <x:c r="U115" s="21"/>
      <x:c r="V115" s="21"/>
    </x:row>
    <x:row r="116">
      <x:c r="A116" s="21"/>
      <x:c r="B116" s="21"/>
      <x:c r="C116" s="21"/>
      <x:c r="D116" s="21"/>
      <x:c r="E116" s="21"/>
      <x:c r="F116" s="25"/>
      <x:c r="G116" s="21"/>
      <x:c r="H116" s="21"/>
      <x:c r="I116" s="31"/>
      <x:c r="J116" s="31"/>
      <x:c r="K116" s="31"/>
      <x:c r="L116" s="35"/>
      <x:c r="M116" s="35"/>
      <x:c r="N116" s="21"/>
      <x:c r="O116" s="21"/>
      <x:c r="P116" s="21"/>
      <x:c r="Q116" s="21"/>
      <x:c r="R116" s="21"/>
      <x:c r="S116" s="21"/>
      <x:c r="T116" s="21"/>
      <x:c r="U116" s="21"/>
      <x:c r="V116" s="21"/>
    </x:row>
    <x:row r="117">
      <x:c r="A117" s="21"/>
      <x:c r="B117" s="21"/>
      <x:c r="C117" s="21"/>
      <x:c r="D117" s="21"/>
      <x:c r="E117" s="21"/>
      <x:c r="F117" s="25"/>
      <x:c r="G117" s="21"/>
      <x:c r="H117" s="21"/>
      <x:c r="I117" s="31"/>
      <x:c r="J117" s="31"/>
      <x:c r="K117" s="31"/>
      <x:c r="L117" s="35"/>
      <x:c r="M117" s="35"/>
      <x:c r="N117" s="21"/>
      <x:c r="O117" s="21"/>
      <x:c r="P117" s="21"/>
      <x:c r="Q117" s="21"/>
      <x:c r="R117" s="21"/>
      <x:c r="S117" s="21"/>
      <x:c r="T117" s="21"/>
      <x:c r="U117" s="21"/>
      <x:c r="V117" s="21"/>
    </x:row>
    <x:row r="118">
      <x:c r="A118" s="21"/>
      <x:c r="B118" s="21"/>
      <x:c r="C118" s="21"/>
      <x:c r="D118" s="21"/>
      <x:c r="E118" s="21"/>
      <x:c r="F118" s="25"/>
      <x:c r="G118" s="21"/>
      <x:c r="H118" s="21"/>
      <x:c r="I118" s="31"/>
      <x:c r="J118" s="31"/>
      <x:c r="K118" s="31"/>
      <x:c r="L118" s="35"/>
      <x:c r="M118" s="35"/>
      <x:c r="N118" s="21"/>
      <x:c r="O118" s="21"/>
      <x:c r="P118" s="21"/>
      <x:c r="Q118" s="21"/>
      <x:c r="R118" s="21"/>
      <x:c r="S118" s="21"/>
      <x:c r="T118" s="21"/>
      <x:c r="U118" s="21"/>
      <x:c r="V118" s="21"/>
    </x:row>
    <x:row r="119">
      <x:c r="A119" s="21"/>
      <x:c r="B119" s="21"/>
      <x:c r="C119" s="21"/>
      <x:c r="D119" s="21"/>
      <x:c r="E119" s="21"/>
      <x:c r="F119" s="25"/>
      <x:c r="G119" s="21"/>
      <x:c r="H119" s="21"/>
      <x:c r="I119" s="31"/>
      <x:c r="J119" s="31"/>
      <x:c r="K119" s="31"/>
      <x:c r="L119" s="35"/>
      <x:c r="M119" s="35"/>
      <x:c r="N119" s="21"/>
      <x:c r="O119" s="21"/>
      <x:c r="P119" s="21"/>
      <x:c r="Q119" s="21"/>
      <x:c r="R119" s="21"/>
      <x:c r="S119" s="21"/>
      <x:c r="T119" s="21"/>
      <x:c r="U119" s="21"/>
      <x:c r="V119" s="21"/>
    </x:row>
    <x:row r="120">
      <x:c r="A120" s="21"/>
      <x:c r="B120" s="21"/>
      <x:c r="C120" s="21"/>
      <x:c r="D120" s="21"/>
      <x:c r="E120" s="21"/>
      <x:c r="F120" s="25"/>
      <x:c r="G120" s="21"/>
      <x:c r="H120" s="21"/>
      <x:c r="I120" s="31"/>
      <x:c r="J120" s="31"/>
      <x:c r="K120" s="31"/>
      <x:c r="L120" s="35"/>
      <x:c r="M120" s="35"/>
      <x:c r="N120" s="21"/>
      <x:c r="O120" s="21"/>
      <x:c r="P120" s="21"/>
      <x:c r="Q120" s="21"/>
      <x:c r="R120" s="21"/>
      <x:c r="S120" s="21"/>
      <x:c r="T120" s="21"/>
      <x:c r="U120" s="21"/>
      <x:c r="V120" s="21"/>
    </x:row>
    <x:row r="121">
      <x:c r="A121" s="21"/>
      <x:c r="B121" s="21"/>
      <x:c r="C121" s="21"/>
      <x:c r="D121" s="21"/>
      <x:c r="E121" s="21"/>
      <x:c r="F121" s="25"/>
      <x:c r="G121" s="21"/>
      <x:c r="H121" s="21"/>
      <x:c r="I121" s="31"/>
      <x:c r="J121" s="31"/>
      <x:c r="K121" s="31"/>
      <x:c r="L121" s="35"/>
      <x:c r="M121" s="35"/>
      <x:c r="N121" s="21"/>
      <x:c r="O121" s="21"/>
      <x:c r="P121" s="21"/>
      <x:c r="Q121" s="21"/>
      <x:c r="R121" s="21"/>
      <x:c r="S121" s="21"/>
      <x:c r="T121" s="21"/>
      <x:c r="U121" s="21"/>
      <x:c r="V121" s="21"/>
    </x:row>
    <x:row r="122">
      <x:c r="A122" s="21"/>
      <x:c r="B122" s="21"/>
      <x:c r="C122" s="21"/>
      <x:c r="D122" s="21"/>
      <x:c r="E122" s="21"/>
      <x:c r="F122" s="25"/>
      <x:c r="G122" s="21"/>
      <x:c r="H122" s="21"/>
      <x:c r="I122" s="31"/>
      <x:c r="J122" s="31"/>
      <x:c r="K122" s="31"/>
      <x:c r="L122" s="35"/>
      <x:c r="M122" s="35"/>
      <x:c r="N122" s="21"/>
      <x:c r="O122" s="21"/>
      <x:c r="P122" s="21"/>
      <x:c r="Q122" s="21"/>
      <x:c r="R122" s="21"/>
      <x:c r="S122" s="21"/>
      <x:c r="T122" s="21"/>
      <x:c r="U122" s="21"/>
      <x:c r="V122" s="21"/>
    </x:row>
    <x:row r="123">
      <x:c r="A123" s="21"/>
      <x:c r="B123" s="21"/>
      <x:c r="C123" s="21"/>
      <x:c r="D123" s="21"/>
      <x:c r="E123" s="21"/>
      <x:c r="F123" s="25"/>
      <x:c r="G123" s="21"/>
      <x:c r="H123" s="21"/>
      <x:c r="I123" s="31"/>
      <x:c r="J123" s="31"/>
      <x:c r="K123" s="31"/>
      <x:c r="L123" s="35"/>
      <x:c r="M123" s="35"/>
      <x:c r="N123" s="21"/>
      <x:c r="O123" s="21"/>
      <x:c r="P123" s="21"/>
      <x:c r="Q123" s="21"/>
      <x:c r="R123" s="21"/>
      <x:c r="S123" s="21"/>
      <x:c r="T123" s="21"/>
      <x:c r="U123" s="21"/>
      <x:c r="V123" s="21"/>
    </x:row>
    <x:row r="124">
      <x:c r="A124" s="21"/>
      <x:c r="B124" s="21"/>
      <x:c r="C124" s="21"/>
      <x:c r="D124" s="21"/>
      <x:c r="E124" s="21"/>
      <x:c r="F124" s="25"/>
      <x:c r="G124" s="21"/>
      <x:c r="H124" s="21"/>
      <x:c r="I124" s="31"/>
      <x:c r="J124" s="31"/>
      <x:c r="K124" s="31"/>
      <x:c r="L124" s="35"/>
      <x:c r="M124" s="35"/>
      <x:c r="N124" s="21"/>
      <x:c r="O124" s="21"/>
      <x:c r="P124" s="21"/>
      <x:c r="Q124" s="21"/>
      <x:c r="R124" s="21"/>
      <x:c r="S124" s="21"/>
      <x:c r="T124" s="21"/>
      <x:c r="U124" s="21"/>
      <x:c r="V124" s="21"/>
    </x:row>
    <x:row r="125">
      <x:c r="A125" s="21"/>
      <x:c r="B125" s="21"/>
      <x:c r="C125" s="21"/>
      <x:c r="D125" s="21"/>
      <x:c r="E125" s="21"/>
      <x:c r="F125" s="25"/>
      <x:c r="G125" s="21"/>
      <x:c r="H125" s="21"/>
      <x:c r="I125" s="31"/>
      <x:c r="J125" s="31"/>
      <x:c r="K125" s="31"/>
      <x:c r="L125" s="35"/>
      <x:c r="M125" s="35"/>
      <x:c r="N125" s="21"/>
      <x:c r="O125" s="21"/>
      <x:c r="P125" s="21"/>
      <x:c r="Q125" s="21"/>
      <x:c r="R125" s="21"/>
      <x:c r="S125" s="21"/>
      <x:c r="T125" s="21"/>
      <x:c r="U125" s="21"/>
      <x:c r="V125" s="21"/>
    </x:row>
    <x:row r="126">
      <x:c r="A126" s="21"/>
      <x:c r="B126" s="21"/>
      <x:c r="C126" s="21"/>
      <x:c r="D126" s="21"/>
      <x:c r="E126" s="21"/>
      <x:c r="F126" s="25"/>
      <x:c r="G126" s="21"/>
      <x:c r="H126" s="21"/>
      <x:c r="I126" s="31"/>
      <x:c r="J126" s="31"/>
      <x:c r="K126" s="31"/>
      <x:c r="L126" s="35"/>
      <x:c r="M126" s="35"/>
      <x:c r="N126" s="21"/>
      <x:c r="O126" s="21"/>
      <x:c r="P126" s="21"/>
      <x:c r="Q126" s="21"/>
      <x:c r="R126" s="21"/>
      <x:c r="S126" s="21"/>
      <x:c r="T126" s="21"/>
      <x:c r="U126" s="21"/>
      <x:c r="V126" s="21"/>
    </x:row>
    <x:row r="127">
      <x:c r="A127" s="21"/>
      <x:c r="B127" s="21"/>
      <x:c r="C127" s="21"/>
      <x:c r="D127" s="21"/>
      <x:c r="E127" s="21"/>
      <x:c r="F127" s="25"/>
      <x:c r="G127" s="21"/>
      <x:c r="H127" s="21"/>
      <x:c r="I127" s="31"/>
      <x:c r="J127" s="31"/>
      <x:c r="K127" s="31"/>
      <x:c r="L127" s="35"/>
      <x:c r="M127" s="35"/>
      <x:c r="N127" s="21"/>
      <x:c r="O127" s="21"/>
      <x:c r="P127" s="21"/>
      <x:c r="Q127" s="21"/>
      <x:c r="R127" s="21"/>
      <x:c r="S127" s="21"/>
      <x:c r="T127" s="21"/>
      <x:c r="U127" s="21"/>
      <x:c r="V127" s="21"/>
    </x:row>
    <x:row r="128">
      <x:c r="A128" s="21"/>
      <x:c r="B128" s="21"/>
      <x:c r="C128" s="21"/>
      <x:c r="D128" s="21"/>
      <x:c r="E128" s="21"/>
      <x:c r="F128" s="25"/>
      <x:c r="G128" s="21"/>
      <x:c r="H128" s="21"/>
      <x:c r="I128" s="31"/>
      <x:c r="J128" s="31"/>
      <x:c r="K128" s="31"/>
      <x:c r="L128" s="35"/>
      <x:c r="M128" s="35"/>
      <x:c r="N128" s="21"/>
      <x:c r="O128" s="21"/>
      <x:c r="P128" s="21"/>
      <x:c r="Q128" s="21"/>
      <x:c r="R128" s="21"/>
      <x:c r="S128" s="21"/>
      <x:c r="T128" s="21"/>
      <x:c r="U128" s="21"/>
      <x:c r="V128" s="21"/>
    </x:row>
    <x:row r="129">
      <x:c r="A129" s="21"/>
      <x:c r="B129" s="21"/>
      <x:c r="C129" s="21"/>
      <x:c r="D129" s="21"/>
      <x:c r="E129" s="21"/>
      <x:c r="F129" s="25"/>
      <x:c r="G129" s="21"/>
      <x:c r="H129" s="21"/>
      <x:c r="I129" s="31"/>
      <x:c r="J129" s="31"/>
      <x:c r="K129" s="31"/>
      <x:c r="L129" s="35"/>
      <x:c r="M129" s="35"/>
      <x:c r="N129" s="21"/>
      <x:c r="O129" s="21"/>
      <x:c r="P129" s="21"/>
      <x:c r="Q129" s="21"/>
      <x:c r="R129" s="21"/>
      <x:c r="S129" s="21"/>
      <x:c r="T129" s="21"/>
      <x:c r="U129" s="21"/>
      <x:c r="V129" s="21"/>
    </x:row>
    <x:row r="130">
      <x:c r="A130" s="21"/>
      <x:c r="B130" s="21"/>
      <x:c r="C130" s="21"/>
      <x:c r="D130" s="21"/>
      <x:c r="E130" s="21"/>
      <x:c r="F130" s="25"/>
      <x:c r="G130" s="21"/>
      <x:c r="H130" s="21"/>
      <x:c r="I130" s="31"/>
      <x:c r="J130" s="31"/>
      <x:c r="K130" s="31"/>
      <x:c r="L130" s="35"/>
      <x:c r="M130" s="35"/>
      <x:c r="N130" s="21"/>
      <x:c r="O130" s="21"/>
      <x:c r="P130" s="21"/>
      <x:c r="Q130" s="21"/>
      <x:c r="R130" s="21"/>
      <x:c r="S130" s="21"/>
      <x:c r="T130" s="21"/>
      <x:c r="U130" s="21"/>
      <x:c r="V130" s="21"/>
    </x:row>
    <x:row r="131">
      <x:c r="A131" s="21"/>
      <x:c r="B131" s="21"/>
      <x:c r="C131" s="21"/>
      <x:c r="D131" s="21"/>
      <x:c r="E131" s="21"/>
      <x:c r="F131" s="25"/>
      <x:c r="G131" s="21"/>
      <x:c r="H131" s="21"/>
      <x:c r="I131" s="31"/>
      <x:c r="J131" s="31"/>
      <x:c r="K131" s="31"/>
      <x:c r="L131" s="35"/>
      <x:c r="M131" s="35"/>
      <x:c r="N131" s="21"/>
      <x:c r="O131" s="21"/>
      <x:c r="P131" s="21"/>
      <x:c r="Q131" s="21"/>
      <x:c r="R131" s="21"/>
      <x:c r="S131" s="21"/>
      <x:c r="T131" s="21"/>
      <x:c r="U131" s="21"/>
      <x:c r="V131" s="21"/>
    </x:row>
    <x:row r="132">
      <x:c r="A132" s="21"/>
      <x:c r="B132" s="21"/>
      <x:c r="C132" s="21"/>
      <x:c r="D132" s="21"/>
      <x:c r="E132" s="21"/>
      <x:c r="F132" s="25"/>
      <x:c r="G132" s="21"/>
      <x:c r="H132" s="21"/>
      <x:c r="I132" s="31"/>
      <x:c r="J132" s="31"/>
      <x:c r="K132" s="31"/>
      <x:c r="L132" s="35"/>
      <x:c r="M132" s="35"/>
      <x:c r="N132" s="21"/>
      <x:c r="O132" s="21"/>
      <x:c r="P132" s="21"/>
      <x:c r="Q132" s="21"/>
      <x:c r="R132" s="21"/>
      <x:c r="S132" s="21"/>
      <x:c r="T132" s="21"/>
      <x:c r="U132" s="21"/>
      <x:c r="V132" s="21"/>
    </x:row>
    <x:row r="133">
      <x:c r="A133" s="21"/>
      <x:c r="B133" s="21"/>
      <x:c r="C133" s="21"/>
      <x:c r="D133" s="21"/>
      <x:c r="E133" s="21"/>
      <x:c r="F133" s="25"/>
      <x:c r="G133" s="21"/>
      <x:c r="H133" s="21"/>
      <x:c r="I133" s="31"/>
      <x:c r="J133" s="31"/>
      <x:c r="K133" s="31"/>
      <x:c r="L133" s="35"/>
      <x:c r="M133" s="35"/>
      <x:c r="N133" s="21"/>
      <x:c r="O133" s="21"/>
      <x:c r="P133" s="21"/>
      <x:c r="Q133" s="21"/>
      <x:c r="R133" s="21"/>
      <x:c r="S133" s="21"/>
      <x:c r="T133" s="21"/>
      <x:c r="U133" s="21"/>
      <x:c r="V133" s="21"/>
    </x:row>
    <x:row r="134">
      <x:c r="A134" s="21"/>
      <x:c r="B134" s="21"/>
      <x:c r="C134" s="21"/>
      <x:c r="D134" s="21"/>
      <x:c r="E134" s="21"/>
      <x:c r="F134" s="25"/>
      <x:c r="G134" s="21"/>
      <x:c r="H134" s="21"/>
      <x:c r="I134" s="31"/>
      <x:c r="J134" s="31"/>
      <x:c r="K134" s="31"/>
      <x:c r="L134" s="35"/>
      <x:c r="M134" s="35"/>
      <x:c r="N134" s="21"/>
      <x:c r="O134" s="21"/>
      <x:c r="P134" s="21"/>
      <x:c r="Q134" s="21"/>
      <x:c r="R134" s="21"/>
      <x:c r="S134" s="21"/>
      <x:c r="T134" s="21"/>
      <x:c r="U134" s="21"/>
      <x:c r="V134" s="21"/>
    </x:row>
    <x:row r="135">
      <x:c r="A135" s="21"/>
      <x:c r="B135" s="21"/>
      <x:c r="C135" s="21"/>
      <x:c r="D135" s="21"/>
      <x:c r="E135" s="21"/>
      <x:c r="F135" s="25"/>
      <x:c r="G135" s="21"/>
      <x:c r="H135" s="21"/>
      <x:c r="I135" s="31"/>
      <x:c r="J135" s="31"/>
      <x:c r="K135" s="31"/>
      <x:c r="L135" s="35"/>
      <x:c r="M135" s="35"/>
      <x:c r="N135" s="21"/>
      <x:c r="O135" s="21"/>
      <x:c r="P135" s="21"/>
      <x:c r="Q135" s="21"/>
      <x:c r="R135" s="21"/>
      <x:c r="S135" s="21"/>
      <x:c r="T135" s="21"/>
      <x:c r="U135" s="21"/>
      <x:c r="V135" s="21"/>
    </x:row>
    <x:row r="136">
      <x:c r="A136" s="21"/>
      <x:c r="B136" s="21"/>
      <x:c r="C136" s="21"/>
      <x:c r="D136" s="21"/>
      <x:c r="E136" s="21"/>
      <x:c r="F136" s="25"/>
      <x:c r="G136" s="21"/>
      <x:c r="H136" s="21"/>
      <x:c r="I136" s="31"/>
      <x:c r="J136" s="31"/>
      <x:c r="K136" s="31"/>
      <x:c r="L136" s="35"/>
      <x:c r="M136" s="35"/>
      <x:c r="N136" s="21"/>
      <x:c r="O136" s="21"/>
      <x:c r="P136" s="21"/>
      <x:c r="Q136" s="21"/>
      <x:c r="R136" s="21"/>
      <x:c r="S136" s="21"/>
      <x:c r="T136" s="21"/>
      <x:c r="U136" s="21"/>
      <x:c r="V136" s="21"/>
    </x:row>
    <x:row r="137">
      <x:c r="A137" s="21"/>
      <x:c r="B137" s="21"/>
      <x:c r="C137" s="21"/>
      <x:c r="D137" s="21"/>
      <x:c r="E137" s="21"/>
      <x:c r="F137" s="25"/>
      <x:c r="G137" s="21"/>
      <x:c r="H137" s="21"/>
      <x:c r="I137" s="31"/>
      <x:c r="J137" s="31"/>
      <x:c r="K137" s="31"/>
      <x:c r="L137" s="35"/>
      <x:c r="M137" s="35"/>
      <x:c r="N137" s="21"/>
      <x:c r="O137" s="21"/>
      <x:c r="P137" s="21"/>
      <x:c r="Q137" s="21"/>
      <x:c r="R137" s="21"/>
      <x:c r="S137" s="21"/>
      <x:c r="T137" s="21"/>
      <x:c r="U137" s="21"/>
      <x:c r="V137" s="21"/>
    </x:row>
    <x:row r="138">
      <x:c r="A138" s="21"/>
      <x:c r="B138" s="21"/>
      <x:c r="C138" s="21"/>
      <x:c r="D138" s="21"/>
      <x:c r="E138" s="21"/>
      <x:c r="F138" s="25"/>
      <x:c r="G138" s="21"/>
      <x:c r="H138" s="21"/>
      <x:c r="I138" s="31"/>
      <x:c r="J138" s="31"/>
      <x:c r="K138" s="31"/>
      <x:c r="L138" s="35"/>
      <x:c r="M138" s="35"/>
      <x:c r="N138" s="21"/>
      <x:c r="O138" s="21"/>
      <x:c r="P138" s="21"/>
      <x:c r="Q138" s="21"/>
      <x:c r="R138" s="21"/>
      <x:c r="S138" s="21"/>
      <x:c r="T138" s="21"/>
      <x:c r="U138" s="21"/>
      <x:c r="V138" s="21"/>
    </x:row>
    <x:row r="139">
      <x:c r="A139" s="21"/>
      <x:c r="B139" s="21"/>
      <x:c r="C139" s="21"/>
      <x:c r="D139" s="21"/>
      <x:c r="E139" s="21"/>
      <x:c r="F139" s="25"/>
      <x:c r="G139" s="21"/>
      <x:c r="H139" s="21"/>
      <x:c r="I139" s="31"/>
      <x:c r="J139" s="31"/>
      <x:c r="K139" s="31"/>
      <x:c r="L139" s="35"/>
      <x:c r="M139" s="35"/>
      <x:c r="N139" s="21"/>
      <x:c r="O139" s="21"/>
      <x:c r="P139" s="21"/>
      <x:c r="Q139" s="21"/>
      <x:c r="R139" s="21"/>
      <x:c r="S139" s="21"/>
      <x:c r="T139" s="21"/>
      <x:c r="U139" s="21"/>
      <x:c r="V139" s="21"/>
    </x:row>
    <x:row r="140">
      <x:c r="A140" s="21"/>
      <x:c r="B140" s="21"/>
      <x:c r="C140" s="21"/>
      <x:c r="D140" s="21"/>
      <x:c r="E140" s="21"/>
      <x:c r="F140" s="25"/>
      <x:c r="G140" s="21"/>
      <x:c r="H140" s="21"/>
      <x:c r="I140" s="31"/>
      <x:c r="J140" s="31"/>
      <x:c r="K140" s="31"/>
      <x:c r="L140" s="35"/>
      <x:c r="M140" s="35"/>
      <x:c r="N140" s="21"/>
      <x:c r="O140" s="21"/>
      <x:c r="P140" s="21"/>
      <x:c r="Q140" s="21"/>
      <x:c r="R140" s="21"/>
      <x:c r="S140" s="21"/>
      <x:c r="T140" s="21"/>
      <x:c r="U140" s="21"/>
      <x:c r="V140" s="21"/>
    </x:row>
    <x:row r="141">
      <x:c r="A141" s="21"/>
      <x:c r="B141" s="21"/>
      <x:c r="C141" s="21"/>
      <x:c r="D141" s="21"/>
      <x:c r="E141" s="21"/>
      <x:c r="F141" s="25"/>
      <x:c r="G141" s="21"/>
      <x:c r="H141" s="21"/>
      <x:c r="I141" s="31"/>
      <x:c r="J141" s="31"/>
      <x:c r="K141" s="31"/>
      <x:c r="L141" s="35"/>
      <x:c r="M141" s="35"/>
      <x:c r="N141" s="21"/>
      <x:c r="O141" s="21"/>
      <x:c r="P141" s="21"/>
      <x:c r="Q141" s="21"/>
      <x:c r="R141" s="21"/>
      <x:c r="S141" s="21"/>
      <x:c r="T141" s="21"/>
      <x:c r="U141" s="21"/>
      <x:c r="V141" s="21"/>
    </x:row>
    <x:row r="142">
      <x:c r="A142" s="21"/>
      <x:c r="B142" s="21"/>
      <x:c r="C142" s="21"/>
      <x:c r="D142" s="21"/>
      <x:c r="E142" s="21"/>
      <x:c r="F142" s="25"/>
      <x:c r="G142" s="21"/>
      <x:c r="H142" s="21"/>
      <x:c r="I142" s="31"/>
      <x:c r="J142" s="31"/>
      <x:c r="K142" s="31"/>
      <x:c r="L142" s="35"/>
      <x:c r="M142" s="35"/>
      <x:c r="N142" s="21"/>
      <x:c r="O142" s="21"/>
      <x:c r="P142" s="21"/>
      <x:c r="Q142" s="21"/>
      <x:c r="R142" s="21"/>
      <x:c r="S142" s="21"/>
      <x:c r="T142" s="21"/>
      <x:c r="U142" s="21"/>
      <x:c r="V142" s="21"/>
    </x:row>
    <x:row r="143">
      <x:c r="A143" s="21"/>
      <x:c r="B143" s="21"/>
      <x:c r="C143" s="21"/>
      <x:c r="D143" s="21"/>
      <x:c r="E143" s="21"/>
      <x:c r="F143" s="25"/>
      <x:c r="G143" s="21"/>
      <x:c r="H143" s="21"/>
      <x:c r="I143" s="31"/>
      <x:c r="J143" s="31"/>
      <x:c r="K143" s="31"/>
      <x:c r="L143" s="35"/>
      <x:c r="M143" s="35"/>
      <x:c r="N143" s="21"/>
      <x:c r="O143" s="21"/>
      <x:c r="P143" s="21"/>
      <x:c r="Q143" s="21"/>
      <x:c r="R143" s="21"/>
      <x:c r="S143" s="21"/>
      <x:c r="T143" s="21"/>
      <x:c r="U143" s="21"/>
      <x:c r="V143" s="21"/>
    </x:row>
    <x:row r="144">
      <x:c r="A144" s="21"/>
      <x:c r="B144" s="21"/>
      <x:c r="C144" s="21"/>
      <x:c r="D144" s="21"/>
      <x:c r="E144" s="21"/>
      <x:c r="F144" s="25"/>
      <x:c r="G144" s="21"/>
      <x:c r="H144" s="21"/>
      <x:c r="I144" s="31"/>
      <x:c r="J144" s="31"/>
      <x:c r="K144" s="31"/>
      <x:c r="L144" s="35"/>
      <x:c r="M144" s="35"/>
      <x:c r="N144" s="21"/>
      <x:c r="O144" s="21"/>
      <x:c r="P144" s="21"/>
      <x:c r="Q144" s="21"/>
      <x:c r="R144" s="21"/>
      <x:c r="S144" s="21"/>
      <x:c r="T144" s="21"/>
      <x:c r="U144" s="21"/>
      <x:c r="V144" s="21"/>
    </x:row>
    <x:row r="145">
      <x:c r="A145" s="21"/>
      <x:c r="B145" s="21"/>
      <x:c r="C145" s="21"/>
      <x:c r="D145" s="21"/>
      <x:c r="E145" s="21"/>
      <x:c r="F145" s="25"/>
      <x:c r="G145" s="21"/>
      <x:c r="H145" s="21"/>
      <x:c r="I145" s="31"/>
      <x:c r="J145" s="31"/>
      <x:c r="K145" s="31"/>
      <x:c r="L145" s="35"/>
      <x:c r="M145" s="35"/>
      <x:c r="N145" s="21"/>
      <x:c r="O145" s="21"/>
      <x:c r="P145" s="21"/>
      <x:c r="Q145" s="21"/>
      <x:c r="R145" s="21"/>
      <x:c r="S145" s="21"/>
      <x:c r="T145" s="21"/>
      <x:c r="U145" s="21"/>
      <x:c r="V145" s="21"/>
    </x:row>
    <x:row r="146">
      <x:c r="A146" s="21"/>
      <x:c r="B146" s="21"/>
      <x:c r="C146" s="21"/>
      <x:c r="D146" s="21"/>
      <x:c r="E146" s="21"/>
      <x:c r="F146" s="25"/>
      <x:c r="G146" s="21"/>
      <x:c r="H146" s="21"/>
      <x:c r="I146" s="31"/>
      <x:c r="J146" s="31"/>
      <x:c r="K146" s="31"/>
      <x:c r="L146" s="35"/>
      <x:c r="M146" s="35"/>
      <x:c r="N146" s="21"/>
      <x:c r="O146" s="21"/>
      <x:c r="P146" s="21"/>
      <x:c r="Q146" s="21"/>
      <x:c r="R146" s="21"/>
      <x:c r="S146" s="21"/>
      <x:c r="T146" s="21"/>
      <x:c r="U146" s="21"/>
      <x:c r="V146" s="21"/>
    </x:row>
    <x:row r="147">
      <x:c r="A147" s="21"/>
      <x:c r="B147" s="21"/>
      <x:c r="C147" s="21"/>
      <x:c r="D147" s="21"/>
      <x:c r="E147" s="21"/>
      <x:c r="F147" s="25"/>
      <x:c r="G147" s="21"/>
      <x:c r="H147" s="21"/>
      <x:c r="I147" s="31"/>
      <x:c r="J147" s="31"/>
      <x:c r="K147" s="31"/>
      <x:c r="L147" s="35"/>
      <x:c r="M147" s="35"/>
      <x:c r="N147" s="21"/>
      <x:c r="O147" s="21"/>
      <x:c r="P147" s="21"/>
      <x:c r="Q147" s="21"/>
      <x:c r="R147" s="21"/>
      <x:c r="S147" s="21"/>
      <x:c r="T147" s="21"/>
      <x:c r="U147" s="21"/>
      <x:c r="V147" s="21"/>
    </x:row>
    <x:row r="148">
      <x:c r="A148" s="21"/>
      <x:c r="B148" s="21"/>
      <x:c r="C148" s="21"/>
      <x:c r="D148" s="21"/>
      <x:c r="E148" s="21"/>
      <x:c r="F148" s="25"/>
      <x:c r="G148" s="21"/>
      <x:c r="H148" s="21"/>
      <x:c r="I148" s="31"/>
      <x:c r="J148" s="31"/>
      <x:c r="K148" s="31"/>
      <x:c r="L148" s="35"/>
      <x:c r="M148" s="35"/>
      <x:c r="N148" s="21"/>
      <x:c r="O148" s="21"/>
      <x:c r="P148" s="21"/>
      <x:c r="Q148" s="21"/>
      <x:c r="R148" s="21"/>
      <x:c r="S148" s="21"/>
      <x:c r="T148" s="21"/>
      <x:c r="U148" s="21"/>
      <x:c r="V148" s="21"/>
    </x:row>
    <x:row r="149">
      <x:c r="A149" s="21"/>
      <x:c r="B149" s="21"/>
      <x:c r="C149" s="21"/>
      <x:c r="D149" s="21"/>
      <x:c r="E149" s="21"/>
      <x:c r="F149" s="25"/>
      <x:c r="G149" s="21"/>
      <x:c r="H149" s="21"/>
      <x:c r="I149" s="31"/>
      <x:c r="J149" s="31"/>
      <x:c r="K149" s="31"/>
      <x:c r="L149" s="35"/>
      <x:c r="M149" s="35"/>
      <x:c r="N149" s="21"/>
      <x:c r="O149" s="21"/>
      <x:c r="P149" s="21"/>
      <x:c r="Q149" s="21"/>
      <x:c r="R149" s="21"/>
      <x:c r="S149" s="21"/>
      <x:c r="T149" s="21"/>
      <x:c r="U149" s="21"/>
      <x:c r="V149" s="21"/>
    </x:row>
    <x:row r="150">
      <x:c r="A150" s="21"/>
      <x:c r="B150" s="21"/>
      <x:c r="C150" s="21"/>
      <x:c r="D150" s="21"/>
      <x:c r="E150" s="21"/>
      <x:c r="F150" s="25"/>
      <x:c r="G150" s="21"/>
      <x:c r="H150" s="21"/>
      <x:c r="I150" s="31"/>
      <x:c r="J150" s="31"/>
      <x:c r="K150" s="31"/>
      <x:c r="L150" s="35"/>
      <x:c r="M150" s="35"/>
      <x:c r="N150" s="21"/>
      <x:c r="O150" s="21"/>
      <x:c r="P150" s="21"/>
      <x:c r="Q150" s="21"/>
      <x:c r="R150" s="21"/>
      <x:c r="S150" s="21"/>
      <x:c r="T150" s="21"/>
      <x:c r="U150" s="21"/>
      <x:c r="V150" s="21"/>
    </x:row>
    <x:row r="151">
      <x:c r="A151" s="21"/>
      <x:c r="B151" s="21"/>
      <x:c r="C151" s="21"/>
      <x:c r="D151" s="21"/>
      <x:c r="E151" s="21"/>
      <x:c r="F151" s="25"/>
      <x:c r="G151" s="21"/>
      <x:c r="H151" s="21"/>
      <x:c r="I151" s="31"/>
      <x:c r="J151" s="31"/>
      <x:c r="K151" s="31"/>
      <x:c r="L151" s="35"/>
      <x:c r="M151" s="35"/>
      <x:c r="N151" s="21"/>
      <x:c r="O151" s="21"/>
      <x:c r="P151" s="21"/>
      <x:c r="Q151" s="21"/>
      <x:c r="R151" s="21"/>
      <x:c r="S151" s="21"/>
      <x:c r="T151" s="21"/>
      <x:c r="U151" s="21"/>
      <x:c r="V151" s="21"/>
    </x:row>
    <x:row r="152">
      <x:c r="A152" s="21"/>
      <x:c r="B152" s="21"/>
      <x:c r="C152" s="21"/>
      <x:c r="D152" s="21"/>
      <x:c r="E152" s="21"/>
      <x:c r="F152" s="25"/>
      <x:c r="G152" s="21"/>
      <x:c r="H152" s="21"/>
      <x:c r="I152" s="31"/>
      <x:c r="J152" s="31"/>
      <x:c r="K152" s="31"/>
      <x:c r="L152" s="35"/>
      <x:c r="M152" s="35"/>
      <x:c r="N152" s="21"/>
      <x:c r="O152" s="21"/>
      <x:c r="P152" s="21"/>
      <x:c r="Q152" s="21"/>
      <x:c r="R152" s="21"/>
      <x:c r="S152" s="21"/>
      <x:c r="T152" s="21"/>
      <x:c r="U152" s="21"/>
      <x:c r="V152" s="21"/>
    </x:row>
    <x:row r="153">
      <x:c r="A153" s="21"/>
      <x:c r="B153" s="21"/>
      <x:c r="C153" s="21"/>
      <x:c r="D153" s="21"/>
      <x:c r="E153" s="21"/>
      <x:c r="F153" s="25"/>
      <x:c r="G153" s="21"/>
      <x:c r="H153" s="21"/>
      <x:c r="I153" s="31"/>
      <x:c r="J153" s="31"/>
      <x:c r="K153" s="31"/>
      <x:c r="L153" s="35"/>
      <x:c r="M153" s="35"/>
      <x:c r="N153" s="21"/>
      <x:c r="O153" s="21"/>
      <x:c r="P153" s="21"/>
      <x:c r="Q153" s="21"/>
      <x:c r="R153" s="21"/>
      <x:c r="S153" s="21"/>
      <x:c r="T153" s="21"/>
      <x:c r="U153" s="21"/>
      <x:c r="V153" s="21"/>
    </x:row>
    <x:row r="154">
      <x:c r="A154" s="21"/>
      <x:c r="B154" s="21"/>
      <x:c r="C154" s="21"/>
      <x:c r="D154" s="21"/>
      <x:c r="E154" s="21"/>
      <x:c r="F154" s="25"/>
      <x:c r="G154" s="21"/>
      <x:c r="H154" s="21"/>
      <x:c r="I154" s="31"/>
      <x:c r="J154" s="31"/>
      <x:c r="K154" s="31"/>
      <x:c r="L154" s="35"/>
      <x:c r="M154" s="35"/>
      <x:c r="N154" s="21"/>
      <x:c r="O154" s="21"/>
      <x:c r="P154" s="21"/>
      <x:c r="Q154" s="21"/>
      <x:c r="R154" s="21"/>
      <x:c r="S154" s="21"/>
      <x:c r="T154" s="21"/>
      <x:c r="U154" s="21"/>
      <x:c r="V154" s="21"/>
    </x:row>
    <x:row r="155">
      <x:c r="A155" s="21"/>
      <x:c r="B155" s="21"/>
      <x:c r="C155" s="21"/>
      <x:c r="D155" s="21"/>
      <x:c r="E155" s="21"/>
      <x:c r="F155" s="25"/>
      <x:c r="G155" s="21"/>
      <x:c r="H155" s="21"/>
      <x:c r="I155" s="31"/>
      <x:c r="J155" s="31"/>
      <x:c r="K155" s="31"/>
      <x:c r="L155" s="35"/>
      <x:c r="M155" s="35"/>
      <x:c r="N155" s="21"/>
      <x:c r="O155" s="21"/>
      <x:c r="P155" s="21"/>
      <x:c r="Q155" s="21"/>
      <x:c r="R155" s="21"/>
      <x:c r="S155" s="21"/>
      <x:c r="T155" s="21"/>
      <x:c r="U155" s="21"/>
      <x:c r="V155" s="21"/>
    </x:row>
    <x:row r="156">
      <x:c r="A156" s="21"/>
      <x:c r="B156" s="21"/>
      <x:c r="C156" s="21"/>
      <x:c r="D156" s="21"/>
      <x:c r="E156" s="21"/>
      <x:c r="F156" s="25"/>
      <x:c r="G156" s="21"/>
      <x:c r="H156" s="21"/>
      <x:c r="I156" s="31"/>
      <x:c r="J156" s="31"/>
      <x:c r="K156" s="31"/>
      <x:c r="L156" s="35"/>
      <x:c r="M156" s="35"/>
      <x:c r="N156" s="21"/>
      <x:c r="O156" s="21"/>
      <x:c r="P156" s="21"/>
      <x:c r="Q156" s="21"/>
      <x:c r="R156" s="21"/>
      <x:c r="S156" s="21"/>
      <x:c r="T156" s="21"/>
      <x:c r="U156" s="21"/>
      <x:c r="V156" s="21"/>
    </x:row>
    <x:row r="157">
      <x:c r="A157" s="21"/>
      <x:c r="B157" s="21"/>
      <x:c r="C157" s="21"/>
      <x:c r="D157" s="21"/>
      <x:c r="E157" s="21"/>
      <x:c r="F157" s="25"/>
      <x:c r="G157" s="21"/>
      <x:c r="H157" s="21"/>
      <x:c r="I157" s="31"/>
      <x:c r="J157" s="31"/>
      <x:c r="K157" s="31"/>
      <x:c r="L157" s="35"/>
      <x:c r="M157" s="35"/>
      <x:c r="N157" s="21"/>
      <x:c r="O157" s="21"/>
      <x:c r="P157" s="21"/>
      <x:c r="Q157" s="21"/>
      <x:c r="R157" s="21"/>
      <x:c r="S157" s="21"/>
      <x:c r="T157" s="21"/>
      <x:c r="U157" s="21"/>
      <x:c r="V157" s="21"/>
    </x:row>
    <x:row r="158">
      <x:c r="A158" s="21"/>
      <x:c r="B158" s="21"/>
      <x:c r="C158" s="21"/>
      <x:c r="D158" s="21"/>
      <x:c r="E158" s="21"/>
      <x:c r="F158" s="25"/>
      <x:c r="G158" s="21"/>
      <x:c r="H158" s="21"/>
      <x:c r="I158" s="31"/>
      <x:c r="J158" s="31"/>
      <x:c r="K158" s="31"/>
      <x:c r="L158" s="35"/>
      <x:c r="M158" s="35"/>
      <x:c r="N158" s="21"/>
      <x:c r="O158" s="21"/>
      <x:c r="P158" s="21"/>
      <x:c r="Q158" s="21"/>
      <x:c r="R158" s="21"/>
      <x:c r="S158" s="21"/>
      <x:c r="T158" s="21"/>
      <x:c r="U158" s="21"/>
      <x:c r="V158" s="21"/>
    </x:row>
    <x:row r="159">
      <x:c r="A159" s="21"/>
      <x:c r="B159" s="21"/>
      <x:c r="C159" s="21"/>
      <x:c r="D159" s="21"/>
      <x:c r="E159" s="21"/>
      <x:c r="F159" s="25"/>
      <x:c r="G159" s="21"/>
      <x:c r="H159" s="21"/>
      <x:c r="I159" s="31"/>
      <x:c r="J159" s="31"/>
      <x:c r="K159" s="31"/>
      <x:c r="L159" s="35"/>
      <x:c r="M159" s="35"/>
      <x:c r="N159" s="21"/>
      <x:c r="O159" s="21"/>
      <x:c r="P159" s="21"/>
      <x:c r="Q159" s="21"/>
      <x:c r="R159" s="21"/>
      <x:c r="S159" s="21"/>
      <x:c r="T159" s="21"/>
      <x:c r="U159" s="21"/>
      <x:c r="V159" s="21"/>
    </x:row>
    <x:row r="160">
      <x:c r="A160" s="21"/>
      <x:c r="B160" s="21"/>
      <x:c r="C160" s="21"/>
      <x:c r="D160" s="21"/>
      <x:c r="E160" s="21"/>
      <x:c r="F160" s="25"/>
      <x:c r="G160" s="21"/>
      <x:c r="H160" s="21"/>
      <x:c r="I160" s="31"/>
      <x:c r="J160" s="31"/>
      <x:c r="K160" s="31"/>
      <x:c r="L160" s="35"/>
      <x:c r="M160" s="35"/>
      <x:c r="N160" s="21"/>
      <x:c r="O160" s="21"/>
      <x:c r="P160" s="21"/>
      <x:c r="Q160" s="21"/>
      <x:c r="R160" s="21"/>
      <x:c r="S160" s="21"/>
      <x:c r="T160" s="21"/>
      <x:c r="U160" s="21"/>
      <x:c r="V160" s="21"/>
    </x:row>
    <x:row r="161">
      <x:c r="A161" s="21"/>
      <x:c r="B161" s="21"/>
      <x:c r="C161" s="21"/>
      <x:c r="D161" s="21"/>
      <x:c r="E161" s="21"/>
      <x:c r="F161" s="25"/>
      <x:c r="G161" s="21"/>
      <x:c r="H161" s="21"/>
      <x:c r="I161" s="31"/>
      <x:c r="J161" s="31"/>
      <x:c r="K161" s="31"/>
      <x:c r="L161" s="35"/>
      <x:c r="M161" s="35"/>
      <x:c r="N161" s="21"/>
      <x:c r="O161" s="21"/>
      <x:c r="P161" s="21"/>
      <x:c r="Q161" s="21"/>
      <x:c r="R161" s="21"/>
      <x:c r="S161" s="21"/>
      <x:c r="T161" s="21"/>
      <x:c r="U161" s="21"/>
      <x:c r="V161" s="21"/>
    </x:row>
    <x:row r="162">
      <x:c r="A162" s="21"/>
      <x:c r="B162" s="21"/>
      <x:c r="C162" s="21"/>
      <x:c r="D162" s="21"/>
      <x:c r="E162" s="21"/>
      <x:c r="F162" s="25"/>
      <x:c r="G162" s="21"/>
      <x:c r="H162" s="21"/>
      <x:c r="I162" s="31"/>
      <x:c r="J162" s="31"/>
      <x:c r="K162" s="31"/>
      <x:c r="L162" s="35"/>
      <x:c r="M162" s="35"/>
      <x:c r="N162" s="21"/>
      <x:c r="O162" s="21"/>
      <x:c r="P162" s="21"/>
      <x:c r="Q162" s="21"/>
      <x:c r="R162" s="21"/>
      <x:c r="S162" s="21"/>
      <x:c r="T162" s="21"/>
      <x:c r="U162" s="21"/>
      <x:c r="V162" s="21"/>
    </x:row>
    <x:row r="163">
      <x:c r="A163" s="21"/>
      <x:c r="B163" s="21"/>
      <x:c r="C163" s="21"/>
      <x:c r="D163" s="21"/>
      <x:c r="E163" s="21"/>
      <x:c r="F163" s="25"/>
      <x:c r="G163" s="21"/>
      <x:c r="H163" s="21"/>
      <x:c r="I163" s="31"/>
      <x:c r="J163" s="31"/>
      <x:c r="K163" s="31"/>
      <x:c r="L163" s="35"/>
      <x:c r="M163" s="35"/>
      <x:c r="N163" s="21"/>
      <x:c r="O163" s="21"/>
      <x:c r="P163" s="21"/>
      <x:c r="Q163" s="21"/>
      <x:c r="R163" s="21"/>
      <x:c r="S163" s="21"/>
      <x:c r="T163" s="21"/>
      <x:c r="U163" s="21"/>
      <x:c r="V163" s="21"/>
    </x:row>
    <x:row r="164">
      <x:c r="A164" s="21"/>
      <x:c r="B164" s="21"/>
      <x:c r="C164" s="21"/>
      <x:c r="D164" s="21"/>
      <x:c r="E164" s="21"/>
      <x:c r="F164" s="25"/>
      <x:c r="G164" s="21"/>
      <x:c r="H164" s="21"/>
      <x:c r="I164" s="31"/>
      <x:c r="J164" s="31"/>
      <x:c r="K164" s="31"/>
      <x:c r="L164" s="35"/>
      <x:c r="M164" s="35"/>
      <x:c r="N164" s="21"/>
      <x:c r="O164" s="21"/>
      <x:c r="P164" s="21"/>
      <x:c r="Q164" s="21"/>
      <x:c r="R164" s="21"/>
      <x:c r="S164" s="21"/>
      <x:c r="T164" s="21"/>
      <x:c r="U164" s="21"/>
      <x:c r="V164" s="21"/>
    </x:row>
    <x:row r="165">
      <x:c r="A165" s="21"/>
      <x:c r="B165" s="21"/>
      <x:c r="C165" s="21"/>
      <x:c r="D165" s="21"/>
      <x:c r="E165" s="21"/>
      <x:c r="F165" s="25"/>
      <x:c r="G165" s="21"/>
      <x:c r="H165" s="21"/>
      <x:c r="I165" s="31"/>
      <x:c r="J165" s="31"/>
      <x:c r="K165" s="31"/>
      <x:c r="L165" s="35"/>
      <x:c r="M165" s="35"/>
      <x:c r="N165" s="21"/>
      <x:c r="O165" s="21"/>
      <x:c r="P165" s="21"/>
      <x:c r="Q165" s="21"/>
      <x:c r="R165" s="21"/>
      <x:c r="S165" s="21"/>
      <x:c r="T165" s="21"/>
      <x:c r="U165" s="21"/>
      <x:c r="V165" s="21"/>
    </x:row>
    <x:row r="166">
      <x:c r="A166" s="21"/>
      <x:c r="B166" s="21"/>
      <x:c r="C166" s="21"/>
      <x:c r="D166" s="21"/>
      <x:c r="E166" s="21"/>
      <x:c r="F166" s="25"/>
      <x:c r="G166" s="21"/>
      <x:c r="H166" s="21"/>
      <x:c r="I166" s="31"/>
      <x:c r="J166" s="31"/>
      <x:c r="K166" s="31"/>
      <x:c r="L166" s="35"/>
      <x:c r="M166" s="35"/>
      <x:c r="N166" s="21"/>
      <x:c r="O166" s="21"/>
      <x:c r="P166" s="21"/>
      <x:c r="Q166" s="21"/>
      <x:c r="R166" s="21"/>
      <x:c r="S166" s="21"/>
      <x:c r="T166" s="21"/>
      <x:c r="U166" s="21"/>
      <x:c r="V166" s="21"/>
    </x:row>
    <x:row r="167">
      <x:c r="A167" s="21"/>
      <x:c r="B167" s="21"/>
      <x:c r="C167" s="21"/>
      <x:c r="D167" s="21"/>
      <x:c r="E167" s="21"/>
      <x:c r="F167" s="25"/>
      <x:c r="G167" s="21"/>
      <x:c r="H167" s="21"/>
      <x:c r="I167" s="31"/>
      <x:c r="J167" s="31"/>
      <x:c r="K167" s="31"/>
      <x:c r="L167" s="35"/>
      <x:c r="M167" s="35"/>
      <x:c r="N167" s="21"/>
      <x:c r="O167" s="21"/>
      <x:c r="P167" s="21"/>
      <x:c r="Q167" s="21"/>
      <x:c r="R167" s="21"/>
      <x:c r="S167" s="21"/>
      <x:c r="T167" s="21"/>
      <x:c r="U167" s="21"/>
      <x:c r="V167" s="21"/>
    </x:row>
    <x:row r="168">
      <x:c r="A168" s="21"/>
      <x:c r="B168" s="21"/>
      <x:c r="C168" s="21"/>
      <x:c r="D168" s="21"/>
      <x:c r="E168" s="21"/>
      <x:c r="F168" s="25"/>
      <x:c r="G168" s="21"/>
      <x:c r="H168" s="21"/>
      <x:c r="I168" s="31"/>
      <x:c r="J168" s="31"/>
      <x:c r="K168" s="31"/>
      <x:c r="L168" s="35"/>
      <x:c r="M168" s="35"/>
      <x:c r="N168" s="21"/>
      <x:c r="O168" s="21"/>
      <x:c r="P168" s="21"/>
      <x:c r="Q168" s="21"/>
      <x:c r="R168" s="21"/>
      <x:c r="S168" s="21"/>
      <x:c r="T168" s="21"/>
      <x:c r="U168" s="21"/>
      <x:c r="V168" s="21"/>
    </x:row>
    <x:row r="169">
      <x:c r="A169" s="21"/>
      <x:c r="B169" s="21"/>
      <x:c r="C169" s="21"/>
      <x:c r="D169" s="21"/>
      <x:c r="E169" s="21"/>
      <x:c r="F169" s="25"/>
      <x:c r="G169" s="21"/>
      <x:c r="H169" s="21"/>
      <x:c r="I169" s="31"/>
      <x:c r="J169" s="31"/>
      <x:c r="K169" s="31"/>
      <x:c r="L169" s="35"/>
      <x:c r="M169" s="35"/>
      <x:c r="N169" s="21"/>
      <x:c r="O169" s="21"/>
      <x:c r="P169" s="21"/>
      <x:c r="Q169" s="21"/>
      <x:c r="R169" s="21"/>
      <x:c r="S169" s="21"/>
      <x:c r="T169" s="21"/>
      <x:c r="U169" s="21"/>
      <x:c r="V169" s="21"/>
    </x:row>
    <x:row r="170">
      <x:c r="A170" s="21"/>
      <x:c r="B170" s="21"/>
      <x:c r="C170" s="21"/>
      <x:c r="D170" s="21"/>
      <x:c r="E170" s="21"/>
      <x:c r="F170" s="25"/>
      <x:c r="G170" s="21"/>
      <x:c r="H170" s="21"/>
      <x:c r="I170" s="31"/>
      <x:c r="J170" s="31"/>
      <x:c r="K170" s="31"/>
      <x:c r="L170" s="35"/>
      <x:c r="M170" s="35"/>
      <x:c r="N170" s="21"/>
      <x:c r="O170" s="21"/>
      <x:c r="P170" s="21"/>
      <x:c r="Q170" s="21"/>
      <x:c r="R170" s="21"/>
      <x:c r="S170" s="21"/>
      <x:c r="T170" s="21"/>
      <x:c r="U170" s="21"/>
      <x:c r="V170" s="21"/>
    </x:row>
    <x:row r="171">
      <x:c r="A171" s="21"/>
      <x:c r="B171" s="21"/>
      <x:c r="C171" s="21"/>
      <x:c r="D171" s="21"/>
      <x:c r="E171" s="21"/>
      <x:c r="F171" s="25"/>
      <x:c r="G171" s="21"/>
      <x:c r="H171" s="21"/>
      <x:c r="I171" s="31"/>
      <x:c r="J171" s="31"/>
      <x:c r="K171" s="31"/>
      <x:c r="L171" s="35"/>
      <x:c r="M171" s="35"/>
      <x:c r="N171" s="21"/>
      <x:c r="O171" s="21"/>
      <x:c r="P171" s="21"/>
      <x:c r="Q171" s="21"/>
      <x:c r="R171" s="21"/>
      <x:c r="S171" s="21"/>
      <x:c r="T171" s="21"/>
      <x:c r="U171" s="21"/>
      <x:c r="V171" s="21"/>
    </x:row>
    <x:row r="172">
      <x:c r="A172" s="21"/>
      <x:c r="B172" s="21"/>
      <x:c r="C172" s="21"/>
      <x:c r="D172" s="21"/>
      <x:c r="E172" s="21"/>
      <x:c r="F172" s="25"/>
      <x:c r="G172" s="21"/>
      <x:c r="H172" s="21"/>
      <x:c r="I172" s="31"/>
      <x:c r="J172" s="31"/>
      <x:c r="K172" s="31"/>
      <x:c r="L172" s="35"/>
      <x:c r="M172" s="35"/>
      <x:c r="N172" s="21"/>
      <x:c r="O172" s="21"/>
      <x:c r="P172" s="21"/>
      <x:c r="Q172" s="21"/>
      <x:c r="R172" s="21"/>
      <x:c r="S172" s="21"/>
      <x:c r="T172" s="21"/>
      <x:c r="U172" s="21"/>
      <x:c r="V172" s="21"/>
    </x:row>
    <x:row r="173">
      <x:c r="A173" s="21"/>
      <x:c r="B173" s="21"/>
      <x:c r="C173" s="21"/>
      <x:c r="D173" s="21"/>
      <x:c r="E173" s="21"/>
      <x:c r="F173" s="25"/>
      <x:c r="G173" s="21"/>
      <x:c r="H173" s="21"/>
      <x:c r="I173" s="31"/>
      <x:c r="J173" s="31"/>
      <x:c r="K173" s="31"/>
      <x:c r="L173" s="35"/>
      <x:c r="M173" s="35"/>
      <x:c r="N173" s="21"/>
      <x:c r="O173" s="21"/>
      <x:c r="P173" s="21"/>
      <x:c r="Q173" s="21"/>
      <x:c r="R173" s="21"/>
      <x:c r="S173" s="21"/>
      <x:c r="T173" s="21"/>
      <x:c r="U173" s="21"/>
      <x:c r="V173" s="21"/>
    </x:row>
    <x:row r="174">
      <x:c r="A174" s="21"/>
      <x:c r="B174" s="21"/>
      <x:c r="C174" s="21"/>
      <x:c r="D174" s="21"/>
      <x:c r="E174" s="21"/>
      <x:c r="F174" s="25"/>
      <x:c r="G174" s="21"/>
      <x:c r="H174" s="21"/>
      <x:c r="I174" s="31"/>
      <x:c r="J174" s="31"/>
      <x:c r="K174" s="31"/>
      <x:c r="L174" s="35"/>
      <x:c r="M174" s="35"/>
      <x:c r="N174" s="21"/>
      <x:c r="O174" s="21"/>
      <x:c r="P174" s="21"/>
      <x:c r="Q174" s="21"/>
      <x:c r="R174" s="21"/>
      <x:c r="S174" s="21"/>
      <x:c r="T174" s="21"/>
      <x:c r="U174" s="21"/>
      <x:c r="V174" s="21"/>
    </x:row>
    <x:row r="175">
      <x:c r="A175" s="21"/>
      <x:c r="B175" s="21"/>
      <x:c r="C175" s="21"/>
      <x:c r="D175" s="21"/>
      <x:c r="E175" s="21"/>
      <x:c r="F175" s="25"/>
      <x:c r="G175" s="21"/>
      <x:c r="H175" s="21"/>
      <x:c r="I175" s="31"/>
      <x:c r="J175" s="31"/>
      <x:c r="K175" s="31"/>
      <x:c r="L175" s="35"/>
      <x:c r="M175" s="35"/>
      <x:c r="N175" s="21"/>
      <x:c r="O175" s="21"/>
      <x:c r="P175" s="21"/>
      <x:c r="Q175" s="21"/>
      <x:c r="R175" s="21"/>
      <x:c r="S175" s="21"/>
      <x:c r="T175" s="21"/>
      <x:c r="U175" s="21"/>
      <x:c r="V175" s="21"/>
    </x:row>
    <x:row r="176">
      <x:c r="A176" s="21"/>
      <x:c r="B176" s="21"/>
      <x:c r="C176" s="21"/>
      <x:c r="D176" s="21"/>
      <x:c r="E176" s="21"/>
      <x:c r="F176" s="25"/>
      <x:c r="G176" s="21"/>
      <x:c r="H176" s="21"/>
      <x:c r="I176" s="31"/>
      <x:c r="J176" s="31"/>
      <x:c r="K176" s="31"/>
      <x:c r="L176" s="35"/>
      <x:c r="M176" s="35"/>
      <x:c r="N176" s="21"/>
      <x:c r="O176" s="21"/>
      <x:c r="P176" s="21"/>
      <x:c r="Q176" s="21"/>
      <x:c r="R176" s="21"/>
      <x:c r="S176" s="21"/>
      <x:c r="T176" s="21"/>
      <x:c r="U176" s="21"/>
      <x:c r="V176" s="21"/>
    </x:row>
    <x:row r="177">
      <x:c r="A177" s="21"/>
      <x:c r="B177" s="21"/>
      <x:c r="C177" s="21"/>
      <x:c r="D177" s="21"/>
      <x:c r="E177" s="21"/>
      <x:c r="F177" s="25"/>
      <x:c r="G177" s="21"/>
      <x:c r="H177" s="21"/>
      <x:c r="I177" s="31"/>
      <x:c r="J177" s="31"/>
      <x:c r="K177" s="31"/>
      <x:c r="L177" s="35"/>
      <x:c r="M177" s="35"/>
      <x:c r="N177" s="21"/>
      <x:c r="O177" s="21"/>
      <x:c r="P177" s="21"/>
      <x:c r="Q177" s="21"/>
      <x:c r="R177" s="21"/>
      <x:c r="S177" s="21"/>
      <x:c r="T177" s="21"/>
      <x:c r="U177" s="21"/>
      <x:c r="V177" s="21"/>
    </x:row>
    <x:row r="178">
      <x:c r="A178" s="21"/>
      <x:c r="B178" s="21"/>
      <x:c r="C178" s="21"/>
      <x:c r="D178" s="21"/>
      <x:c r="E178" s="21"/>
      <x:c r="F178" s="25"/>
      <x:c r="G178" s="21"/>
      <x:c r="H178" s="21"/>
      <x:c r="I178" s="31"/>
      <x:c r="J178" s="31"/>
      <x:c r="K178" s="31"/>
      <x:c r="L178" s="35"/>
      <x:c r="M178" s="35"/>
      <x:c r="N178" s="21"/>
      <x:c r="O178" s="21"/>
      <x:c r="P178" s="21"/>
      <x:c r="Q178" s="21"/>
      <x:c r="R178" s="21"/>
      <x:c r="S178" s="21"/>
      <x:c r="T178" s="21"/>
      <x:c r="U178" s="21"/>
      <x:c r="V178" s="21"/>
    </x:row>
    <x:row r="179">
      <x:c r="A179" s="21"/>
      <x:c r="B179" s="21"/>
      <x:c r="C179" s="21"/>
      <x:c r="D179" s="21"/>
      <x:c r="E179" s="21"/>
      <x:c r="F179" s="25"/>
      <x:c r="G179" s="21"/>
      <x:c r="H179" s="21"/>
      <x:c r="I179" s="31"/>
      <x:c r="J179" s="31"/>
      <x:c r="K179" s="31"/>
      <x:c r="L179" s="35"/>
      <x:c r="M179" s="35"/>
      <x:c r="N179" s="21"/>
      <x:c r="O179" s="21"/>
      <x:c r="P179" s="21"/>
      <x:c r="Q179" s="21"/>
      <x:c r="R179" s="21"/>
      <x:c r="S179" s="21"/>
      <x:c r="T179" s="21"/>
      <x:c r="U179" s="21"/>
      <x:c r="V179" s="21"/>
    </x:row>
    <x:row r="180">
      <x:c r="A180" s="21"/>
      <x:c r="B180" s="21"/>
      <x:c r="C180" s="21"/>
      <x:c r="D180" s="21"/>
      <x:c r="E180" s="21"/>
      <x:c r="F180" s="25"/>
      <x:c r="G180" s="21"/>
      <x:c r="H180" s="21"/>
      <x:c r="I180" s="31"/>
      <x:c r="J180" s="31"/>
      <x:c r="K180" s="31"/>
      <x:c r="L180" s="35"/>
      <x:c r="M180" s="35"/>
      <x:c r="N180" s="21"/>
      <x:c r="O180" s="21"/>
      <x:c r="P180" s="21"/>
      <x:c r="Q180" s="21"/>
      <x:c r="R180" s="21"/>
      <x:c r="S180" s="21"/>
      <x:c r="T180" s="21"/>
      <x:c r="U180" s="21"/>
      <x:c r="V180" s="21"/>
    </x:row>
    <x:row r="181">
      <x:c r="A181" s="21"/>
      <x:c r="B181" s="21"/>
      <x:c r="C181" s="21"/>
      <x:c r="D181" s="21"/>
      <x:c r="E181" s="21"/>
      <x:c r="F181" s="25"/>
      <x:c r="G181" s="21"/>
      <x:c r="H181" s="21"/>
      <x:c r="I181" s="31"/>
      <x:c r="J181" s="31"/>
      <x:c r="K181" s="31"/>
      <x:c r="L181" s="35"/>
      <x:c r="M181" s="35"/>
      <x:c r="N181" s="21"/>
      <x:c r="O181" s="21"/>
      <x:c r="P181" s="21"/>
      <x:c r="Q181" s="21"/>
      <x:c r="R181" s="21"/>
      <x:c r="S181" s="21"/>
      <x:c r="T181" s="21"/>
      <x:c r="U181" s="21"/>
      <x:c r="V181" s="21"/>
    </x:row>
    <x:row r="182">
      <x:c r="A182" s="21"/>
      <x:c r="B182" s="21"/>
      <x:c r="C182" s="21"/>
      <x:c r="D182" s="21"/>
      <x:c r="E182" s="21"/>
      <x:c r="F182" s="25"/>
      <x:c r="G182" s="21"/>
      <x:c r="H182" s="21"/>
      <x:c r="I182" s="31"/>
      <x:c r="J182" s="31"/>
      <x:c r="K182" s="31"/>
      <x:c r="L182" s="35"/>
      <x:c r="M182" s="35"/>
      <x:c r="N182" s="21"/>
      <x:c r="O182" s="21"/>
      <x:c r="P182" s="21"/>
      <x:c r="Q182" s="21"/>
      <x:c r="R182" s="21"/>
      <x:c r="S182" s="21"/>
      <x:c r="T182" s="21"/>
      <x:c r="U182" s="21"/>
      <x:c r="V182" s="21"/>
    </x:row>
    <x:row r="183">
      <x:c r="A183" s="21"/>
      <x:c r="B183" s="21"/>
      <x:c r="C183" s="21"/>
      <x:c r="D183" s="21"/>
      <x:c r="E183" s="21"/>
      <x:c r="F183" s="25"/>
      <x:c r="G183" s="21"/>
      <x:c r="H183" s="21"/>
      <x:c r="I183" s="31"/>
      <x:c r="J183" s="31"/>
      <x:c r="K183" s="31"/>
      <x:c r="L183" s="35"/>
      <x:c r="M183" s="35"/>
      <x:c r="N183" s="21"/>
      <x:c r="O183" s="21"/>
      <x:c r="P183" s="21"/>
      <x:c r="Q183" s="21"/>
      <x:c r="R183" s="21"/>
      <x:c r="S183" s="21"/>
      <x:c r="T183" s="21"/>
      <x:c r="U183" s="21"/>
      <x:c r="V183" s="21"/>
    </x:row>
    <x:row r="184">
      <x:c r="A184" s="21"/>
      <x:c r="B184" s="21"/>
      <x:c r="C184" s="21"/>
      <x:c r="D184" s="21"/>
      <x:c r="E184" s="21"/>
      <x:c r="F184" s="25"/>
      <x:c r="G184" s="21"/>
      <x:c r="H184" s="21"/>
      <x:c r="I184" s="31"/>
      <x:c r="J184" s="31"/>
      <x:c r="K184" s="31"/>
      <x:c r="L184" s="35"/>
      <x:c r="M184" s="35"/>
      <x:c r="N184" s="21"/>
      <x:c r="O184" s="21"/>
      <x:c r="P184" s="21"/>
      <x:c r="Q184" s="21"/>
      <x:c r="R184" s="21"/>
      <x:c r="S184" s="21"/>
      <x:c r="T184" s="21"/>
      <x:c r="U184" s="21"/>
      <x:c r="V184" s="21"/>
    </x:row>
    <x:row r="185">
      <x:c r="A185" s="21"/>
      <x:c r="B185" s="21"/>
      <x:c r="C185" s="21"/>
      <x:c r="D185" s="21"/>
      <x:c r="E185" s="21"/>
      <x:c r="F185" s="25"/>
      <x:c r="G185" s="21"/>
      <x:c r="H185" s="21"/>
      <x:c r="I185" s="31"/>
      <x:c r="J185" s="31"/>
      <x:c r="K185" s="31"/>
      <x:c r="L185" s="35"/>
      <x:c r="M185" s="35"/>
      <x:c r="N185" s="21"/>
      <x:c r="O185" s="21"/>
      <x:c r="P185" s="21"/>
      <x:c r="Q185" s="21"/>
      <x:c r="R185" s="21"/>
      <x:c r="S185" s="21"/>
      <x:c r="T185" s="21"/>
      <x:c r="U185" s="21"/>
      <x:c r="V185" s="21"/>
    </x:row>
    <x:row r="186">
      <x:c r="A186" s="21"/>
      <x:c r="B186" s="21"/>
      <x:c r="C186" s="21"/>
      <x:c r="D186" s="21"/>
      <x:c r="E186" s="21"/>
      <x:c r="F186" s="25"/>
      <x:c r="G186" s="21"/>
      <x:c r="H186" s="21"/>
      <x:c r="I186" s="31"/>
      <x:c r="J186" s="31"/>
      <x:c r="K186" s="31"/>
      <x:c r="L186" s="35"/>
      <x:c r="M186" s="35"/>
      <x:c r="N186" s="21"/>
      <x:c r="O186" s="21"/>
      <x:c r="P186" s="21"/>
      <x:c r="Q186" s="21"/>
      <x:c r="R186" s="21"/>
      <x:c r="S186" s="21"/>
      <x:c r="T186" s="21"/>
      <x:c r="U186" s="21"/>
      <x:c r="V186" s="21"/>
    </x:row>
    <x:row r="187">
      <x:c r="A187" s="21"/>
      <x:c r="B187" s="21"/>
      <x:c r="C187" s="21"/>
      <x:c r="D187" s="21"/>
      <x:c r="E187" s="21"/>
      <x:c r="F187" s="25"/>
      <x:c r="G187" s="21"/>
      <x:c r="H187" s="21"/>
      <x:c r="I187" s="31"/>
      <x:c r="J187" s="31"/>
      <x:c r="K187" s="31"/>
      <x:c r="L187" s="35"/>
      <x:c r="M187" s="35"/>
      <x:c r="N187" s="21"/>
      <x:c r="O187" s="21"/>
      <x:c r="P187" s="21"/>
      <x:c r="Q187" s="21"/>
      <x:c r="R187" s="21"/>
      <x:c r="S187" s="21"/>
      <x:c r="T187" s="21"/>
      <x:c r="U187" s="21"/>
      <x:c r="V187" s="21"/>
    </x:row>
    <x:row r="188">
      <x:c r="A188" s="21"/>
      <x:c r="B188" s="21"/>
      <x:c r="C188" s="21"/>
      <x:c r="D188" s="21"/>
      <x:c r="E188" s="21"/>
      <x:c r="F188" s="25"/>
      <x:c r="G188" s="21"/>
      <x:c r="H188" s="21"/>
      <x:c r="I188" s="31"/>
      <x:c r="J188" s="31"/>
      <x:c r="K188" s="31"/>
      <x:c r="L188" s="35"/>
      <x:c r="M188" s="35"/>
      <x:c r="N188" s="21"/>
      <x:c r="O188" s="21"/>
      <x:c r="P188" s="21"/>
      <x:c r="Q188" s="21"/>
      <x:c r="R188" s="21"/>
      <x:c r="S188" s="21"/>
      <x:c r="T188" s="21"/>
      <x:c r="U188" s="21"/>
      <x:c r="V188" s="21"/>
    </x:row>
    <x:row r="189">
      <x:c r="A189" s="21"/>
      <x:c r="B189" s="21"/>
      <x:c r="C189" s="21"/>
      <x:c r="D189" s="21"/>
      <x:c r="E189" s="21"/>
      <x:c r="F189" s="25"/>
      <x:c r="G189" s="21"/>
      <x:c r="H189" s="21"/>
      <x:c r="I189" s="31"/>
      <x:c r="J189" s="31"/>
      <x:c r="K189" s="31"/>
      <x:c r="L189" s="35"/>
      <x:c r="M189" s="35"/>
      <x:c r="N189" s="21"/>
      <x:c r="O189" s="21"/>
      <x:c r="P189" s="21"/>
      <x:c r="Q189" s="21"/>
      <x:c r="R189" s="21"/>
      <x:c r="S189" s="21"/>
      <x:c r="T189" s="21"/>
      <x:c r="U189" s="21"/>
      <x:c r="V189" s="21"/>
    </x:row>
    <x:row r="190">
      <x:c r="A190" s="21"/>
      <x:c r="B190" s="21"/>
      <x:c r="C190" s="21"/>
      <x:c r="D190" s="21"/>
      <x:c r="E190" s="21"/>
      <x:c r="F190" s="25"/>
      <x:c r="G190" s="21"/>
      <x:c r="H190" s="21"/>
      <x:c r="I190" s="31"/>
      <x:c r="J190" s="31"/>
      <x:c r="K190" s="31"/>
      <x:c r="L190" s="35"/>
      <x:c r="M190" s="35"/>
      <x:c r="N190" s="21"/>
      <x:c r="O190" s="21"/>
      <x:c r="P190" s="21"/>
      <x:c r="Q190" s="21"/>
      <x:c r="R190" s="21"/>
      <x:c r="S190" s="21"/>
      <x:c r="T190" s="21"/>
      <x:c r="U190" s="21"/>
      <x:c r="V190" s="21"/>
    </x:row>
    <x:row r="191">
      <x:c r="A191" s="21"/>
      <x:c r="B191" s="21"/>
      <x:c r="C191" s="21"/>
      <x:c r="D191" s="21"/>
      <x:c r="E191" s="21"/>
      <x:c r="F191" s="25"/>
      <x:c r="G191" s="21"/>
      <x:c r="H191" s="21"/>
      <x:c r="I191" s="31"/>
      <x:c r="J191" s="31"/>
      <x:c r="K191" s="31"/>
      <x:c r="L191" s="35"/>
      <x:c r="M191" s="35"/>
      <x:c r="N191" s="21"/>
      <x:c r="O191" s="21"/>
      <x:c r="P191" s="21"/>
      <x:c r="Q191" s="21"/>
      <x:c r="R191" s="21"/>
      <x:c r="S191" s="21"/>
      <x:c r="T191" s="21"/>
      <x:c r="U191" s="21"/>
      <x:c r="V191" s="21"/>
    </x:row>
    <x:row r="192">
      <x:c r="A192" s="21"/>
      <x:c r="B192" s="21"/>
      <x:c r="C192" s="21"/>
      <x:c r="D192" s="21"/>
      <x:c r="E192" s="21"/>
      <x:c r="F192" s="25"/>
      <x:c r="G192" s="21"/>
      <x:c r="H192" s="21"/>
      <x:c r="I192" s="31"/>
      <x:c r="J192" s="31"/>
      <x:c r="K192" s="31"/>
      <x:c r="L192" s="35"/>
      <x:c r="M192" s="35"/>
      <x:c r="N192" s="21"/>
      <x:c r="O192" s="21"/>
      <x:c r="P192" s="21"/>
      <x:c r="Q192" s="21"/>
      <x:c r="R192" s="21"/>
      <x:c r="S192" s="21"/>
      <x:c r="T192" s="21"/>
      <x:c r="U192" s="21"/>
      <x:c r="V192" s="21"/>
    </x:row>
    <x:row r="193">
      <x:c r="A193" s="21"/>
      <x:c r="B193" s="21"/>
      <x:c r="C193" s="21"/>
      <x:c r="D193" s="21"/>
      <x:c r="E193" s="21"/>
      <x:c r="F193" s="25"/>
      <x:c r="G193" s="21"/>
      <x:c r="H193" s="21"/>
      <x:c r="I193" s="31"/>
      <x:c r="J193" s="31"/>
      <x:c r="K193" s="31"/>
      <x:c r="L193" s="35"/>
      <x:c r="M193" s="35"/>
      <x:c r="N193" s="21"/>
      <x:c r="O193" s="21"/>
      <x:c r="P193" s="21"/>
      <x:c r="Q193" s="21"/>
      <x:c r="R193" s="21"/>
      <x:c r="S193" s="21"/>
      <x:c r="T193" s="21"/>
      <x:c r="U193" s="21"/>
      <x:c r="V193" s="21"/>
    </x:row>
    <x:row r="194">
      <x:c r="A194" s="21"/>
      <x:c r="B194" s="21"/>
      <x:c r="C194" s="21"/>
      <x:c r="D194" s="21"/>
      <x:c r="E194" s="21"/>
      <x:c r="F194" s="25"/>
      <x:c r="G194" s="21"/>
      <x:c r="H194" s="21"/>
      <x:c r="I194" s="31"/>
      <x:c r="J194" s="31"/>
      <x:c r="K194" s="31"/>
      <x:c r="L194" s="35"/>
      <x:c r="M194" s="35"/>
      <x:c r="N194" s="21"/>
      <x:c r="O194" s="21"/>
      <x:c r="P194" s="21"/>
      <x:c r="Q194" s="21"/>
      <x:c r="R194" s="21"/>
      <x:c r="S194" s="21"/>
      <x:c r="T194" s="21"/>
      <x:c r="U194" s="21"/>
      <x:c r="V194" s="21"/>
    </x:row>
    <x:row r="195">
      <x:c r="A195" s="21"/>
      <x:c r="B195" s="21"/>
      <x:c r="C195" s="21"/>
      <x:c r="D195" s="21"/>
      <x:c r="E195" s="21"/>
      <x:c r="F195" s="25"/>
      <x:c r="G195" s="21"/>
      <x:c r="H195" s="21"/>
      <x:c r="I195" s="31"/>
      <x:c r="J195" s="31"/>
      <x:c r="K195" s="31"/>
      <x:c r="L195" s="35"/>
      <x:c r="M195" s="35"/>
      <x:c r="N195" s="21"/>
      <x:c r="O195" s="21"/>
      <x:c r="P195" s="21"/>
      <x:c r="Q195" s="21"/>
      <x:c r="R195" s="21"/>
      <x:c r="S195" s="21"/>
      <x:c r="T195" s="21"/>
      <x:c r="U195" s="21"/>
      <x:c r="V195" s="21"/>
    </x:row>
    <x:row r="196">
      <x:c r="A196" s="21"/>
      <x:c r="B196" s="21"/>
      <x:c r="C196" s="21"/>
      <x:c r="D196" s="21"/>
      <x:c r="E196" s="21"/>
      <x:c r="F196" s="25"/>
      <x:c r="G196" s="21"/>
      <x:c r="H196" s="21"/>
      <x:c r="I196" s="31"/>
      <x:c r="J196" s="31"/>
      <x:c r="K196" s="31"/>
      <x:c r="L196" s="35"/>
      <x:c r="M196" s="35"/>
      <x:c r="N196" s="21"/>
      <x:c r="O196" s="21"/>
      <x:c r="P196" s="21"/>
      <x:c r="Q196" s="21"/>
      <x:c r="R196" s="21"/>
      <x:c r="S196" s="21"/>
      <x:c r="T196" s="21"/>
      <x:c r="U196" s="21"/>
      <x:c r="V196" s="21"/>
    </x:row>
    <x:row r="197">
      <x:c r="A197" s="21"/>
      <x:c r="B197" s="21"/>
      <x:c r="C197" s="21"/>
      <x:c r="D197" s="21"/>
      <x:c r="E197" s="21"/>
      <x:c r="F197" s="25"/>
      <x:c r="G197" s="21"/>
      <x:c r="H197" s="21"/>
      <x:c r="I197" s="31"/>
      <x:c r="J197" s="31"/>
      <x:c r="K197" s="31"/>
      <x:c r="L197" s="35"/>
      <x:c r="M197" s="35"/>
      <x:c r="N197" s="21"/>
      <x:c r="O197" s="21"/>
      <x:c r="P197" s="21"/>
      <x:c r="Q197" s="21"/>
      <x:c r="R197" s="21"/>
      <x:c r="S197" s="21"/>
      <x:c r="T197" s="21"/>
      <x:c r="U197" s="21"/>
      <x:c r="V197" s="21"/>
    </x:row>
    <x:row r="198">
      <x:c r="A198" s="21"/>
      <x:c r="B198" s="21"/>
      <x:c r="C198" s="21"/>
      <x:c r="D198" s="21"/>
      <x:c r="E198" s="21"/>
      <x:c r="F198" s="25"/>
      <x:c r="G198" s="21"/>
      <x:c r="H198" s="21"/>
      <x:c r="I198" s="31"/>
      <x:c r="J198" s="31"/>
      <x:c r="K198" s="31"/>
      <x:c r="L198" s="35"/>
      <x:c r="M198" s="35"/>
      <x:c r="N198" s="21"/>
      <x:c r="O198" s="21"/>
      <x:c r="P198" s="21"/>
      <x:c r="Q198" s="21"/>
      <x:c r="R198" s="21"/>
      <x:c r="S198" s="21"/>
      <x:c r="T198" s="21"/>
      <x:c r="U198" s="21"/>
      <x:c r="V198" s="21"/>
    </x:row>
    <x:row r="199">
      <x:c r="A199" s="21"/>
      <x:c r="B199" s="21"/>
      <x:c r="C199" s="21"/>
      <x:c r="D199" s="21"/>
      <x:c r="E199" s="21"/>
      <x:c r="F199" s="25"/>
      <x:c r="G199" s="21"/>
      <x:c r="H199" s="21"/>
      <x:c r="I199" s="31"/>
      <x:c r="J199" s="31"/>
      <x:c r="K199" s="31"/>
      <x:c r="L199" s="35"/>
      <x:c r="M199" s="35"/>
      <x:c r="N199" s="21"/>
      <x:c r="O199" s="21"/>
      <x:c r="P199" s="21"/>
      <x:c r="Q199" s="21"/>
      <x:c r="R199" s="21"/>
      <x:c r="S199" s="21"/>
      <x:c r="T199" s="21"/>
      <x:c r="U199" s="21"/>
      <x:c r="V199" s="21"/>
    </x:row>
    <x:row r="200">
      <x:c r="A200" s="21"/>
      <x:c r="B200" s="21"/>
      <x:c r="C200" s="21"/>
      <x:c r="D200" s="21"/>
      <x:c r="E200" s="21"/>
      <x:c r="F200" s="25"/>
      <x:c r="G200" s="21"/>
      <x:c r="H200" s="21"/>
      <x:c r="I200" s="31"/>
      <x:c r="J200" s="31"/>
      <x:c r="K200" s="31"/>
      <x:c r="L200" s="35"/>
      <x:c r="M200" s="35"/>
      <x:c r="N200" s="21"/>
      <x:c r="O200" s="21"/>
      <x:c r="P200" s="21"/>
      <x:c r="Q200" s="21"/>
      <x:c r="R200" s="21"/>
      <x:c r="S200" s="21"/>
      <x:c r="T200" s="21"/>
      <x:c r="U200" s="21"/>
      <x:c r="V200" s="21"/>
    </x:row>
    <x:row r="201">
      <x:c r="A201" s="21"/>
      <x:c r="B201" s="21"/>
      <x:c r="C201" s="21"/>
      <x:c r="D201" s="21"/>
      <x:c r="E201" s="21"/>
      <x:c r="F201" s="25"/>
      <x:c r="G201" s="21"/>
      <x:c r="H201" s="21"/>
      <x:c r="I201" s="31"/>
      <x:c r="J201" s="31"/>
      <x:c r="K201" s="31"/>
      <x:c r="L201" s="35"/>
      <x:c r="M201" s="35"/>
      <x:c r="N201" s="21"/>
      <x:c r="O201" s="21"/>
      <x:c r="P201" s="21"/>
      <x:c r="Q201" s="21"/>
      <x:c r="R201" s="21"/>
      <x:c r="S201" s="21"/>
      <x:c r="T201" s="21"/>
      <x:c r="U201" s="21"/>
      <x:c r="V201" s="21"/>
    </x:row>
  </x:sheetData>
  <x:dataValidations count="3">
    <x:dataValidation type="list" sqref="P2:P201">
      <x:formula1>"Available,Unavailable,Negotiation Required,Not Confirmed"</x:formula1>
    </x:dataValidation>
    <x:dataValidation type="list" sqref="S2:S201">
      <x:formula1>"Not Requested,Requested,Received,Testing,Approved,Failed"</x:formula1>
    </x:dataValidation>
    <x:dataValidation type="list" sqref="T2:T201">
      <x:formula1>"Not Confirmed,Requested,Partially Received,Under Review,Complete"</x:formula1>
    </x:dataValidation>
  </x:dataValidations>
  <x:pageMargins left="0.7" right="0.7" top="0.75" bottom="0.75" header="0.3" footer="0.3"/>
  <x:tableParts count="1">
    <x:tablePart xmlns:r="http://schemas.openxmlformats.org/officeDocument/2006/relationships" r:id="R7ae9d791a7d44f2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4" hidden="0" customWidth="1"/>
    <x:col min="5" max="5" width="14" hidden="0" customWidth="1"/>
    <x:col min="6" max="6" width="18" hidden="0" customWidth="1"/>
    <x:col min="7" max="7" width="18" hidden="0" customWidth="1"/>
    <x:col min="8" max="8" width="42" hidden="0" customWidth="1"/>
    <x:col min="9" max="9" width="42" hidden="0" customWidth="1"/>
    <x:col min="10" max="10" width="20" hidden="0" customWidth="1"/>
    <x:col min="11" max="11" width="20" hidden="0" customWidth="1"/>
    <x:col min="12" max="12" width="20" hidden="0" customWidth="1"/>
    <x:col min="13" max="13" width="38" hidden="0" customWidth="1"/>
    <x:col min="14" max="14" width="32" hidden="0" customWidth="1"/>
  </x:cols>
  <x:sheetData>
    <x:row r="1">
      <x:c r="A1" s="14" t="str">
        <x:v>Approval_ID</x:v>
      </x:c>
      <x:c r="B1" s="14" t="str">
        <x:v>Brand_ID</x:v>
      </x:c>
      <x:c r="C1" s="14" t="str">
        <x:v>Brand Name</x:v>
      </x:c>
      <x:c r="D1" s="14" t="str">
        <x:v>Submission Date</x:v>
      </x:c>
      <x:c r="E1" s="14" t="str">
        <x:v>Decision Date</x:v>
      </x:c>
      <x:c r="F1" s="14" t="str">
        <x:v>Decision</x:v>
      </x:c>
      <x:c r="G1" s="14" t="str">
        <x:v>Approver</x:v>
      </x:c>
      <x:c r="H1" s="14" t="str">
        <x:v>Decision Summary</x:v>
      </x:c>
      <x:c r="I1" s="14" t="str">
        <x:v>Revision Request</x:v>
      </x:c>
      <x:c r="J1" s="14" t="str">
        <x:v>Previous Status</x:v>
      </x:c>
      <x:c r="K1" s="14" t="str">
        <x:v>New Status</x:v>
      </x:c>
      <x:c r="L1" s="14" t="str">
        <x:v>Workbook Version</x:v>
      </x:c>
      <x:c r="M1" s="14" t="str">
        <x:v>Related Report Link</x:v>
      </x:c>
      <x:c r="N1" s="14" t="str">
        <x:v>Notes</x:v>
      </x:c>
    </x:row>
    <x:row r="2" ht="72" customHeight="1">
      <x:c r="A2" s="20" t="str">
        <x:v>APR-0001</x:v>
      </x:c>
      <x:c r="B2" s="20" t="str">
        <x:v>KB001</x:v>
      </x:c>
      <x:c r="C2" s="20" t="str">
        <x:v>COSRX</x:v>
      </x:c>
      <x:c r="D2" s="24" t="str">
        <x:v>2026-07-29</x:v>
      </x:c>
      <x:c r="E2" s="24" t="str">
        <x:v>2026-07-29</x:v>
      </x:c>
      <x:c r="F2" s="20" t="str">
        <x:v>Approved</x:v>
      </x:c>
      <x:c r="G2" s="20" t="str">
        <x:v>User</x:v>
      </x:c>
      <x:c r="H2" s="20" t="str">
        <x:v>COSRX Rank 1 research accepted without revision through the user's explicit message “approved.”</x:v>
      </x:c>
      <x:c r="I2" s="20"/>
      <x:c r="J2" s="20" t="str">
        <x:v>Research Complete - Awaiting Approval</x:v>
      </x:c>
      <x:c r="K2" s="20" t="str">
        <x:v>Approved</x:v>
      </x:c>
      <x:c r="L2" s="20" t="str">
        <x:v>EN_v03</x:v>
      </x:c>
      <x:c r="M2" s="20" t="str">
        <x:v>See the COSRX research carried forward in workbook v04.</x:v>
      </x:c>
      <x:c r="N2" s="20" t="str">
        <x:v>Approval recorded before Rank 2 research. This decision approves the research record, not vendor contact, purchasing or distribution commitments.</x:v>
      </x:c>
    </x:row>
    <x:row r="3" ht="74" customHeight="1">
      <x:c r="A3" s="21" t="str">
        <x:v>APR-0002</x:v>
      </x:c>
      <x:c r="B3" s="21" t="str">
        <x:v>KB002</x:v>
      </x:c>
      <x:c r="C3" s="21" t="str">
        <x:v>Beauty of Joseon</x:v>
      </x:c>
      <x:c r="D3" s="25" t="n">
        <x:v>46232.666666666664</x:v>
      </x:c>
      <x:c r="E3" s="25" t="n">
        <x:v>46232.666666666664</x:v>
      </x:c>
      <x:c r="F3" s="21" t="str">
        <x:v>Approved</x:v>
      </x:c>
      <x:c r="G3" s="21" t="str">
        <x:v>User</x:v>
      </x:c>
      <x:c r="H3" s="21" t="str">
        <x:v>Beauty of Joseon Rank 2 research accepted without revision through the user's explicit message “approved.”</x:v>
      </x:c>
      <x:c r="I3" s="21"/>
      <x:c r="J3" s="21" t="str">
        <x:v>Research Complete - Awaiting Approval</x:v>
      </x:c>
      <x:c r="K3" s="21" t="str">
        <x:v>Approved</x:v>
      </x:c>
      <x:c r="L3" s="21" t="str">
        <x:v>EN_v04</x:v>
      </x:c>
      <x:c r="M3" s="21" t="str">
        <x:v>See the Beauty of Joseon research carried forward in workbook v05.</x:v>
      </x:c>
      <x:c r="N3" s="21" t="str">
        <x:v>Approval recorded before Rank 3 research. This decision approves the research record, not vendor contact, purchasing or distribution commitments.</x:v>
      </x:c>
    </x:row>
    <x:row r="4" ht="80" customHeight="1">
      <x:c r="A4" s="21" t="str">
        <x:v>APR-0003</x:v>
      </x:c>
      <x:c r="B4" s="21" t="str">
        <x:v>KB003</x:v>
      </x:c>
      <x:c r="C4" s="21" t="str">
        <x:v>Anua</x:v>
      </x:c>
      <x:c r="D4" s="25" t="n">
        <x:v>46233.666666666664</x:v>
      </x:c>
      <x:c r="E4" s="25" t="n">
        <x:v>46233.666666666664</x:v>
      </x:c>
      <x:c r="F4" s="21" t="str">
        <x:v>Approved</x:v>
      </x:c>
      <x:c r="G4" s="21" t="str">
        <x:v>User</x:v>
      </x:c>
      <x:c r="H4" s="21" t="str">
        <x:v>Anua Source Rank 3 research accepted without revision through the user's explicit message “approved.”</x:v>
      </x:c>
      <x:c r="I4" s="21"/>
      <x:c r="J4" s="21" t="str">
        <x:v>Research Complete - Awaiting Approval</x:v>
      </x:c>
      <x:c r="K4" s="21" t="str">
        <x:v>Approved</x:v>
      </x:c>
      <x:c r="L4" s="21" t="str">
        <x:v>EN_v05</x:v>
      </x:c>
      <x:c r="M4" s="21" t="str">
        <x:v>See the Anua research carried forward in workbook v06.</x:v>
      </x:c>
      <x:c r="N4" s="21" t="str">
        <x:v>Approval recorded before the user's explicit instruction to research Laneige next. Laneige is Source Rank 5; Source Rank 4 SKIN1004 remains untouched. This decision approves the research record, not vendor contact, purchasing or distribution commitments.</x:v>
      </x:c>
    </x:row>
    <x:row r="5" ht="82" customHeight="1">
      <x:c r="A5" s="21" t="str">
        <x:v>APR-0004</x:v>
      </x:c>
      <x:c r="B5" s="21" t="str">
        <x:v>KB005</x:v>
      </x:c>
      <x:c r="C5" s="21" t="str">
        <x:v>Laneige</x:v>
      </x:c>
      <x:c r="D5" s="25" t="n">
        <x:v>46233.666666666664</x:v>
      </x:c>
      <x:c r="E5" s="25" t="n">
        <x:v>46233.666666666664</x:v>
      </x:c>
      <x:c r="F5" s="21" t="str">
        <x:v>Approved</x:v>
      </x:c>
      <x:c r="G5" s="21" t="str">
        <x:v>User</x:v>
      </x:c>
      <x:c r="H5" s="21" t="str">
        <x:v>Laneige Source Rank 5 research accepted without revision through the user's explicit message “approved.”</x:v>
      </x:c>
      <x:c r="I5" s="21"/>
      <x:c r="J5" s="21" t="str">
        <x:v>Research Complete - Awaiting Approval</x:v>
      </x:c>
      <x:c r="K5" s="21" t="str">
        <x:v>Approved</x:v>
      </x:c>
      <x:c r="L5" s="21" t="str">
        <x:v>EN_v06</x:v>
      </x:c>
      <x:c r="M5" s="21" t="str">
        <x:v>See the Laneige research carried forward in workbook v07.</x:v>
      </x:c>
      <x:c r="N5" s="21" t="str">
        <x:v>Approval recorded before returning to the controlling sequence's lowest unprocessed Source Rank, SKIN1004 (Source Rank 4). This decision approves the research record, not vendor contact, purchasing or distribution commitments.</x:v>
      </x:c>
    </x:row>
    <x:row r="6" ht="88" customHeight="1">
      <x:c r="A6" s="21" t="str">
        <x:v>APR-0005</x:v>
      </x:c>
      <x:c r="B6" s="21" t="str">
        <x:v>KB004</x:v>
      </x:c>
      <x:c r="C6" s="21" t="str">
        <x:v>SKIN1004</x:v>
      </x:c>
      <x:c r="D6" s="25" t="n">
        <x:v>46233.666666666664</x:v>
      </x:c>
      <x:c r="E6" s="25" t="n">
        <x:v>46233.666666666664</x:v>
      </x:c>
      <x:c r="F6" s="21" t="str">
        <x:v>Approved</x:v>
      </x:c>
      <x:c r="G6" s="21" t="str">
        <x:v>User</x:v>
      </x:c>
      <x:c r="H6" s="21" t="str">
        <x:v>SKIN1004 Source Rank 4 research accepted without revision through the user's explicit message “approved.”</x:v>
      </x:c>
      <x:c r="I6" s="21"/>
      <x:c r="J6" s="21" t="str">
        <x:v>Research Complete - Awaiting Approval</x:v>
      </x:c>
      <x:c r="K6" s="21" t="str">
        <x:v>Approved</x:v>
      </x:c>
      <x:c r="L6" s="21" t="str">
        <x:v>EN_v07</x:v>
      </x:c>
      <x:c r="M6" s="21" t="str">
        <x:v>See the SKIN1004 research carried forward in workbook v08.</x:v>
      </x:c>
      <x:c r="N6" s="21" t="str">
        <x:v>Approval recorded before starting the next unapproved controlling Source Rank, TIRTIR (Source Rank 6). This decision approves the research record, not vendor contact, purchasing or distribution commitments.</x:v>
      </x:c>
    </x:row>
    <x:row r="7" ht="88" customHeight="1">
      <x:c r="A7" s="21" t="str">
        <x:v>APR-0006</x:v>
      </x:c>
      <x:c r="B7" s="21" t="str">
        <x:v>KB006</x:v>
      </x:c>
      <x:c r="C7" s="21" t="str">
        <x:v>TIRTIR</x:v>
      </x:c>
      <x:c r="D7" s="25" t="n">
        <x:v>46233.666666666664</x:v>
      </x:c>
      <x:c r="E7" s="25" t="n">
        <x:v>46233.666666666664</x:v>
      </x:c>
      <x:c r="F7" s="21" t="str">
        <x:v>Approved</x:v>
      </x:c>
      <x:c r="G7" s="21" t="str">
        <x:v>User</x:v>
      </x:c>
      <x:c r="H7" s="21" t="str">
        <x:v>TIRTIR Source Rank 6 research accepted without revision through the user's explicit message “approved.”</x:v>
      </x:c>
      <x:c r="I7" s="21"/>
      <x:c r="J7" s="21" t="str">
        <x:v>Research Complete - Awaiting Approval</x:v>
      </x:c>
      <x:c r="K7" s="21" t="str">
        <x:v>Approved</x:v>
      </x:c>
      <x:c r="L7" s="21" t="str">
        <x:v>EN_v08</x:v>
      </x:c>
      <x:c r="M7" s="21" t="str">
        <x:v>See the TIRTIR research carried forward in workbook v09.</x:v>
      </x:c>
      <x:c r="N7" s="21" t="str">
        <x:v>Approval recorded before starting the next unapproved controlling Source Rank, VT Cosmetics (Source Rank 7). This decision approves the research record, not vendor contact, purchasing or distribution commitments.</x:v>
      </x:c>
    </x:row>
    <x:row r="8" ht="88" customHeight="1">
      <x:c r="A8" s="21" t="str">
        <x:v>APR-0007</x:v>
      </x:c>
      <x:c r="B8" s="21" t="str">
        <x:v>KB007</x:v>
      </x:c>
      <x:c r="C8" s="21" t="str">
        <x:v>VT Cosmetics</x:v>
      </x:c>
      <x:c r="D8" s="25" t="str">
        <x:v>2026-07-30</x:v>
      </x:c>
      <x:c r="E8" s="25" t="str">
        <x:v>2026-07-30</x:v>
      </x:c>
      <x:c r="F8" s="21" t="str">
        <x:v>Approved</x:v>
      </x:c>
      <x:c r="G8" s="21" t="str">
        <x:v>User</x:v>
      </x:c>
      <x:c r="H8" s="21" t="str">
        <x:v>The user approved the completed VT Cosmetics research and authorized Source Rank 8, Round Lab.</x:v>
      </x:c>
      <x:c r="I8" s="21"/>
      <x:c r="J8" s="21" t="str">
        <x:v>Research Complete - Awaiting Approval</x:v>
      </x:c>
      <x:c r="K8" s="21" t="str">
        <x:v>Approved</x:v>
      </x:c>
      <x:c r="L8" s="21" t="str">
        <x:v>EN_v09</x:v>
      </x:c>
      <x:c r="M8" s="21" t="str">
        <x:v>See the VT Cosmetics research carried forward in workbook v10.</x:v>
      </x:c>
      <x:c r="N8" s="21" t="str">
        <x:v>Research approval only; no vendor contact, purchase order, commercial commitment or distribution authorization was made.</x:v>
      </x:c>
    </x:row>
    <x:row r="9" ht="88" customHeight="1">
      <x:c r="A9" s="21" t="str">
        <x:v>APR-0008</x:v>
      </x:c>
      <x:c r="B9" s="21" t="str">
        <x:v>KB008</x:v>
      </x:c>
      <x:c r="C9" s="21" t="str">
        <x:v>Round Lab</x:v>
      </x:c>
      <x:c r="D9" s="25" t="str">
        <x:v>2026-07-30</x:v>
      </x:c>
      <x:c r="E9" s="25" t="str">
        <x:v>2026-07-30</x:v>
      </x:c>
      <x:c r="F9" s="21" t="str">
        <x:v>Approved</x:v>
      </x:c>
      <x:c r="G9" s="21" t="str">
        <x:v>User</x:v>
      </x:c>
      <x:c r="H9" s="21" t="str">
        <x:v>The user approved the completed Round Lab research and authorized Source Rank 9, Mediheal.</x:v>
      </x:c>
      <x:c r="I9" s="21"/>
      <x:c r="J9" s="21" t="str">
        <x:v>Research Complete - Awaiting Approval</x:v>
      </x:c>
      <x:c r="K9" s="21" t="str">
        <x:v>Approved</x:v>
      </x:c>
      <x:c r="L9" s="21" t="str">
        <x:v>EN_v10</x:v>
      </x:c>
      <x:c r="M9" s="21" t="str">
        <x:v>See the Round Lab research carried forward in workbook v11.</x:v>
      </x:c>
      <x:c r="N9" s="21" t="str">
        <x:v>Research approval only; no vendor contact, purchase order, commercial commitment or distribution authorization was made.</x:v>
      </x:c>
    </x:row>
    <x:row r="10" ht="88" customHeight="1">
      <x:c r="A10" s="21" t="str">
        <x:v>APR-0009</x:v>
      </x:c>
      <x:c r="B10" s="21" t="str">
        <x:v>KB009</x:v>
      </x:c>
      <x:c r="C10" s="21" t="str">
        <x:v>Mediheal</x:v>
      </x:c>
      <x:c r="D10" s="25" t="str">
        <x:v>2026-07-31</x:v>
      </x:c>
      <x:c r="E10" s="25" t="str">
        <x:v>2026-07-31</x:v>
      </x:c>
      <x:c r="F10" s="21" t="str">
        <x:v>Approved</x:v>
      </x:c>
      <x:c r="G10" s="21" t="str">
        <x:v>User</x:v>
      </x:c>
      <x:c r="H10" s="21" t="str">
        <x:v>The user approved the completed Mediheal research and authorized Source Rank 10, Dr.Jart+.</x:v>
      </x:c>
      <x:c r="I10" s="21"/>
      <x:c r="J10" s="21" t="str">
        <x:v>Research Complete - Awaiting Approval</x:v>
      </x:c>
      <x:c r="K10" s="21" t="str">
        <x:v>Approved</x:v>
      </x:c>
      <x:c r="L10" s="21" t="str">
        <x:v>EN_v11</x:v>
      </x:c>
      <x:c r="M10" s="21" t="str">
        <x:v>See the Mediheal research carried forward in workbook v12.</x:v>
      </x:c>
      <x:c r="N10" s="21" t="str">
        <x:v>Research approval only; no vendor contact, purchase order, commercial commitment or distribution authorization was made.</x:v>
      </x:c>
    </x:row>
    <x:row r="11" ht="88" customHeight="1">
      <x:c r="A11" s="21" t="str">
        <x:v>APR-0010</x:v>
      </x:c>
      <x:c r="B11" s="21" t="str">
        <x:v>KB010</x:v>
      </x:c>
      <x:c r="C11" s="21" t="str">
        <x:v>Dr.Jart+</x:v>
      </x:c>
      <x:c r="D11" s="25" t="str">
        <x:v>2026-08-01</x:v>
      </x:c>
      <x:c r="E11" s="25" t="str">
        <x:v>2026-08-01</x:v>
      </x:c>
      <x:c r="F11" s="21" t="str">
        <x:v>Approved</x:v>
      </x:c>
      <x:c r="G11" s="21" t="str">
        <x:v>User</x:v>
      </x:c>
      <x:c r="H11" s="21" t="str">
        <x:v>The user approved the completed Dr.Jart+ research and authorized Source Rank 11, Torriden.</x:v>
      </x:c>
      <x:c r="I11" s="21"/>
      <x:c r="J11" s="21" t="str">
        <x:v>Research Complete - Awaiting Approval</x:v>
      </x:c>
      <x:c r="K11" s="21" t="str">
        <x:v>Approved</x:v>
      </x:c>
      <x:c r="L11" s="21" t="str">
        <x:v>EN_v12</x:v>
      </x:c>
      <x:c r="M11" s="21" t="str">
        <x:v>See the Dr.Jart+ research carried forward in workbook v13.</x:v>
      </x:c>
      <x:c r="N11" s="21" t="str">
        <x:v>Research approval only; no vendor contact, purchase order, commercial commitment or distribution authorization was made.</x:v>
      </x:c>
    </x:row>
    <x:row r="12" ht="88" customHeight="1">
      <x:c r="A12" s="21" t="str">
        <x:v>APR-0011</x:v>
      </x:c>
      <x:c r="B12" s="21" t="str">
        <x:v>KB011</x:v>
      </x:c>
      <x:c r="C12" s="21" t="str">
        <x:v>Torriden</x:v>
      </x:c>
      <x:c r="D12" s="25" t="str">
        <x:v>2026-08-01</x:v>
      </x:c>
      <x:c r="E12" s="25" t="str">
        <x:v>2026-08-01</x:v>
      </x:c>
      <x:c r="F12" s="21" t="str">
        <x:v>Approved</x:v>
      </x:c>
      <x:c r="G12" s="21" t="str">
        <x:v>User</x:v>
      </x:c>
      <x:c r="H12" s="21" t="str">
        <x:v>The user approved the completed Torriden research and authorized Source Rank 12, Numbuzin.</x:v>
      </x:c>
      <x:c r="I12" s="21"/>
      <x:c r="J12" s="21" t="str">
        <x:v>Research Complete - Awaiting Approval</x:v>
      </x:c>
      <x:c r="K12" s="21" t="str">
        <x:v>Approved</x:v>
      </x:c>
      <x:c r="L12" s="21" t="str">
        <x:v>EN_v14</x:v>
      </x:c>
      <x:c r="M12" s="21" t="str">
        <x:v>See the Torriden research carried forward in workbook v15.</x:v>
      </x:c>
      <x:c r="N12" s="21" t="str">
        <x:v>Research approval only; no vendor contact, purchase order, commercial commitment or distribution authorization was made.</x:v>
      </x:c>
    </x:row>
    <x:row r="13" ht="92" customHeight="1">
      <x:c r="A13" s="21" t="str">
        <x:v>APR-0012</x:v>
      </x:c>
      <x:c r="B13" s="21" t="str">
        <x:v>KB012</x:v>
      </x:c>
      <x:c r="C13" s="21" t="str">
        <x:v>Numbuzin</x:v>
      </x:c>
      <x:c r="D13" s="25" t="str">
        <x:v>2026-08-01</x:v>
      </x:c>
      <x:c r="E13" s="25" t="str">
        <x:v>2026-08-01</x:v>
      </x:c>
      <x:c r="F13" s="21" t="str">
        <x:v>Approved</x:v>
      </x:c>
      <x:c r="G13" s="21" t="str">
        <x:v>User</x:v>
      </x:c>
      <x:c r="H13" s="21" t="str">
        <x:v>The user approved the completed Numbuzin research and authorized Source Rank 13, Mixsoon.</x:v>
      </x:c>
      <x:c r="I13" s="21"/>
      <x:c r="J13" s="21" t="str">
        <x:v>Research Complete - Awaiting Approval</x:v>
      </x:c>
      <x:c r="K13" s="21" t="str">
        <x:v>Approved</x:v>
      </x:c>
      <x:c r="L13" s="21" t="str">
        <x:v>EN_v15</x:v>
      </x:c>
      <x:c r="M13" s="21" t="str">
        <x:v>See the Numbuzin research carried forward in workbook v16.</x:v>
      </x:c>
      <x:c r="N13" s="21" t="str">
        <x:v>Research approval only; no vendor contact, purchase order, commercial commitment or distribution authorization was made.</x:v>
      </x:c>
    </x:row>
    <x:row r="14" ht="92" customHeight="1">
      <x:c r="A14" s="21" t="str">
        <x:v>APR-0013</x:v>
      </x:c>
      <x:c r="B14" s="21" t="str">
        <x:v>KB013</x:v>
      </x:c>
      <x:c r="C14" s="21" t="str">
        <x:v>Mixsoon</x:v>
      </x:c>
      <x:c r="D14" s="25" t="str">
        <x:v>2026-08-01</x:v>
      </x:c>
      <x:c r="E14" s="25" t="str">
        <x:v>2026-08-01</x:v>
      </x:c>
      <x:c r="F14" s="21" t="str">
        <x:v>Approved</x:v>
      </x:c>
      <x:c r="G14" s="21" t="str">
        <x:v>User</x:v>
      </x:c>
      <x:c r="H14" s="21" t="str">
        <x:v>The user approved the completed Mixsoon research and authorized Source Rank 14, d'Alba.</x:v>
      </x:c>
      <x:c r="I14" s="21"/>
      <x:c r="J14" s="21" t="str">
        <x:v>Research Complete - Awaiting Approval</x:v>
      </x:c>
      <x:c r="K14" s="21" t="str">
        <x:v>Approved</x:v>
      </x:c>
      <x:c r="L14" s="21" t="str">
        <x:v>EN_v16</x:v>
      </x:c>
      <x:c r="M14" s="21" t="str">
        <x:v>See the Mixsoon research carried forward in workbook v17.</x:v>
      </x:c>
      <x:c r="N14" s="21" t="str">
        <x:v>Research approval only; no vendor contact, purchase order, commercial commitment or distribution authorization was made.</x:v>
      </x:c>
    </x:row>
    <x:row r="15" ht="92" customHeight="1">
      <x:c r="A15" s="21" t="str">
        <x:v>APR-0014</x:v>
      </x:c>
      <x:c r="B15" s="21" t="str">
        <x:v>KB014</x:v>
      </x:c>
      <x:c r="C15" s="21" t="str">
        <x:v>d'Alba</x:v>
      </x:c>
      <x:c r="D15" s="25" t="str">
        <x:v>2026-08-01</x:v>
      </x:c>
      <x:c r="E15" s="25" t="str">
        <x:v>2026-08-01</x:v>
      </x:c>
      <x:c r="F15" s="21" t="str">
        <x:v>Approved</x:v>
      </x:c>
      <x:c r="G15" s="21" t="str">
        <x:v>User</x:v>
      </x:c>
      <x:c r="H15" s="21" t="str">
        <x:v>The user approved the completed d'Alba research and authorized Source Rank 15, SOME BY MI.</x:v>
      </x:c>
      <x:c r="I15" s="21"/>
      <x:c r="J15" s="21" t="str">
        <x:v>Research Complete - Awaiting Approval</x:v>
      </x:c>
      <x:c r="K15" s="21" t="str">
        <x:v>Approved</x:v>
      </x:c>
      <x:c r="L15" s="21" t="str">
        <x:v>EN_v17</x:v>
      </x:c>
      <x:c r="M15" s="21" t="str">
        <x:v>See the d'Alba research carried forward in workbook v18.</x:v>
      </x:c>
      <x:c r="N15" s="21" t="str">
        <x:v>Research approval only; no vendor contact, purchase order, commercial commitment or distribution authorization was made.</x:v>
      </x:c>
    </x:row>
    <x:row r="16" ht="92" customHeight="1">
      <x:c r="A16" s="21" t="str">
        <x:v>APR-0015</x:v>
      </x:c>
      <x:c r="B16" s="21" t="str">
        <x:v>KB015</x:v>
      </x:c>
      <x:c r="C16" s="21" t="str">
        <x:v>SOME BY MI</x:v>
      </x:c>
      <x:c r="D16" s="25" t="str">
        <x:v>2026-08-01</x:v>
      </x:c>
      <x:c r="E16" s="25" t="str">
        <x:v>2026-08-01</x:v>
      </x:c>
      <x:c r="F16" s="21" t="str">
        <x:v>Approved</x:v>
      </x:c>
      <x:c r="G16" s="21" t="str">
        <x:v>User</x:v>
      </x:c>
      <x:c r="H16" s="21" t="str">
        <x:v>The user approved the completed SOME BY MI research and authorized Source Rank 16, Isntree.</x:v>
      </x:c>
      <x:c r="I16" s="21"/>
      <x:c r="J16" s="21" t="str">
        <x:v>Research Complete - Awaiting Approval</x:v>
      </x:c>
      <x:c r="K16" s="21" t="str">
        <x:v>Approved</x:v>
      </x:c>
      <x:c r="L16" s="21" t="str">
        <x:v>EN_v18</x:v>
      </x:c>
      <x:c r="M16" s="21" t="str">
        <x:v>See the SOME BY MI research carried forward in workbook v19.</x:v>
      </x:c>
      <x:c r="N16" s="21" t="str">
        <x:v>Research approval only; no vendor contact, purchase order, commercial commitment or distribution authorization was made.</x:v>
      </x:c>
    </x:row>
    <x:row r="17" ht="92" customHeight="1">
      <x:c r="A17" s="21" t="str">
        <x:v>APR-0016</x:v>
      </x:c>
      <x:c r="B17" s="21" t="str">
        <x:v>KB016</x:v>
      </x:c>
      <x:c r="C17" s="21" t="str">
        <x:v>Isntree</x:v>
      </x:c>
      <x:c r="D17" s="25" t="str">
        <x:v>2026-08-01</x:v>
      </x:c>
      <x:c r="E17" s="25" t="str">
        <x:v>2026-08-01</x:v>
      </x:c>
      <x:c r="F17" s="21" t="str">
        <x:v>Approved</x:v>
      </x:c>
      <x:c r="G17" s="21" t="str">
        <x:v>User</x:v>
      </x:c>
      <x:c r="H17" s="21" t="str">
        <x:v>The user approved the completed Isntree research and authorized Source Rank 17, Goodal.</x:v>
      </x:c>
      <x:c r="I17" s="21"/>
      <x:c r="J17" s="21" t="str">
        <x:v>Research Complete - Awaiting Approval</x:v>
      </x:c>
      <x:c r="K17" s="21" t="str">
        <x:v>Approved</x:v>
      </x:c>
      <x:c r="L17" s="21" t="str">
        <x:v>EN_v19</x:v>
      </x:c>
      <x:c r="M17" s="21" t="str">
        <x:v>See the Isntree research carried forward in workbook v20.</x:v>
      </x:c>
      <x:c r="N17" s="21" t="str">
        <x:v>Research approval only; no vendor contact, purchase order, commercial commitment or distribution authorization was made.</x:v>
      </x:c>
    </x:row>
    <x:row r="18" ht="92" customHeight="1">
      <x:c r="A18" s="21" t="str">
        <x:v>APR-0017</x:v>
      </x:c>
      <x:c r="B18" s="21" t="str">
        <x:v>KB017</x:v>
      </x:c>
      <x:c r="C18" s="21" t="str">
        <x:v>Goodal</x:v>
      </x:c>
      <x:c r="D18" s="25" t="str">
        <x:v>2026-08-01</x:v>
      </x:c>
      <x:c r="E18" s="25" t="str">
        <x:v>2026-08-01</x:v>
      </x:c>
      <x:c r="F18" s="21" t="str">
        <x:v>Approved</x:v>
      </x:c>
      <x:c r="G18" s="21" t="str">
        <x:v>User</x:v>
      </x:c>
      <x:c r="H18" s="21" t="str">
        <x:v>The user approved the completed Goodal research and authorized Source Rank 18, I'm From.</x:v>
      </x:c>
      <x:c r="I18" s="21"/>
      <x:c r="J18" s="21" t="str">
        <x:v>Research Complete - Awaiting Approval</x:v>
      </x:c>
      <x:c r="K18" s="21" t="str">
        <x:v>Approved</x:v>
      </x:c>
      <x:c r="L18" s="21" t="str">
        <x:v>EN_v20</x:v>
      </x:c>
      <x:c r="M18" s="21" t="str">
        <x:v>See the Goodal research carried forward in workbook v21.</x:v>
      </x:c>
      <x:c r="N18" s="21" t="str">
        <x:v>Research approval only; no vendor contact, purchase order, commercial commitment or distribution authorization was made.</x:v>
      </x:c>
    </x:row>
    <x:row r="19" ht="92" customHeight="1">
      <x:c r="A19" s="21" t="str">
        <x:v>APR-0018</x:v>
      </x:c>
      <x:c r="B19" s="21" t="str">
        <x:v>KB018</x:v>
      </x:c>
      <x:c r="C19" s="21" t="str">
        <x:v>I'm From</x:v>
      </x:c>
      <x:c r="D19" s="25" t="str">
        <x:v>2026-08-01</x:v>
      </x:c>
      <x:c r="E19" s="25" t="str">
        <x:v>2026-08-01</x:v>
      </x:c>
      <x:c r="F19" s="21" t="str">
        <x:v>Approved</x:v>
      </x:c>
      <x:c r="G19" s="21" t="str">
        <x:v>User</x:v>
      </x:c>
      <x:c r="H19" s="21" t="str">
        <x:v>The user approved the completed I'm From research and authorized Source Rank 19, Dear Klairs.</x:v>
      </x:c>
      <x:c r="I19" s="21"/>
      <x:c r="J19" s="21" t="str">
        <x:v>Research Complete - Awaiting Approval</x:v>
      </x:c>
      <x:c r="K19" s="21" t="str">
        <x:v>Approved</x:v>
      </x:c>
      <x:c r="L19" s="21" t="str">
        <x:v>EN_v21</x:v>
      </x:c>
      <x:c r="M19" s="21" t="str">
        <x:v>See the I'm From research carried forward in workbook v22.</x:v>
      </x:c>
      <x:c r="N19" s="21" t="str">
        <x:v>Research approval only; no vendor contact, purchase order, commercial commitment or distribution authorization was made.</x:v>
      </x:c>
    </x:row>
    <x:row r="20" ht="92" customHeight="1">
      <x:c r="A20" s="21" t="str">
        <x:v>APR-0019</x:v>
      </x:c>
      <x:c r="B20" s="21" t="str">
        <x:v>KB019</x:v>
      </x:c>
      <x:c r="C20" s="21" t="str">
        <x:v>Dear Klairs</x:v>
      </x:c>
      <x:c r="D20" s="25" t="str">
        <x:v>2026-08-01</x:v>
      </x:c>
      <x:c r="E20" s="25" t="str">
        <x:v>2026-08-01</x:v>
      </x:c>
      <x:c r="F20" s="21" t="str">
        <x:v>Approved</x:v>
      </x:c>
      <x:c r="G20" s="21" t="str">
        <x:v>User</x:v>
      </x:c>
      <x:c r="H20" s="21" t="str">
        <x:v>The user approved the completed Dear Klairs research and authorized Source Rank 20, Haruharu Wonder.</x:v>
      </x:c>
      <x:c r="I20" s="21"/>
      <x:c r="J20" s="21" t="str">
        <x:v>Research Complete - Awaiting Approval</x:v>
      </x:c>
      <x:c r="K20" s="21" t="str">
        <x:v>Approved</x:v>
      </x:c>
      <x:c r="L20" s="21" t="str">
        <x:v>EN_v22</x:v>
      </x:c>
      <x:c r="M20" s="21" t="str">
        <x:v>See the Dear Klairs research carried forward in workbook v23.</x:v>
      </x:c>
      <x:c r="N20" s="21" t="str">
        <x:v>Research approval only; no vendor contact, purchase order, commercial commitment or distribution authorization was made.</x:v>
      </x:c>
    </x:row>
    <x:row r="21">
      <x:c r="A21" s="21"/>
      <x:c r="B21" s="21"/>
      <x:c r="C21" s="21"/>
      <x:c r="D21" s="25"/>
      <x:c r="E21" s="25"/>
      <x:c r="F21" s="21"/>
      <x:c r="G21" s="21"/>
      <x:c r="H21" s="21"/>
      <x:c r="I21" s="21"/>
      <x:c r="J21" s="21"/>
      <x:c r="K21" s="21"/>
      <x:c r="L21" s="21"/>
      <x:c r="M21" s="21"/>
      <x:c r="N21" s="21"/>
    </x:row>
    <x:row r="22">
      <x:c r="A22" s="21"/>
      <x:c r="B22" s="21"/>
      <x:c r="C22" s="21"/>
      <x:c r="D22" s="25"/>
      <x:c r="E22" s="25"/>
      <x:c r="F22" s="21"/>
      <x:c r="G22" s="21"/>
      <x:c r="H22" s="21"/>
      <x:c r="I22" s="21"/>
      <x:c r="J22" s="21"/>
      <x:c r="K22" s="21"/>
      <x:c r="L22" s="21"/>
      <x:c r="M22" s="21"/>
      <x:c r="N22" s="21"/>
    </x:row>
    <x:row r="23">
      <x:c r="A23" s="21"/>
      <x:c r="B23" s="21"/>
      <x:c r="C23" s="21"/>
      <x:c r="D23" s="25"/>
      <x:c r="E23" s="25"/>
      <x:c r="F23" s="21"/>
      <x:c r="G23" s="21"/>
      <x:c r="H23" s="21"/>
      <x:c r="I23" s="21"/>
      <x:c r="J23" s="21"/>
      <x:c r="K23" s="21"/>
      <x:c r="L23" s="21"/>
      <x:c r="M23" s="21"/>
      <x:c r="N23" s="21"/>
    </x:row>
    <x:row r="24">
      <x:c r="A24" s="21"/>
      <x:c r="B24" s="21"/>
      <x:c r="C24" s="21"/>
      <x:c r="D24" s="25"/>
      <x:c r="E24" s="25"/>
      <x:c r="F24" s="21"/>
      <x:c r="G24" s="21"/>
      <x:c r="H24" s="21"/>
      <x:c r="I24" s="21"/>
      <x:c r="J24" s="21"/>
      <x:c r="K24" s="21"/>
      <x:c r="L24" s="21"/>
      <x:c r="M24" s="21"/>
      <x:c r="N24" s="21"/>
    </x:row>
    <x:row r="25">
      <x:c r="A25" s="21"/>
      <x:c r="B25" s="21"/>
      <x:c r="C25" s="21"/>
      <x:c r="D25" s="25"/>
      <x:c r="E25" s="25"/>
      <x:c r="F25" s="21"/>
      <x:c r="G25" s="21"/>
      <x:c r="H25" s="21"/>
      <x:c r="I25" s="21"/>
      <x:c r="J25" s="21"/>
      <x:c r="K25" s="21"/>
      <x:c r="L25" s="21"/>
      <x:c r="M25" s="21"/>
      <x:c r="N25" s="21"/>
    </x:row>
    <x:row r="26">
      <x:c r="A26" s="21"/>
      <x:c r="B26" s="21"/>
      <x:c r="C26" s="21"/>
      <x:c r="D26" s="25"/>
      <x:c r="E26" s="25"/>
      <x:c r="F26" s="21"/>
      <x:c r="G26" s="21"/>
      <x:c r="H26" s="21"/>
      <x:c r="I26" s="21"/>
      <x:c r="J26" s="21"/>
      <x:c r="K26" s="21"/>
      <x:c r="L26" s="21"/>
      <x:c r="M26" s="21"/>
      <x:c r="N26" s="21"/>
    </x:row>
    <x:row r="27">
      <x:c r="A27" s="21"/>
      <x:c r="B27" s="21"/>
      <x:c r="C27" s="21"/>
      <x:c r="D27" s="25"/>
      <x:c r="E27" s="25"/>
      <x:c r="F27" s="21"/>
      <x:c r="G27" s="21"/>
      <x:c r="H27" s="21"/>
      <x:c r="I27" s="21"/>
      <x:c r="J27" s="21"/>
      <x:c r="K27" s="21"/>
      <x:c r="L27" s="21"/>
      <x:c r="M27" s="21"/>
      <x:c r="N27" s="21"/>
    </x:row>
    <x:row r="28">
      <x:c r="A28" s="21"/>
      <x:c r="B28" s="21"/>
      <x:c r="C28" s="21"/>
      <x:c r="D28" s="25"/>
      <x:c r="E28" s="25"/>
      <x:c r="F28" s="21"/>
      <x:c r="G28" s="21"/>
      <x:c r="H28" s="21"/>
      <x:c r="I28" s="21"/>
      <x:c r="J28" s="21"/>
      <x:c r="K28" s="21"/>
      <x:c r="L28" s="21"/>
      <x:c r="M28" s="21"/>
      <x:c r="N28" s="21"/>
    </x:row>
    <x:row r="29">
      <x:c r="A29" s="21"/>
      <x:c r="B29" s="21"/>
      <x:c r="C29" s="21"/>
      <x:c r="D29" s="25"/>
      <x:c r="E29" s="25"/>
      <x:c r="F29" s="21"/>
      <x:c r="G29" s="21"/>
      <x:c r="H29" s="21"/>
      <x:c r="I29" s="21"/>
      <x:c r="J29" s="21"/>
      <x:c r="K29" s="21"/>
      <x:c r="L29" s="21"/>
      <x:c r="M29" s="21"/>
      <x:c r="N29" s="21"/>
    </x:row>
    <x:row r="30">
      <x:c r="A30" s="21"/>
      <x:c r="B30" s="21"/>
      <x:c r="C30" s="21"/>
      <x:c r="D30" s="25"/>
      <x:c r="E30" s="25"/>
      <x:c r="F30" s="21"/>
      <x:c r="G30" s="21"/>
      <x:c r="H30" s="21"/>
      <x:c r="I30" s="21"/>
      <x:c r="J30" s="21"/>
      <x:c r="K30" s="21"/>
      <x:c r="L30" s="21"/>
      <x:c r="M30" s="21"/>
      <x:c r="N30" s="21"/>
    </x:row>
    <x:row r="31">
      <x:c r="A31" s="21"/>
      <x:c r="B31" s="21"/>
      <x:c r="C31" s="21"/>
      <x:c r="D31" s="25"/>
      <x:c r="E31" s="25"/>
      <x:c r="F31" s="21"/>
      <x:c r="G31" s="21"/>
      <x:c r="H31" s="21"/>
      <x:c r="I31" s="21"/>
      <x:c r="J31" s="21"/>
      <x:c r="K31" s="21"/>
      <x:c r="L31" s="21"/>
      <x:c r="M31" s="21"/>
      <x:c r="N31" s="21"/>
    </x:row>
    <x:row r="32">
      <x:c r="A32" s="21"/>
      <x:c r="B32" s="21"/>
      <x:c r="C32" s="21"/>
      <x:c r="D32" s="25"/>
      <x:c r="E32" s="25"/>
      <x:c r="F32" s="21"/>
      <x:c r="G32" s="21"/>
      <x:c r="H32" s="21"/>
      <x:c r="I32" s="21"/>
      <x:c r="J32" s="21"/>
      <x:c r="K32" s="21"/>
      <x:c r="L32" s="21"/>
      <x:c r="M32" s="21"/>
      <x:c r="N32" s="21"/>
    </x:row>
    <x:row r="33">
      <x:c r="A33" s="21"/>
      <x:c r="B33" s="21"/>
      <x:c r="C33" s="21"/>
      <x:c r="D33" s="25"/>
      <x:c r="E33" s="25"/>
      <x:c r="F33" s="21"/>
      <x:c r="G33" s="21"/>
      <x:c r="H33" s="21"/>
      <x:c r="I33" s="21"/>
      <x:c r="J33" s="21"/>
      <x:c r="K33" s="21"/>
      <x:c r="L33" s="21"/>
      <x:c r="M33" s="21"/>
      <x:c r="N33" s="21"/>
    </x:row>
    <x:row r="34">
      <x:c r="A34" s="21"/>
      <x:c r="B34" s="21"/>
      <x:c r="C34" s="21"/>
      <x:c r="D34" s="25"/>
      <x:c r="E34" s="25"/>
      <x:c r="F34" s="21"/>
      <x:c r="G34" s="21"/>
      <x:c r="H34" s="21"/>
      <x:c r="I34" s="21"/>
      <x:c r="J34" s="21"/>
      <x:c r="K34" s="21"/>
      <x:c r="L34" s="21"/>
      <x:c r="M34" s="21"/>
      <x:c r="N34" s="21"/>
    </x:row>
    <x:row r="35">
      <x:c r="A35" s="21"/>
      <x:c r="B35" s="21"/>
      <x:c r="C35" s="21"/>
      <x:c r="D35" s="25"/>
      <x:c r="E35" s="25"/>
      <x:c r="F35" s="21"/>
      <x:c r="G35" s="21"/>
      <x:c r="H35" s="21"/>
      <x:c r="I35" s="21"/>
      <x:c r="J35" s="21"/>
      <x:c r="K35" s="21"/>
      <x:c r="L35" s="21"/>
      <x:c r="M35" s="21"/>
      <x:c r="N35" s="21"/>
    </x:row>
    <x:row r="36">
      <x:c r="A36" s="21"/>
      <x:c r="B36" s="21"/>
      <x:c r="C36" s="21"/>
      <x:c r="D36" s="25"/>
      <x:c r="E36" s="25"/>
      <x:c r="F36" s="21"/>
      <x:c r="G36" s="21"/>
      <x:c r="H36" s="21"/>
      <x:c r="I36" s="21"/>
      <x:c r="J36" s="21"/>
      <x:c r="K36" s="21"/>
      <x:c r="L36" s="21"/>
      <x:c r="M36" s="21"/>
      <x:c r="N36" s="21"/>
    </x:row>
    <x:row r="37">
      <x:c r="A37" s="21"/>
      <x:c r="B37" s="21"/>
      <x:c r="C37" s="21"/>
      <x:c r="D37" s="25"/>
      <x:c r="E37" s="25"/>
      <x:c r="F37" s="21"/>
      <x:c r="G37" s="21"/>
      <x:c r="H37" s="21"/>
      <x:c r="I37" s="21"/>
      <x:c r="J37" s="21"/>
      <x:c r="K37" s="21"/>
      <x:c r="L37" s="21"/>
      <x:c r="M37" s="21"/>
      <x:c r="N37" s="21"/>
    </x:row>
    <x:row r="38">
      <x:c r="A38" s="21"/>
      <x:c r="B38" s="21"/>
      <x:c r="C38" s="21"/>
      <x:c r="D38" s="25"/>
      <x:c r="E38" s="25"/>
      <x:c r="F38" s="21"/>
      <x:c r="G38" s="21"/>
      <x:c r="H38" s="21"/>
      <x:c r="I38" s="21"/>
      <x:c r="J38" s="21"/>
      <x:c r="K38" s="21"/>
      <x:c r="L38" s="21"/>
      <x:c r="M38" s="21"/>
      <x:c r="N38" s="21"/>
    </x:row>
    <x:row r="39">
      <x:c r="A39" s="21"/>
      <x:c r="B39" s="21"/>
      <x:c r="C39" s="21"/>
      <x:c r="D39" s="25"/>
      <x:c r="E39" s="25"/>
      <x:c r="F39" s="21"/>
      <x:c r="G39" s="21"/>
      <x:c r="H39" s="21"/>
      <x:c r="I39" s="21"/>
      <x:c r="J39" s="21"/>
      <x:c r="K39" s="21"/>
      <x:c r="L39" s="21"/>
      <x:c r="M39" s="21"/>
      <x:c r="N39" s="21"/>
    </x:row>
    <x:row r="40">
      <x:c r="A40" s="21"/>
      <x:c r="B40" s="21"/>
      <x:c r="C40" s="21"/>
      <x:c r="D40" s="25"/>
      <x:c r="E40" s="25"/>
      <x:c r="F40" s="21"/>
      <x:c r="G40" s="21"/>
      <x:c r="H40" s="21"/>
      <x:c r="I40" s="21"/>
      <x:c r="J40" s="21"/>
      <x:c r="K40" s="21"/>
      <x:c r="L40" s="21"/>
      <x:c r="M40" s="21"/>
      <x:c r="N40" s="21"/>
    </x:row>
    <x:row r="41">
      <x:c r="A41" s="21"/>
      <x:c r="B41" s="21"/>
      <x:c r="C41" s="21"/>
      <x:c r="D41" s="25"/>
      <x:c r="E41" s="25"/>
      <x:c r="F41" s="21"/>
      <x:c r="G41" s="21"/>
      <x:c r="H41" s="21"/>
      <x:c r="I41" s="21"/>
      <x:c r="J41" s="21"/>
      <x:c r="K41" s="21"/>
      <x:c r="L41" s="21"/>
      <x:c r="M41" s="21"/>
      <x:c r="N41" s="21"/>
    </x:row>
    <x:row r="42">
      <x:c r="A42" s="21"/>
      <x:c r="B42" s="21"/>
      <x:c r="C42" s="21"/>
      <x:c r="D42" s="25"/>
      <x:c r="E42" s="25"/>
      <x:c r="F42" s="21"/>
      <x:c r="G42" s="21"/>
      <x:c r="H42" s="21"/>
      <x:c r="I42" s="21"/>
      <x:c r="J42" s="21"/>
      <x:c r="K42" s="21"/>
      <x:c r="L42" s="21"/>
      <x:c r="M42" s="21"/>
      <x:c r="N42" s="21"/>
    </x:row>
    <x:row r="43">
      <x:c r="A43" s="21"/>
      <x:c r="B43" s="21"/>
      <x:c r="C43" s="21"/>
      <x:c r="D43" s="25"/>
      <x:c r="E43" s="25"/>
      <x:c r="F43" s="21"/>
      <x:c r="G43" s="21"/>
      <x:c r="H43" s="21"/>
      <x:c r="I43" s="21"/>
      <x:c r="J43" s="21"/>
      <x:c r="K43" s="21"/>
      <x:c r="L43" s="21"/>
      <x:c r="M43" s="21"/>
      <x:c r="N43" s="21"/>
    </x:row>
    <x:row r="44">
      <x:c r="A44" s="21"/>
      <x:c r="B44" s="21"/>
      <x:c r="C44" s="21"/>
      <x:c r="D44" s="25"/>
      <x:c r="E44" s="25"/>
      <x:c r="F44" s="21"/>
      <x:c r="G44" s="21"/>
      <x:c r="H44" s="21"/>
      <x:c r="I44" s="21"/>
      <x:c r="J44" s="21"/>
      <x:c r="K44" s="21"/>
      <x:c r="L44" s="21"/>
      <x:c r="M44" s="21"/>
      <x:c r="N44" s="21"/>
    </x:row>
    <x:row r="45">
      <x:c r="A45" s="21"/>
      <x:c r="B45" s="21"/>
      <x:c r="C45" s="21"/>
      <x:c r="D45" s="25"/>
      <x:c r="E45" s="25"/>
      <x:c r="F45" s="21"/>
      <x:c r="G45" s="21"/>
      <x:c r="H45" s="21"/>
      <x:c r="I45" s="21"/>
      <x:c r="J45" s="21"/>
      <x:c r="K45" s="21"/>
      <x:c r="L45" s="21"/>
      <x:c r="M45" s="21"/>
      <x:c r="N45" s="21"/>
    </x:row>
    <x:row r="46">
      <x:c r="A46" s="21"/>
      <x:c r="B46" s="21"/>
      <x:c r="C46" s="21"/>
      <x:c r="D46" s="25"/>
      <x:c r="E46" s="25"/>
      <x:c r="F46" s="21"/>
      <x:c r="G46" s="21"/>
      <x:c r="H46" s="21"/>
      <x:c r="I46" s="21"/>
      <x:c r="J46" s="21"/>
      <x:c r="K46" s="21"/>
      <x:c r="L46" s="21"/>
      <x:c r="M46" s="21"/>
      <x:c r="N46" s="21"/>
    </x:row>
    <x:row r="47">
      <x:c r="A47" s="21"/>
      <x:c r="B47" s="21"/>
      <x:c r="C47" s="21"/>
      <x:c r="D47" s="25"/>
      <x:c r="E47" s="25"/>
      <x:c r="F47" s="21"/>
      <x:c r="G47" s="21"/>
      <x:c r="H47" s="21"/>
      <x:c r="I47" s="21"/>
      <x:c r="J47" s="21"/>
      <x:c r="K47" s="21"/>
      <x:c r="L47" s="21"/>
      <x:c r="M47" s="21"/>
      <x:c r="N47" s="21"/>
    </x:row>
    <x:row r="48">
      <x:c r="A48" s="21"/>
      <x:c r="B48" s="21"/>
      <x:c r="C48" s="21"/>
      <x:c r="D48" s="25"/>
      <x:c r="E48" s="25"/>
      <x:c r="F48" s="21"/>
      <x:c r="G48" s="21"/>
      <x:c r="H48" s="21"/>
      <x:c r="I48" s="21"/>
      <x:c r="J48" s="21"/>
      <x:c r="K48" s="21"/>
      <x:c r="L48" s="21"/>
      <x:c r="M48" s="21"/>
      <x:c r="N48" s="21"/>
    </x:row>
    <x:row r="49">
      <x:c r="A49" s="21"/>
      <x:c r="B49" s="21"/>
      <x:c r="C49" s="21"/>
      <x:c r="D49" s="25"/>
      <x:c r="E49" s="25"/>
      <x:c r="F49" s="21"/>
      <x:c r="G49" s="21"/>
      <x:c r="H49" s="21"/>
      <x:c r="I49" s="21"/>
      <x:c r="J49" s="21"/>
      <x:c r="K49" s="21"/>
      <x:c r="L49" s="21"/>
      <x:c r="M49" s="21"/>
      <x:c r="N49" s="21"/>
    </x:row>
    <x:row r="50">
      <x:c r="A50" s="21"/>
      <x:c r="B50" s="21"/>
      <x:c r="C50" s="21"/>
      <x:c r="D50" s="25"/>
      <x:c r="E50" s="25"/>
      <x:c r="F50" s="21"/>
      <x:c r="G50" s="21"/>
      <x:c r="H50" s="21"/>
      <x:c r="I50" s="21"/>
      <x:c r="J50" s="21"/>
      <x:c r="K50" s="21"/>
      <x:c r="L50" s="21"/>
      <x:c r="M50" s="21"/>
      <x:c r="N50" s="21"/>
    </x:row>
    <x:row r="51">
      <x:c r="A51" s="21"/>
      <x:c r="B51" s="21"/>
      <x:c r="C51" s="21"/>
      <x:c r="D51" s="25"/>
      <x:c r="E51" s="25"/>
      <x:c r="F51" s="21"/>
      <x:c r="G51" s="21"/>
      <x:c r="H51" s="21"/>
      <x:c r="I51" s="21"/>
      <x:c r="J51" s="21"/>
      <x:c r="K51" s="21"/>
      <x:c r="L51" s="21"/>
      <x:c r="M51" s="21"/>
      <x:c r="N51" s="21"/>
    </x:row>
    <x:row r="52">
      <x:c r="A52" s="21"/>
      <x:c r="B52" s="21"/>
      <x:c r="C52" s="21"/>
      <x:c r="D52" s="25"/>
      <x:c r="E52" s="25"/>
      <x:c r="F52" s="21"/>
      <x:c r="G52" s="21"/>
      <x:c r="H52" s="21"/>
      <x:c r="I52" s="21"/>
      <x:c r="J52" s="21"/>
      <x:c r="K52" s="21"/>
      <x:c r="L52" s="21"/>
      <x:c r="M52" s="21"/>
      <x:c r="N52" s="21"/>
    </x:row>
    <x:row r="53">
      <x:c r="A53" s="21"/>
      <x:c r="B53" s="21"/>
      <x:c r="C53" s="21"/>
      <x:c r="D53" s="25"/>
      <x:c r="E53" s="25"/>
      <x:c r="F53" s="21"/>
      <x:c r="G53" s="21"/>
      <x:c r="H53" s="21"/>
      <x:c r="I53" s="21"/>
      <x:c r="J53" s="21"/>
      <x:c r="K53" s="21"/>
      <x:c r="L53" s="21"/>
      <x:c r="M53" s="21"/>
      <x:c r="N53" s="21"/>
    </x:row>
    <x:row r="54">
      <x:c r="A54" s="21"/>
      <x:c r="B54" s="21"/>
      <x:c r="C54" s="21"/>
      <x:c r="D54" s="25"/>
      <x:c r="E54" s="25"/>
      <x:c r="F54" s="21"/>
      <x:c r="G54" s="21"/>
      <x:c r="H54" s="21"/>
      <x:c r="I54" s="21"/>
      <x:c r="J54" s="21"/>
      <x:c r="K54" s="21"/>
      <x:c r="L54" s="21"/>
      <x:c r="M54" s="21"/>
      <x:c r="N54" s="21"/>
    </x:row>
    <x:row r="55">
      <x:c r="A55" s="21"/>
      <x:c r="B55" s="21"/>
      <x:c r="C55" s="21"/>
      <x:c r="D55" s="25"/>
      <x:c r="E55" s="25"/>
      <x:c r="F55" s="21"/>
      <x:c r="G55" s="21"/>
      <x:c r="H55" s="21"/>
      <x:c r="I55" s="21"/>
      <x:c r="J55" s="21"/>
      <x:c r="K55" s="21"/>
      <x:c r="L55" s="21"/>
      <x:c r="M55" s="21"/>
      <x:c r="N55" s="21"/>
    </x:row>
    <x:row r="56">
      <x:c r="A56" s="21"/>
      <x:c r="B56" s="21"/>
      <x:c r="C56" s="21"/>
      <x:c r="D56" s="25"/>
      <x:c r="E56" s="25"/>
      <x:c r="F56" s="21"/>
      <x:c r="G56" s="21"/>
      <x:c r="H56" s="21"/>
      <x:c r="I56" s="21"/>
      <x:c r="J56" s="21"/>
      <x:c r="K56" s="21"/>
      <x:c r="L56" s="21"/>
      <x:c r="M56" s="21"/>
      <x:c r="N56" s="21"/>
    </x:row>
    <x:row r="57">
      <x:c r="A57" s="21"/>
      <x:c r="B57" s="21"/>
      <x:c r="C57" s="21"/>
      <x:c r="D57" s="25"/>
      <x:c r="E57" s="25"/>
      <x:c r="F57" s="21"/>
      <x:c r="G57" s="21"/>
      <x:c r="H57" s="21"/>
      <x:c r="I57" s="21"/>
      <x:c r="J57" s="21"/>
      <x:c r="K57" s="21"/>
      <x:c r="L57" s="21"/>
      <x:c r="M57" s="21"/>
      <x:c r="N57" s="21"/>
    </x:row>
    <x:row r="58">
      <x:c r="A58" s="21"/>
      <x:c r="B58" s="21"/>
      <x:c r="C58" s="21"/>
      <x:c r="D58" s="25"/>
      <x:c r="E58" s="25"/>
      <x:c r="F58" s="21"/>
      <x:c r="G58" s="21"/>
      <x:c r="H58" s="21"/>
      <x:c r="I58" s="21"/>
      <x:c r="J58" s="21"/>
      <x:c r="K58" s="21"/>
      <x:c r="L58" s="21"/>
      <x:c r="M58" s="21"/>
      <x:c r="N58" s="21"/>
    </x:row>
    <x:row r="59">
      <x:c r="A59" s="21"/>
      <x:c r="B59" s="21"/>
      <x:c r="C59" s="21"/>
      <x:c r="D59" s="25"/>
      <x:c r="E59" s="25"/>
      <x:c r="F59" s="21"/>
      <x:c r="G59" s="21"/>
      <x:c r="H59" s="21"/>
      <x:c r="I59" s="21"/>
      <x:c r="J59" s="21"/>
      <x:c r="K59" s="21"/>
      <x:c r="L59" s="21"/>
      <x:c r="M59" s="21"/>
      <x:c r="N59" s="21"/>
    </x:row>
    <x:row r="60">
      <x:c r="A60" s="21"/>
      <x:c r="B60" s="21"/>
      <x:c r="C60" s="21"/>
      <x:c r="D60" s="25"/>
      <x:c r="E60" s="25"/>
      <x:c r="F60" s="21"/>
      <x:c r="G60" s="21"/>
      <x:c r="H60" s="21"/>
      <x:c r="I60" s="21"/>
      <x:c r="J60" s="21"/>
      <x:c r="K60" s="21"/>
      <x:c r="L60" s="21"/>
      <x:c r="M60" s="21"/>
      <x:c r="N60" s="21"/>
    </x:row>
    <x:row r="61">
      <x:c r="A61" s="21"/>
      <x:c r="B61" s="21"/>
      <x:c r="C61" s="21"/>
      <x:c r="D61" s="25"/>
      <x:c r="E61" s="25"/>
      <x:c r="F61" s="21"/>
      <x:c r="G61" s="21"/>
      <x:c r="H61" s="21"/>
      <x:c r="I61" s="21"/>
      <x:c r="J61" s="21"/>
      <x:c r="K61" s="21"/>
      <x:c r="L61" s="21"/>
      <x:c r="M61" s="21"/>
      <x:c r="N61" s="21"/>
    </x:row>
    <x:row r="62">
      <x:c r="A62" s="21"/>
      <x:c r="B62" s="21"/>
      <x:c r="C62" s="21"/>
      <x:c r="D62" s="25"/>
      <x:c r="E62" s="25"/>
      <x:c r="F62" s="21"/>
      <x:c r="G62" s="21"/>
      <x:c r="H62" s="21"/>
      <x:c r="I62" s="21"/>
      <x:c r="J62" s="21"/>
      <x:c r="K62" s="21"/>
      <x:c r="L62" s="21"/>
      <x:c r="M62" s="21"/>
      <x:c r="N62" s="21"/>
    </x:row>
    <x:row r="63">
      <x:c r="A63" s="21"/>
      <x:c r="B63" s="21"/>
      <x:c r="C63" s="21"/>
      <x:c r="D63" s="25"/>
      <x:c r="E63" s="25"/>
      <x:c r="F63" s="21"/>
      <x:c r="G63" s="21"/>
      <x:c r="H63" s="21"/>
      <x:c r="I63" s="21"/>
      <x:c r="J63" s="21"/>
      <x:c r="K63" s="21"/>
      <x:c r="L63" s="21"/>
      <x:c r="M63" s="21"/>
      <x:c r="N63" s="21"/>
    </x:row>
    <x:row r="64">
      <x:c r="A64" s="21"/>
      <x:c r="B64" s="21"/>
      <x:c r="C64" s="21"/>
      <x:c r="D64" s="25"/>
      <x:c r="E64" s="25"/>
      <x:c r="F64" s="21"/>
      <x:c r="G64" s="21"/>
      <x:c r="H64" s="21"/>
      <x:c r="I64" s="21"/>
      <x:c r="J64" s="21"/>
      <x:c r="K64" s="21"/>
      <x:c r="L64" s="21"/>
      <x:c r="M64" s="21"/>
      <x:c r="N64" s="21"/>
    </x:row>
    <x:row r="65">
      <x:c r="A65" s="21"/>
      <x:c r="B65" s="21"/>
      <x:c r="C65" s="21"/>
      <x:c r="D65" s="25"/>
      <x:c r="E65" s="25"/>
      <x:c r="F65" s="21"/>
      <x:c r="G65" s="21"/>
      <x:c r="H65" s="21"/>
      <x:c r="I65" s="21"/>
      <x:c r="J65" s="21"/>
      <x:c r="K65" s="21"/>
      <x:c r="L65" s="21"/>
      <x:c r="M65" s="21"/>
      <x:c r="N65" s="21"/>
    </x:row>
    <x:row r="66">
      <x:c r="A66" s="21"/>
      <x:c r="B66" s="21"/>
      <x:c r="C66" s="21"/>
      <x:c r="D66" s="25"/>
      <x:c r="E66" s="25"/>
      <x:c r="F66" s="21"/>
      <x:c r="G66" s="21"/>
      <x:c r="H66" s="21"/>
      <x:c r="I66" s="21"/>
      <x:c r="J66" s="21"/>
      <x:c r="K66" s="21"/>
      <x:c r="L66" s="21"/>
      <x:c r="M66" s="21"/>
      <x:c r="N66" s="21"/>
    </x:row>
    <x:row r="67">
      <x:c r="A67" s="21"/>
      <x:c r="B67" s="21"/>
      <x:c r="C67" s="21"/>
      <x:c r="D67" s="25"/>
      <x:c r="E67" s="25"/>
      <x:c r="F67" s="21"/>
      <x:c r="G67" s="21"/>
      <x:c r="H67" s="21"/>
      <x:c r="I67" s="21"/>
      <x:c r="J67" s="21"/>
      <x:c r="K67" s="21"/>
      <x:c r="L67" s="21"/>
      <x:c r="M67" s="21"/>
      <x:c r="N67" s="21"/>
    </x:row>
    <x:row r="68">
      <x:c r="A68" s="21"/>
      <x:c r="B68" s="21"/>
      <x:c r="C68" s="21"/>
      <x:c r="D68" s="25"/>
      <x:c r="E68" s="25"/>
      <x:c r="F68" s="21"/>
      <x:c r="G68" s="21"/>
      <x:c r="H68" s="21"/>
      <x:c r="I68" s="21"/>
      <x:c r="J68" s="21"/>
      <x:c r="K68" s="21"/>
      <x:c r="L68" s="21"/>
      <x:c r="M68" s="21"/>
      <x:c r="N68" s="21"/>
    </x:row>
    <x:row r="69">
      <x:c r="A69" s="21"/>
      <x:c r="B69" s="21"/>
      <x:c r="C69" s="21"/>
      <x:c r="D69" s="25"/>
      <x:c r="E69" s="25"/>
      <x:c r="F69" s="21"/>
      <x:c r="G69" s="21"/>
      <x:c r="H69" s="21"/>
      <x:c r="I69" s="21"/>
      <x:c r="J69" s="21"/>
      <x:c r="K69" s="21"/>
      <x:c r="L69" s="21"/>
      <x:c r="M69" s="21"/>
      <x:c r="N69" s="21"/>
    </x:row>
    <x:row r="70">
      <x:c r="A70" s="21"/>
      <x:c r="B70" s="21"/>
      <x:c r="C70" s="21"/>
      <x:c r="D70" s="25"/>
      <x:c r="E70" s="25"/>
      <x:c r="F70" s="21"/>
      <x:c r="G70" s="21"/>
      <x:c r="H70" s="21"/>
      <x:c r="I70" s="21"/>
      <x:c r="J70" s="21"/>
      <x:c r="K70" s="21"/>
      <x:c r="L70" s="21"/>
      <x:c r="M70" s="21"/>
      <x:c r="N70" s="21"/>
    </x:row>
    <x:row r="71">
      <x:c r="A71" s="21"/>
      <x:c r="B71" s="21"/>
      <x:c r="C71" s="21"/>
      <x:c r="D71" s="25"/>
      <x:c r="E71" s="25"/>
      <x:c r="F71" s="21"/>
      <x:c r="G71" s="21"/>
      <x:c r="H71" s="21"/>
      <x:c r="I71" s="21"/>
      <x:c r="J71" s="21"/>
      <x:c r="K71" s="21"/>
      <x:c r="L71" s="21"/>
      <x:c r="M71" s="21"/>
      <x:c r="N71" s="21"/>
    </x:row>
    <x:row r="72">
      <x:c r="A72" s="21"/>
      <x:c r="B72" s="21"/>
      <x:c r="C72" s="21"/>
      <x:c r="D72" s="25"/>
      <x:c r="E72" s="25"/>
      <x:c r="F72" s="21"/>
      <x:c r="G72" s="21"/>
      <x:c r="H72" s="21"/>
      <x:c r="I72" s="21"/>
      <x:c r="J72" s="21"/>
      <x:c r="K72" s="21"/>
      <x:c r="L72" s="21"/>
      <x:c r="M72" s="21"/>
      <x:c r="N72" s="21"/>
    </x:row>
    <x:row r="73">
      <x:c r="A73" s="21"/>
      <x:c r="B73" s="21"/>
      <x:c r="C73" s="21"/>
      <x:c r="D73" s="25"/>
      <x:c r="E73" s="25"/>
      <x:c r="F73" s="21"/>
      <x:c r="G73" s="21"/>
      <x:c r="H73" s="21"/>
      <x:c r="I73" s="21"/>
      <x:c r="J73" s="21"/>
      <x:c r="K73" s="21"/>
      <x:c r="L73" s="21"/>
      <x:c r="M73" s="21"/>
      <x:c r="N73" s="21"/>
    </x:row>
    <x:row r="74">
      <x:c r="A74" s="21"/>
      <x:c r="B74" s="21"/>
      <x:c r="C74" s="21"/>
      <x:c r="D74" s="25"/>
      <x:c r="E74" s="25"/>
      <x:c r="F74" s="21"/>
      <x:c r="G74" s="21"/>
      <x:c r="H74" s="21"/>
      <x:c r="I74" s="21"/>
      <x:c r="J74" s="21"/>
      <x:c r="K74" s="21"/>
      <x:c r="L74" s="21"/>
      <x:c r="M74" s="21"/>
      <x:c r="N74" s="21"/>
    </x:row>
    <x:row r="75">
      <x:c r="A75" s="21"/>
      <x:c r="B75" s="21"/>
      <x:c r="C75" s="21"/>
      <x:c r="D75" s="25"/>
      <x:c r="E75" s="25"/>
      <x:c r="F75" s="21"/>
      <x:c r="G75" s="21"/>
      <x:c r="H75" s="21"/>
      <x:c r="I75" s="21"/>
      <x:c r="J75" s="21"/>
      <x:c r="K75" s="21"/>
      <x:c r="L75" s="21"/>
      <x:c r="M75" s="21"/>
      <x:c r="N75" s="21"/>
    </x:row>
    <x:row r="76">
      <x:c r="A76" s="21"/>
      <x:c r="B76" s="21"/>
      <x:c r="C76" s="21"/>
      <x:c r="D76" s="25"/>
      <x:c r="E76" s="25"/>
      <x:c r="F76" s="21"/>
      <x:c r="G76" s="21"/>
      <x:c r="H76" s="21"/>
      <x:c r="I76" s="21"/>
      <x:c r="J76" s="21"/>
      <x:c r="K76" s="21"/>
      <x:c r="L76" s="21"/>
      <x:c r="M76" s="21"/>
      <x:c r="N76" s="21"/>
    </x:row>
    <x:row r="77">
      <x:c r="A77" s="21"/>
      <x:c r="B77" s="21"/>
      <x:c r="C77" s="21"/>
      <x:c r="D77" s="25"/>
      <x:c r="E77" s="25"/>
      <x:c r="F77" s="21"/>
      <x:c r="G77" s="21"/>
      <x:c r="H77" s="21"/>
      <x:c r="I77" s="21"/>
      <x:c r="J77" s="21"/>
      <x:c r="K77" s="21"/>
      <x:c r="L77" s="21"/>
      <x:c r="M77" s="21"/>
      <x:c r="N77" s="21"/>
    </x:row>
    <x:row r="78">
      <x:c r="A78" s="21"/>
      <x:c r="B78" s="21"/>
      <x:c r="C78" s="21"/>
      <x:c r="D78" s="25"/>
      <x:c r="E78" s="25"/>
      <x:c r="F78" s="21"/>
      <x:c r="G78" s="21"/>
      <x:c r="H78" s="21"/>
      <x:c r="I78" s="21"/>
      <x:c r="J78" s="21"/>
      <x:c r="K78" s="21"/>
      <x:c r="L78" s="21"/>
      <x:c r="M78" s="21"/>
      <x:c r="N78" s="21"/>
    </x:row>
    <x:row r="79">
      <x:c r="A79" s="21"/>
      <x:c r="B79" s="21"/>
      <x:c r="C79" s="21"/>
      <x:c r="D79" s="25"/>
      <x:c r="E79" s="25"/>
      <x:c r="F79" s="21"/>
      <x:c r="G79" s="21"/>
      <x:c r="H79" s="21"/>
      <x:c r="I79" s="21"/>
      <x:c r="J79" s="21"/>
      <x:c r="K79" s="21"/>
      <x:c r="L79" s="21"/>
      <x:c r="M79" s="21"/>
      <x:c r="N79" s="21"/>
    </x:row>
    <x:row r="80">
      <x:c r="A80" s="21"/>
      <x:c r="B80" s="21"/>
      <x:c r="C80" s="21"/>
      <x:c r="D80" s="25"/>
      <x:c r="E80" s="25"/>
      <x:c r="F80" s="21"/>
      <x:c r="G80" s="21"/>
      <x:c r="H80" s="21"/>
      <x:c r="I80" s="21"/>
      <x:c r="J80" s="21"/>
      <x:c r="K80" s="21"/>
      <x:c r="L80" s="21"/>
      <x:c r="M80" s="21"/>
      <x:c r="N80" s="21"/>
    </x:row>
    <x:row r="81">
      <x:c r="A81" s="21"/>
      <x:c r="B81" s="21"/>
      <x:c r="C81" s="21"/>
      <x:c r="D81" s="25"/>
      <x:c r="E81" s="25"/>
      <x:c r="F81" s="21"/>
      <x:c r="G81" s="21"/>
      <x:c r="H81" s="21"/>
      <x:c r="I81" s="21"/>
      <x:c r="J81" s="21"/>
      <x:c r="K81" s="21"/>
      <x:c r="L81" s="21"/>
      <x:c r="M81" s="21"/>
      <x:c r="N81" s="21"/>
    </x:row>
    <x:row r="82">
      <x:c r="A82" s="21"/>
      <x:c r="B82" s="21"/>
      <x:c r="C82" s="21"/>
      <x:c r="D82" s="25"/>
      <x:c r="E82" s="25"/>
      <x:c r="F82" s="21"/>
      <x:c r="G82" s="21"/>
      <x:c r="H82" s="21"/>
      <x:c r="I82" s="21"/>
      <x:c r="J82" s="21"/>
      <x:c r="K82" s="21"/>
      <x:c r="L82" s="21"/>
      <x:c r="M82" s="21"/>
      <x:c r="N82" s="21"/>
    </x:row>
    <x:row r="83">
      <x:c r="A83" s="21"/>
      <x:c r="B83" s="21"/>
      <x:c r="C83" s="21"/>
      <x:c r="D83" s="25"/>
      <x:c r="E83" s="25"/>
      <x:c r="F83" s="21"/>
      <x:c r="G83" s="21"/>
      <x:c r="H83" s="21"/>
      <x:c r="I83" s="21"/>
      <x:c r="J83" s="21"/>
      <x:c r="K83" s="21"/>
      <x:c r="L83" s="21"/>
      <x:c r="M83" s="21"/>
      <x:c r="N83" s="21"/>
    </x:row>
    <x:row r="84">
      <x:c r="A84" s="21"/>
      <x:c r="B84" s="21"/>
      <x:c r="C84" s="21"/>
      <x:c r="D84" s="25"/>
      <x:c r="E84" s="25"/>
      <x:c r="F84" s="21"/>
      <x:c r="G84" s="21"/>
      <x:c r="H84" s="21"/>
      <x:c r="I84" s="21"/>
      <x:c r="J84" s="21"/>
      <x:c r="K84" s="21"/>
      <x:c r="L84" s="21"/>
      <x:c r="M84" s="21"/>
      <x:c r="N84" s="21"/>
    </x:row>
    <x:row r="85">
      <x:c r="A85" s="21"/>
      <x:c r="B85" s="21"/>
      <x:c r="C85" s="21"/>
      <x:c r="D85" s="25"/>
      <x:c r="E85" s="25"/>
      <x:c r="F85" s="21"/>
      <x:c r="G85" s="21"/>
      <x:c r="H85" s="21"/>
      <x:c r="I85" s="21"/>
      <x:c r="J85" s="21"/>
      <x:c r="K85" s="21"/>
      <x:c r="L85" s="21"/>
      <x:c r="M85" s="21"/>
      <x:c r="N85" s="21"/>
    </x:row>
    <x:row r="86">
      <x:c r="A86" s="21"/>
      <x:c r="B86" s="21"/>
      <x:c r="C86" s="21"/>
      <x:c r="D86" s="25"/>
      <x:c r="E86" s="25"/>
      <x:c r="F86" s="21"/>
      <x:c r="G86" s="21"/>
      <x:c r="H86" s="21"/>
      <x:c r="I86" s="21"/>
      <x:c r="J86" s="21"/>
      <x:c r="K86" s="21"/>
      <x:c r="L86" s="21"/>
      <x:c r="M86" s="21"/>
      <x:c r="N86" s="21"/>
    </x:row>
    <x:row r="87">
      <x:c r="A87" s="21"/>
      <x:c r="B87" s="21"/>
      <x:c r="C87" s="21"/>
      <x:c r="D87" s="25"/>
      <x:c r="E87" s="25"/>
      <x:c r="F87" s="21"/>
      <x:c r="G87" s="21"/>
      <x:c r="H87" s="21"/>
      <x:c r="I87" s="21"/>
      <x:c r="J87" s="21"/>
      <x:c r="K87" s="21"/>
      <x:c r="L87" s="21"/>
      <x:c r="M87" s="21"/>
      <x:c r="N87" s="21"/>
    </x:row>
    <x:row r="88">
      <x:c r="A88" s="21"/>
      <x:c r="B88" s="21"/>
      <x:c r="C88" s="21"/>
      <x:c r="D88" s="25"/>
      <x:c r="E88" s="25"/>
      <x:c r="F88" s="21"/>
      <x:c r="G88" s="21"/>
      <x:c r="H88" s="21"/>
      <x:c r="I88" s="21"/>
      <x:c r="J88" s="21"/>
      <x:c r="K88" s="21"/>
      <x:c r="L88" s="21"/>
      <x:c r="M88" s="21"/>
      <x:c r="N88" s="21"/>
    </x:row>
    <x:row r="89">
      <x:c r="A89" s="21"/>
      <x:c r="B89" s="21"/>
      <x:c r="C89" s="21"/>
      <x:c r="D89" s="25"/>
      <x:c r="E89" s="25"/>
      <x:c r="F89" s="21"/>
      <x:c r="G89" s="21"/>
      <x:c r="H89" s="21"/>
      <x:c r="I89" s="21"/>
      <x:c r="J89" s="21"/>
      <x:c r="K89" s="21"/>
      <x:c r="L89" s="21"/>
      <x:c r="M89" s="21"/>
      <x:c r="N89" s="21"/>
    </x:row>
    <x:row r="90">
      <x:c r="A90" s="21"/>
      <x:c r="B90" s="21"/>
      <x:c r="C90" s="21"/>
      <x:c r="D90" s="25"/>
      <x:c r="E90" s="25"/>
      <x:c r="F90" s="21"/>
      <x:c r="G90" s="21"/>
      <x:c r="H90" s="21"/>
      <x:c r="I90" s="21"/>
      <x:c r="J90" s="21"/>
      <x:c r="K90" s="21"/>
      <x:c r="L90" s="21"/>
      <x:c r="M90" s="21"/>
      <x:c r="N90" s="21"/>
    </x:row>
    <x:row r="91">
      <x:c r="A91" s="21"/>
      <x:c r="B91" s="21"/>
      <x:c r="C91" s="21"/>
      <x:c r="D91" s="25"/>
      <x:c r="E91" s="25"/>
      <x:c r="F91" s="21"/>
      <x:c r="G91" s="21"/>
      <x:c r="H91" s="21"/>
      <x:c r="I91" s="21"/>
      <x:c r="J91" s="21"/>
      <x:c r="K91" s="21"/>
      <x:c r="L91" s="21"/>
      <x:c r="M91" s="21"/>
      <x:c r="N91" s="21"/>
    </x:row>
    <x:row r="92">
      <x:c r="A92" s="21"/>
      <x:c r="B92" s="21"/>
      <x:c r="C92" s="21"/>
      <x:c r="D92" s="25"/>
      <x:c r="E92" s="25"/>
      <x:c r="F92" s="21"/>
      <x:c r="G92" s="21"/>
      <x:c r="H92" s="21"/>
      <x:c r="I92" s="21"/>
      <x:c r="J92" s="21"/>
      <x:c r="K92" s="21"/>
      <x:c r="L92" s="21"/>
      <x:c r="M92" s="21"/>
      <x:c r="N92" s="21"/>
    </x:row>
    <x:row r="93">
      <x:c r="A93" s="21"/>
      <x:c r="B93" s="21"/>
      <x:c r="C93" s="21"/>
      <x:c r="D93" s="25"/>
      <x:c r="E93" s="25"/>
      <x:c r="F93" s="21"/>
      <x:c r="G93" s="21"/>
      <x:c r="H93" s="21"/>
      <x:c r="I93" s="21"/>
      <x:c r="J93" s="21"/>
      <x:c r="K93" s="21"/>
      <x:c r="L93" s="21"/>
      <x:c r="M93" s="21"/>
      <x:c r="N93" s="21"/>
    </x:row>
    <x:row r="94">
      <x:c r="A94" s="21"/>
      <x:c r="B94" s="21"/>
      <x:c r="C94" s="21"/>
      <x:c r="D94" s="25"/>
      <x:c r="E94" s="25"/>
      <x:c r="F94" s="21"/>
      <x:c r="G94" s="21"/>
      <x:c r="H94" s="21"/>
      <x:c r="I94" s="21"/>
      <x:c r="J94" s="21"/>
      <x:c r="K94" s="21"/>
      <x:c r="L94" s="21"/>
      <x:c r="M94" s="21"/>
      <x:c r="N94" s="21"/>
    </x:row>
    <x:row r="95">
      <x:c r="A95" s="21"/>
      <x:c r="B95" s="21"/>
      <x:c r="C95" s="21"/>
      <x:c r="D95" s="25"/>
      <x:c r="E95" s="25"/>
      <x:c r="F95" s="21"/>
      <x:c r="G95" s="21"/>
      <x:c r="H95" s="21"/>
      <x:c r="I95" s="21"/>
      <x:c r="J95" s="21"/>
      <x:c r="K95" s="21"/>
      <x:c r="L95" s="21"/>
      <x:c r="M95" s="21"/>
      <x:c r="N95" s="21"/>
    </x:row>
    <x:row r="96">
      <x:c r="A96" s="21"/>
      <x:c r="B96" s="21"/>
      <x:c r="C96" s="21"/>
      <x:c r="D96" s="25"/>
      <x:c r="E96" s="25"/>
      <x:c r="F96" s="21"/>
      <x:c r="G96" s="21"/>
      <x:c r="H96" s="21"/>
      <x:c r="I96" s="21"/>
      <x:c r="J96" s="21"/>
      <x:c r="K96" s="21"/>
      <x:c r="L96" s="21"/>
      <x:c r="M96" s="21"/>
      <x:c r="N96" s="21"/>
    </x:row>
    <x:row r="97">
      <x:c r="A97" s="21"/>
      <x:c r="B97" s="21"/>
      <x:c r="C97" s="21"/>
      <x:c r="D97" s="25"/>
      <x:c r="E97" s="25"/>
      <x:c r="F97" s="21"/>
      <x:c r="G97" s="21"/>
      <x:c r="H97" s="21"/>
      <x:c r="I97" s="21"/>
      <x:c r="J97" s="21"/>
      <x:c r="K97" s="21"/>
      <x:c r="L97" s="21"/>
      <x:c r="M97" s="21"/>
      <x:c r="N97" s="21"/>
    </x:row>
    <x:row r="98">
      <x:c r="A98" s="21"/>
      <x:c r="B98" s="21"/>
      <x:c r="C98" s="21"/>
      <x:c r="D98" s="25"/>
      <x:c r="E98" s="25"/>
      <x:c r="F98" s="21"/>
      <x:c r="G98" s="21"/>
      <x:c r="H98" s="21"/>
      <x:c r="I98" s="21"/>
      <x:c r="J98" s="21"/>
      <x:c r="K98" s="21"/>
      <x:c r="L98" s="21"/>
      <x:c r="M98" s="21"/>
      <x:c r="N98" s="21"/>
    </x:row>
    <x:row r="99">
      <x:c r="A99" s="21"/>
      <x:c r="B99" s="21"/>
      <x:c r="C99" s="21"/>
      <x:c r="D99" s="25"/>
      <x:c r="E99" s="25"/>
      <x:c r="F99" s="21"/>
      <x:c r="G99" s="21"/>
      <x:c r="H99" s="21"/>
      <x:c r="I99" s="21"/>
      <x:c r="J99" s="21"/>
      <x:c r="K99" s="21"/>
      <x:c r="L99" s="21"/>
      <x:c r="M99" s="21"/>
      <x:c r="N99" s="21"/>
    </x:row>
    <x:row r="100">
      <x:c r="A100" s="21"/>
      <x:c r="B100" s="21"/>
      <x:c r="C100" s="21"/>
      <x:c r="D100" s="25"/>
      <x:c r="E100" s="25"/>
      <x:c r="F100" s="21"/>
      <x:c r="G100" s="21"/>
      <x:c r="H100" s="21"/>
      <x:c r="I100" s="21"/>
      <x:c r="J100" s="21"/>
      <x:c r="K100" s="21"/>
      <x:c r="L100" s="21"/>
      <x:c r="M100" s="21"/>
      <x:c r="N100" s="21"/>
    </x:row>
    <x:row r="101">
      <x:c r="A101" s="21"/>
      <x:c r="B101" s="21"/>
      <x:c r="C101" s="21"/>
      <x:c r="D101" s="25"/>
      <x:c r="E101" s="25"/>
      <x:c r="F101" s="21"/>
      <x:c r="G101" s="21"/>
      <x:c r="H101" s="21"/>
      <x:c r="I101" s="21"/>
      <x:c r="J101" s="21"/>
      <x:c r="K101" s="21"/>
      <x:c r="L101" s="21"/>
      <x:c r="M101" s="21"/>
      <x:c r="N101" s="21"/>
    </x:row>
    <x:row r="102">
      <x:c r="A102" s="21"/>
      <x:c r="B102" s="21"/>
      <x:c r="C102" s="21"/>
      <x:c r="D102" s="25"/>
      <x:c r="E102" s="25"/>
      <x:c r="F102" s="21"/>
      <x:c r="G102" s="21"/>
      <x:c r="H102" s="21"/>
      <x:c r="I102" s="21"/>
      <x:c r="J102" s="21"/>
      <x:c r="K102" s="21"/>
      <x:c r="L102" s="21"/>
      <x:c r="M102" s="21"/>
      <x:c r="N102" s="21"/>
    </x:row>
    <x:row r="103">
      <x:c r="A103" s="21"/>
      <x:c r="B103" s="21"/>
      <x:c r="C103" s="21"/>
      <x:c r="D103" s="25"/>
      <x:c r="E103" s="25"/>
      <x:c r="F103" s="21"/>
      <x:c r="G103" s="21"/>
      <x:c r="H103" s="21"/>
      <x:c r="I103" s="21"/>
      <x:c r="J103" s="21"/>
      <x:c r="K103" s="21"/>
      <x:c r="L103" s="21"/>
      <x:c r="M103" s="21"/>
      <x:c r="N103" s="21"/>
    </x:row>
    <x:row r="104">
      <x:c r="A104" s="21"/>
      <x:c r="B104" s="21"/>
      <x:c r="C104" s="21"/>
      <x:c r="D104" s="25"/>
      <x:c r="E104" s="25"/>
      <x:c r="F104" s="21"/>
      <x:c r="G104" s="21"/>
      <x:c r="H104" s="21"/>
      <x:c r="I104" s="21"/>
      <x:c r="J104" s="21"/>
      <x:c r="K104" s="21"/>
      <x:c r="L104" s="21"/>
      <x:c r="M104" s="21"/>
      <x:c r="N104" s="21"/>
    </x:row>
    <x:row r="105">
      <x:c r="A105" s="21"/>
      <x:c r="B105" s="21"/>
      <x:c r="C105" s="21"/>
      <x:c r="D105" s="25"/>
      <x:c r="E105" s="25"/>
      <x:c r="F105" s="21"/>
      <x:c r="G105" s="21"/>
      <x:c r="H105" s="21"/>
      <x:c r="I105" s="21"/>
      <x:c r="J105" s="21"/>
      <x:c r="K105" s="21"/>
      <x:c r="L105" s="21"/>
      <x:c r="M105" s="21"/>
      <x:c r="N105" s="21"/>
    </x:row>
    <x:row r="106">
      <x:c r="A106" s="21"/>
      <x:c r="B106" s="21"/>
      <x:c r="C106" s="21"/>
      <x:c r="D106" s="25"/>
      <x:c r="E106" s="25"/>
      <x:c r="F106" s="21"/>
      <x:c r="G106" s="21"/>
      <x:c r="H106" s="21"/>
      <x:c r="I106" s="21"/>
      <x:c r="J106" s="21"/>
      <x:c r="K106" s="21"/>
      <x:c r="L106" s="21"/>
      <x:c r="M106" s="21"/>
      <x:c r="N106" s="21"/>
    </x:row>
    <x:row r="107">
      <x:c r="A107" s="21"/>
      <x:c r="B107" s="21"/>
      <x:c r="C107" s="21"/>
      <x:c r="D107" s="25"/>
      <x:c r="E107" s="25"/>
      <x:c r="F107" s="21"/>
      <x:c r="G107" s="21"/>
      <x:c r="H107" s="21"/>
      <x:c r="I107" s="21"/>
      <x:c r="J107" s="21"/>
      <x:c r="K107" s="21"/>
      <x:c r="L107" s="21"/>
      <x:c r="M107" s="21"/>
      <x:c r="N107" s="21"/>
    </x:row>
    <x:row r="108">
      <x:c r="A108" s="21"/>
      <x:c r="B108" s="21"/>
      <x:c r="C108" s="21"/>
      <x:c r="D108" s="25"/>
      <x:c r="E108" s="25"/>
      <x:c r="F108" s="21"/>
      <x:c r="G108" s="21"/>
      <x:c r="H108" s="21"/>
      <x:c r="I108" s="21"/>
      <x:c r="J108" s="21"/>
      <x:c r="K108" s="21"/>
      <x:c r="L108" s="21"/>
      <x:c r="M108" s="21"/>
      <x:c r="N108" s="21"/>
    </x:row>
    <x:row r="109">
      <x:c r="A109" s="21"/>
      <x:c r="B109" s="21"/>
      <x:c r="C109" s="21"/>
      <x:c r="D109" s="25"/>
      <x:c r="E109" s="25"/>
      <x:c r="F109" s="21"/>
      <x:c r="G109" s="21"/>
      <x:c r="H109" s="21"/>
      <x:c r="I109" s="21"/>
      <x:c r="J109" s="21"/>
      <x:c r="K109" s="21"/>
      <x:c r="L109" s="21"/>
      <x:c r="M109" s="21"/>
      <x:c r="N109" s="21"/>
    </x:row>
    <x:row r="110">
      <x:c r="A110" s="21"/>
      <x:c r="B110" s="21"/>
      <x:c r="C110" s="21"/>
      <x:c r="D110" s="25"/>
      <x:c r="E110" s="25"/>
      <x:c r="F110" s="21"/>
      <x:c r="G110" s="21"/>
      <x:c r="H110" s="21"/>
      <x:c r="I110" s="21"/>
      <x:c r="J110" s="21"/>
      <x:c r="K110" s="21"/>
      <x:c r="L110" s="21"/>
      <x:c r="M110" s="21"/>
      <x:c r="N110" s="21"/>
    </x:row>
    <x:row r="111">
      <x:c r="A111" s="21"/>
      <x:c r="B111" s="21"/>
      <x:c r="C111" s="21"/>
      <x:c r="D111" s="25"/>
      <x:c r="E111" s="25"/>
      <x:c r="F111" s="21"/>
      <x:c r="G111" s="21"/>
      <x:c r="H111" s="21"/>
      <x:c r="I111" s="21"/>
      <x:c r="J111" s="21"/>
      <x:c r="K111" s="21"/>
      <x:c r="L111" s="21"/>
      <x:c r="M111" s="21"/>
      <x:c r="N111" s="21"/>
    </x:row>
    <x:row r="112">
      <x:c r="A112" s="21"/>
      <x:c r="B112" s="21"/>
      <x:c r="C112" s="21"/>
      <x:c r="D112" s="25"/>
      <x:c r="E112" s="25"/>
      <x:c r="F112" s="21"/>
      <x:c r="G112" s="21"/>
      <x:c r="H112" s="21"/>
      <x:c r="I112" s="21"/>
      <x:c r="J112" s="21"/>
      <x:c r="K112" s="21"/>
      <x:c r="L112" s="21"/>
      <x:c r="M112" s="21"/>
      <x:c r="N112" s="21"/>
    </x:row>
    <x:row r="113">
      <x:c r="A113" s="21"/>
      <x:c r="B113" s="21"/>
      <x:c r="C113" s="21"/>
      <x:c r="D113" s="25"/>
      <x:c r="E113" s="25"/>
      <x:c r="F113" s="21"/>
      <x:c r="G113" s="21"/>
      <x:c r="H113" s="21"/>
      <x:c r="I113" s="21"/>
      <x:c r="J113" s="21"/>
      <x:c r="K113" s="21"/>
      <x:c r="L113" s="21"/>
      <x:c r="M113" s="21"/>
      <x:c r="N113" s="21"/>
    </x:row>
    <x:row r="114">
      <x:c r="A114" s="21"/>
      <x:c r="B114" s="21"/>
      <x:c r="C114" s="21"/>
      <x:c r="D114" s="25"/>
      <x:c r="E114" s="25"/>
      <x:c r="F114" s="21"/>
      <x:c r="G114" s="21"/>
      <x:c r="H114" s="21"/>
      <x:c r="I114" s="21"/>
      <x:c r="J114" s="21"/>
      <x:c r="K114" s="21"/>
      <x:c r="L114" s="21"/>
      <x:c r="M114" s="21"/>
      <x:c r="N114" s="21"/>
    </x:row>
    <x:row r="115">
      <x:c r="A115" s="21"/>
      <x:c r="B115" s="21"/>
      <x:c r="C115" s="21"/>
      <x:c r="D115" s="25"/>
      <x:c r="E115" s="25"/>
      <x:c r="F115" s="21"/>
      <x:c r="G115" s="21"/>
      <x:c r="H115" s="21"/>
      <x:c r="I115" s="21"/>
      <x:c r="J115" s="21"/>
      <x:c r="K115" s="21"/>
      <x:c r="L115" s="21"/>
      <x:c r="M115" s="21"/>
      <x:c r="N115" s="21"/>
    </x:row>
    <x:row r="116">
      <x:c r="A116" s="21"/>
      <x:c r="B116" s="21"/>
      <x:c r="C116" s="21"/>
      <x:c r="D116" s="25"/>
      <x:c r="E116" s="25"/>
      <x:c r="F116" s="21"/>
      <x:c r="G116" s="21"/>
      <x:c r="H116" s="21"/>
      <x:c r="I116" s="21"/>
      <x:c r="J116" s="21"/>
      <x:c r="K116" s="21"/>
      <x:c r="L116" s="21"/>
      <x:c r="M116" s="21"/>
      <x:c r="N116" s="21"/>
    </x:row>
    <x:row r="117">
      <x:c r="A117" s="21"/>
      <x:c r="B117" s="21"/>
      <x:c r="C117" s="21"/>
      <x:c r="D117" s="25"/>
      <x:c r="E117" s="25"/>
      <x:c r="F117" s="21"/>
      <x:c r="G117" s="21"/>
      <x:c r="H117" s="21"/>
      <x:c r="I117" s="21"/>
      <x:c r="J117" s="21"/>
      <x:c r="K117" s="21"/>
      <x:c r="L117" s="21"/>
      <x:c r="M117" s="21"/>
      <x:c r="N117" s="21"/>
    </x:row>
    <x:row r="118">
      <x:c r="A118" s="21"/>
      <x:c r="B118" s="21"/>
      <x:c r="C118" s="21"/>
      <x:c r="D118" s="25"/>
      <x:c r="E118" s="25"/>
      <x:c r="F118" s="21"/>
      <x:c r="G118" s="21"/>
      <x:c r="H118" s="21"/>
      <x:c r="I118" s="21"/>
      <x:c r="J118" s="21"/>
      <x:c r="K118" s="21"/>
      <x:c r="L118" s="21"/>
      <x:c r="M118" s="21"/>
      <x:c r="N118" s="21"/>
    </x:row>
    <x:row r="119">
      <x:c r="A119" s="21"/>
      <x:c r="B119" s="21"/>
      <x:c r="C119" s="21"/>
      <x:c r="D119" s="25"/>
      <x:c r="E119" s="25"/>
      <x:c r="F119" s="21"/>
      <x:c r="G119" s="21"/>
      <x:c r="H119" s="21"/>
      <x:c r="I119" s="21"/>
      <x:c r="J119" s="21"/>
      <x:c r="K119" s="21"/>
      <x:c r="L119" s="21"/>
      <x:c r="M119" s="21"/>
      <x:c r="N119" s="21"/>
    </x:row>
    <x:row r="120">
      <x:c r="A120" s="21"/>
      <x:c r="B120" s="21"/>
      <x:c r="C120" s="21"/>
      <x:c r="D120" s="25"/>
      <x:c r="E120" s="25"/>
      <x:c r="F120" s="21"/>
      <x:c r="G120" s="21"/>
      <x:c r="H120" s="21"/>
      <x:c r="I120" s="21"/>
      <x:c r="J120" s="21"/>
      <x:c r="K120" s="21"/>
      <x:c r="L120" s="21"/>
      <x:c r="M120" s="21"/>
      <x:c r="N120" s="21"/>
    </x:row>
    <x:row r="121">
      <x:c r="A121" s="21"/>
      <x:c r="B121" s="21"/>
      <x:c r="C121" s="21"/>
      <x:c r="D121" s="25"/>
      <x:c r="E121" s="25"/>
      <x:c r="F121" s="21"/>
      <x:c r="G121" s="21"/>
      <x:c r="H121" s="21"/>
      <x:c r="I121" s="21"/>
      <x:c r="J121" s="21"/>
      <x:c r="K121" s="21"/>
      <x:c r="L121" s="21"/>
      <x:c r="M121" s="21"/>
      <x:c r="N121" s="21"/>
    </x:row>
    <x:row r="122">
      <x:c r="A122" s="21"/>
      <x:c r="B122" s="21"/>
      <x:c r="C122" s="21"/>
      <x:c r="D122" s="25"/>
      <x:c r="E122" s="25"/>
      <x:c r="F122" s="21"/>
      <x:c r="G122" s="21"/>
      <x:c r="H122" s="21"/>
      <x:c r="I122" s="21"/>
      <x:c r="J122" s="21"/>
      <x:c r="K122" s="21"/>
      <x:c r="L122" s="21"/>
      <x:c r="M122" s="21"/>
      <x:c r="N122" s="21"/>
    </x:row>
    <x:row r="123">
      <x:c r="A123" s="21"/>
      <x:c r="B123" s="21"/>
      <x:c r="C123" s="21"/>
      <x:c r="D123" s="25"/>
      <x:c r="E123" s="25"/>
      <x:c r="F123" s="21"/>
      <x:c r="G123" s="21"/>
      <x:c r="H123" s="21"/>
      <x:c r="I123" s="21"/>
      <x:c r="J123" s="21"/>
      <x:c r="K123" s="21"/>
      <x:c r="L123" s="21"/>
      <x:c r="M123" s="21"/>
      <x:c r="N123" s="21"/>
    </x:row>
    <x:row r="124">
      <x:c r="A124" s="21"/>
      <x:c r="B124" s="21"/>
      <x:c r="C124" s="21"/>
      <x:c r="D124" s="25"/>
      <x:c r="E124" s="25"/>
      <x:c r="F124" s="21"/>
      <x:c r="G124" s="21"/>
      <x:c r="H124" s="21"/>
      <x:c r="I124" s="21"/>
      <x:c r="J124" s="21"/>
      <x:c r="K124" s="21"/>
      <x:c r="L124" s="21"/>
      <x:c r="M124" s="21"/>
      <x:c r="N124" s="21"/>
    </x:row>
    <x:row r="125">
      <x:c r="A125" s="21"/>
      <x:c r="B125" s="21"/>
      <x:c r="C125" s="21"/>
      <x:c r="D125" s="25"/>
      <x:c r="E125" s="25"/>
      <x:c r="F125" s="21"/>
      <x:c r="G125" s="21"/>
      <x:c r="H125" s="21"/>
      <x:c r="I125" s="21"/>
      <x:c r="J125" s="21"/>
      <x:c r="K125" s="21"/>
      <x:c r="L125" s="21"/>
      <x:c r="M125" s="21"/>
      <x:c r="N125" s="21"/>
    </x:row>
    <x:row r="126">
      <x:c r="A126" s="21"/>
      <x:c r="B126" s="21"/>
      <x:c r="C126" s="21"/>
      <x:c r="D126" s="25"/>
      <x:c r="E126" s="25"/>
      <x:c r="F126" s="21"/>
      <x:c r="G126" s="21"/>
      <x:c r="H126" s="21"/>
      <x:c r="I126" s="21"/>
      <x:c r="J126" s="21"/>
      <x:c r="K126" s="21"/>
      <x:c r="L126" s="21"/>
      <x:c r="M126" s="21"/>
      <x:c r="N126" s="21"/>
    </x:row>
    <x:row r="127">
      <x:c r="A127" s="21"/>
      <x:c r="B127" s="21"/>
      <x:c r="C127" s="21"/>
      <x:c r="D127" s="25"/>
      <x:c r="E127" s="25"/>
      <x:c r="F127" s="21"/>
      <x:c r="G127" s="21"/>
      <x:c r="H127" s="21"/>
      <x:c r="I127" s="21"/>
      <x:c r="J127" s="21"/>
      <x:c r="K127" s="21"/>
      <x:c r="L127" s="21"/>
      <x:c r="M127" s="21"/>
      <x:c r="N127" s="21"/>
    </x:row>
    <x:row r="128">
      <x:c r="A128" s="21"/>
      <x:c r="B128" s="21"/>
      <x:c r="C128" s="21"/>
      <x:c r="D128" s="25"/>
      <x:c r="E128" s="25"/>
      <x:c r="F128" s="21"/>
      <x:c r="G128" s="21"/>
      <x:c r="H128" s="21"/>
      <x:c r="I128" s="21"/>
      <x:c r="J128" s="21"/>
      <x:c r="K128" s="21"/>
      <x:c r="L128" s="21"/>
      <x:c r="M128" s="21"/>
      <x:c r="N128" s="21"/>
    </x:row>
    <x:row r="129">
      <x:c r="A129" s="21"/>
      <x:c r="B129" s="21"/>
      <x:c r="C129" s="21"/>
      <x:c r="D129" s="25"/>
      <x:c r="E129" s="25"/>
      <x:c r="F129" s="21"/>
      <x:c r="G129" s="21"/>
      <x:c r="H129" s="21"/>
      <x:c r="I129" s="21"/>
      <x:c r="J129" s="21"/>
      <x:c r="K129" s="21"/>
      <x:c r="L129" s="21"/>
      <x:c r="M129" s="21"/>
      <x:c r="N129" s="21"/>
    </x:row>
    <x:row r="130">
      <x:c r="A130" s="21"/>
      <x:c r="B130" s="21"/>
      <x:c r="C130" s="21"/>
      <x:c r="D130" s="25"/>
      <x:c r="E130" s="25"/>
      <x:c r="F130" s="21"/>
      <x:c r="G130" s="21"/>
      <x:c r="H130" s="21"/>
      <x:c r="I130" s="21"/>
      <x:c r="J130" s="21"/>
      <x:c r="K130" s="21"/>
      <x:c r="L130" s="21"/>
      <x:c r="M130" s="21"/>
      <x:c r="N130" s="21"/>
    </x:row>
    <x:row r="131">
      <x:c r="A131" s="21"/>
      <x:c r="B131" s="21"/>
      <x:c r="C131" s="21"/>
      <x:c r="D131" s="25"/>
      <x:c r="E131" s="25"/>
      <x:c r="F131" s="21"/>
      <x:c r="G131" s="21"/>
      <x:c r="H131" s="21"/>
      <x:c r="I131" s="21"/>
      <x:c r="J131" s="21"/>
      <x:c r="K131" s="21"/>
      <x:c r="L131" s="21"/>
      <x:c r="M131" s="21"/>
      <x:c r="N131" s="21"/>
    </x:row>
    <x:row r="132">
      <x:c r="A132" s="21"/>
      <x:c r="B132" s="21"/>
      <x:c r="C132" s="21"/>
      <x:c r="D132" s="25"/>
      <x:c r="E132" s="25"/>
      <x:c r="F132" s="21"/>
      <x:c r="G132" s="21"/>
      <x:c r="H132" s="21"/>
      <x:c r="I132" s="21"/>
      <x:c r="J132" s="21"/>
      <x:c r="K132" s="21"/>
      <x:c r="L132" s="21"/>
      <x:c r="M132" s="21"/>
      <x:c r="N132" s="21"/>
    </x:row>
    <x:row r="133">
      <x:c r="A133" s="21"/>
      <x:c r="B133" s="21"/>
      <x:c r="C133" s="21"/>
      <x:c r="D133" s="25"/>
      <x:c r="E133" s="25"/>
      <x:c r="F133" s="21"/>
      <x:c r="G133" s="21"/>
      <x:c r="H133" s="21"/>
      <x:c r="I133" s="21"/>
      <x:c r="J133" s="21"/>
      <x:c r="K133" s="21"/>
      <x:c r="L133" s="21"/>
      <x:c r="M133" s="21"/>
      <x:c r="N133" s="21"/>
    </x:row>
    <x:row r="134">
      <x:c r="A134" s="21"/>
      <x:c r="B134" s="21"/>
      <x:c r="C134" s="21"/>
      <x:c r="D134" s="25"/>
      <x:c r="E134" s="25"/>
      <x:c r="F134" s="21"/>
      <x:c r="G134" s="21"/>
      <x:c r="H134" s="21"/>
      <x:c r="I134" s="21"/>
      <x:c r="J134" s="21"/>
      <x:c r="K134" s="21"/>
      <x:c r="L134" s="21"/>
      <x:c r="M134" s="21"/>
      <x:c r="N134" s="21"/>
    </x:row>
    <x:row r="135">
      <x:c r="A135" s="21"/>
      <x:c r="B135" s="21"/>
      <x:c r="C135" s="21"/>
      <x:c r="D135" s="25"/>
      <x:c r="E135" s="25"/>
      <x:c r="F135" s="21"/>
      <x:c r="G135" s="21"/>
      <x:c r="H135" s="21"/>
      <x:c r="I135" s="21"/>
      <x:c r="J135" s="21"/>
      <x:c r="K135" s="21"/>
      <x:c r="L135" s="21"/>
      <x:c r="M135" s="21"/>
      <x:c r="N135" s="21"/>
    </x:row>
    <x:row r="136">
      <x:c r="A136" s="21"/>
      <x:c r="B136" s="21"/>
      <x:c r="C136" s="21"/>
      <x:c r="D136" s="25"/>
      <x:c r="E136" s="25"/>
      <x:c r="F136" s="21"/>
      <x:c r="G136" s="21"/>
      <x:c r="H136" s="21"/>
      <x:c r="I136" s="21"/>
      <x:c r="J136" s="21"/>
      <x:c r="K136" s="21"/>
      <x:c r="L136" s="21"/>
      <x:c r="M136" s="21"/>
      <x:c r="N136" s="21"/>
    </x:row>
    <x:row r="137">
      <x:c r="A137" s="21"/>
      <x:c r="B137" s="21"/>
      <x:c r="C137" s="21"/>
      <x:c r="D137" s="25"/>
      <x:c r="E137" s="25"/>
      <x:c r="F137" s="21"/>
      <x:c r="G137" s="21"/>
      <x:c r="H137" s="21"/>
      <x:c r="I137" s="21"/>
      <x:c r="J137" s="21"/>
      <x:c r="K137" s="21"/>
      <x:c r="L137" s="21"/>
      <x:c r="M137" s="21"/>
      <x:c r="N137" s="21"/>
    </x:row>
    <x:row r="138">
      <x:c r="A138" s="21"/>
      <x:c r="B138" s="21"/>
      <x:c r="C138" s="21"/>
      <x:c r="D138" s="25"/>
      <x:c r="E138" s="25"/>
      <x:c r="F138" s="21"/>
      <x:c r="G138" s="21"/>
      <x:c r="H138" s="21"/>
      <x:c r="I138" s="21"/>
      <x:c r="J138" s="21"/>
      <x:c r="K138" s="21"/>
      <x:c r="L138" s="21"/>
      <x:c r="M138" s="21"/>
      <x:c r="N138" s="21"/>
    </x:row>
    <x:row r="139">
      <x:c r="A139" s="21"/>
      <x:c r="B139" s="21"/>
      <x:c r="C139" s="21"/>
      <x:c r="D139" s="25"/>
      <x:c r="E139" s="25"/>
      <x:c r="F139" s="21"/>
      <x:c r="G139" s="21"/>
      <x:c r="H139" s="21"/>
      <x:c r="I139" s="21"/>
      <x:c r="J139" s="21"/>
      <x:c r="K139" s="21"/>
      <x:c r="L139" s="21"/>
      <x:c r="M139" s="21"/>
      <x:c r="N139" s="21"/>
    </x:row>
    <x:row r="140">
      <x:c r="A140" s="21"/>
      <x:c r="B140" s="21"/>
      <x:c r="C140" s="21"/>
      <x:c r="D140" s="25"/>
      <x:c r="E140" s="25"/>
      <x:c r="F140" s="21"/>
      <x:c r="G140" s="21"/>
      <x:c r="H140" s="21"/>
      <x:c r="I140" s="21"/>
      <x:c r="J140" s="21"/>
      <x:c r="K140" s="21"/>
      <x:c r="L140" s="21"/>
      <x:c r="M140" s="21"/>
      <x:c r="N140" s="21"/>
    </x:row>
    <x:row r="141">
      <x:c r="A141" s="21"/>
      <x:c r="B141" s="21"/>
      <x:c r="C141" s="21"/>
      <x:c r="D141" s="25"/>
      <x:c r="E141" s="25"/>
      <x:c r="F141" s="21"/>
      <x:c r="G141" s="21"/>
      <x:c r="H141" s="21"/>
      <x:c r="I141" s="21"/>
      <x:c r="J141" s="21"/>
      <x:c r="K141" s="21"/>
      <x:c r="L141" s="21"/>
      <x:c r="M141" s="21"/>
      <x:c r="N141" s="21"/>
    </x:row>
    <x:row r="142">
      <x:c r="A142" s="21"/>
      <x:c r="B142" s="21"/>
      <x:c r="C142" s="21"/>
      <x:c r="D142" s="25"/>
      <x:c r="E142" s="25"/>
      <x:c r="F142" s="21"/>
      <x:c r="G142" s="21"/>
      <x:c r="H142" s="21"/>
      <x:c r="I142" s="21"/>
      <x:c r="J142" s="21"/>
      <x:c r="K142" s="21"/>
      <x:c r="L142" s="21"/>
      <x:c r="M142" s="21"/>
      <x:c r="N142" s="21"/>
    </x:row>
    <x:row r="143">
      <x:c r="A143" s="21"/>
      <x:c r="B143" s="21"/>
      <x:c r="C143" s="21"/>
      <x:c r="D143" s="25"/>
      <x:c r="E143" s="25"/>
      <x:c r="F143" s="21"/>
      <x:c r="G143" s="21"/>
      <x:c r="H143" s="21"/>
      <x:c r="I143" s="21"/>
      <x:c r="J143" s="21"/>
      <x:c r="K143" s="21"/>
      <x:c r="L143" s="21"/>
      <x:c r="M143" s="21"/>
      <x:c r="N143" s="21"/>
    </x:row>
    <x:row r="144">
      <x:c r="A144" s="21"/>
      <x:c r="B144" s="21"/>
      <x:c r="C144" s="21"/>
      <x:c r="D144" s="25"/>
      <x:c r="E144" s="25"/>
      <x:c r="F144" s="21"/>
      <x:c r="G144" s="21"/>
      <x:c r="H144" s="21"/>
      <x:c r="I144" s="21"/>
      <x:c r="J144" s="21"/>
      <x:c r="K144" s="21"/>
      <x:c r="L144" s="21"/>
      <x:c r="M144" s="21"/>
      <x:c r="N144" s="21"/>
    </x:row>
    <x:row r="145">
      <x:c r="A145" s="21"/>
      <x:c r="B145" s="21"/>
      <x:c r="C145" s="21"/>
      <x:c r="D145" s="25"/>
      <x:c r="E145" s="25"/>
      <x:c r="F145" s="21"/>
      <x:c r="G145" s="21"/>
      <x:c r="H145" s="21"/>
      <x:c r="I145" s="21"/>
      <x:c r="J145" s="21"/>
      <x:c r="K145" s="21"/>
      <x:c r="L145" s="21"/>
      <x:c r="M145" s="21"/>
      <x:c r="N145" s="21"/>
    </x:row>
    <x:row r="146">
      <x:c r="A146" s="21"/>
      <x:c r="B146" s="21"/>
      <x:c r="C146" s="21"/>
      <x:c r="D146" s="25"/>
      <x:c r="E146" s="25"/>
      <x:c r="F146" s="21"/>
      <x:c r="G146" s="21"/>
      <x:c r="H146" s="21"/>
      <x:c r="I146" s="21"/>
      <x:c r="J146" s="21"/>
      <x:c r="K146" s="21"/>
      <x:c r="L146" s="21"/>
      <x:c r="M146" s="21"/>
      <x:c r="N146" s="21"/>
    </x:row>
    <x:row r="147">
      <x:c r="A147" s="21"/>
      <x:c r="B147" s="21"/>
      <x:c r="C147" s="21"/>
      <x:c r="D147" s="25"/>
      <x:c r="E147" s="25"/>
      <x:c r="F147" s="21"/>
      <x:c r="G147" s="21"/>
      <x:c r="H147" s="21"/>
      <x:c r="I147" s="21"/>
      <x:c r="J147" s="21"/>
      <x:c r="K147" s="21"/>
      <x:c r="L147" s="21"/>
      <x:c r="M147" s="21"/>
      <x:c r="N147" s="21"/>
    </x:row>
    <x:row r="148">
      <x:c r="A148" s="21"/>
      <x:c r="B148" s="21"/>
      <x:c r="C148" s="21"/>
      <x:c r="D148" s="25"/>
      <x:c r="E148" s="25"/>
      <x:c r="F148" s="21"/>
      <x:c r="G148" s="21"/>
      <x:c r="H148" s="21"/>
      <x:c r="I148" s="21"/>
      <x:c r="J148" s="21"/>
      <x:c r="K148" s="21"/>
      <x:c r="L148" s="21"/>
      <x:c r="M148" s="21"/>
      <x:c r="N148" s="21"/>
    </x:row>
    <x:row r="149">
      <x:c r="A149" s="21"/>
      <x:c r="B149" s="21"/>
      <x:c r="C149" s="21"/>
      <x:c r="D149" s="25"/>
      <x:c r="E149" s="25"/>
      <x:c r="F149" s="21"/>
      <x:c r="G149" s="21"/>
      <x:c r="H149" s="21"/>
      <x:c r="I149" s="21"/>
      <x:c r="J149" s="21"/>
      <x:c r="K149" s="21"/>
      <x:c r="L149" s="21"/>
      <x:c r="M149" s="21"/>
      <x:c r="N149" s="21"/>
    </x:row>
    <x:row r="150">
      <x:c r="A150" s="21"/>
      <x:c r="B150" s="21"/>
      <x:c r="C150" s="21"/>
      <x:c r="D150" s="25"/>
      <x:c r="E150" s="25"/>
      <x:c r="F150" s="21"/>
      <x:c r="G150" s="21"/>
      <x:c r="H150" s="21"/>
      <x:c r="I150" s="21"/>
      <x:c r="J150" s="21"/>
      <x:c r="K150" s="21"/>
      <x:c r="L150" s="21"/>
      <x:c r="M150" s="21"/>
      <x:c r="N150" s="21"/>
    </x:row>
    <x:row r="151">
      <x:c r="A151" s="21"/>
      <x:c r="B151" s="21"/>
      <x:c r="C151" s="21"/>
      <x:c r="D151" s="25"/>
      <x:c r="E151" s="25"/>
      <x:c r="F151" s="21"/>
      <x:c r="G151" s="21"/>
      <x:c r="H151" s="21"/>
      <x:c r="I151" s="21"/>
      <x:c r="J151" s="21"/>
      <x:c r="K151" s="21"/>
      <x:c r="L151" s="21"/>
      <x:c r="M151" s="21"/>
      <x:c r="N151" s="21"/>
    </x:row>
    <x:row r="152">
      <x:c r="A152" s="21"/>
      <x:c r="B152" s="21"/>
      <x:c r="C152" s="21"/>
      <x:c r="D152" s="25"/>
      <x:c r="E152" s="25"/>
      <x:c r="F152" s="21"/>
      <x:c r="G152" s="21"/>
      <x:c r="H152" s="21"/>
      <x:c r="I152" s="21"/>
      <x:c r="J152" s="21"/>
      <x:c r="K152" s="21"/>
      <x:c r="L152" s="21"/>
      <x:c r="M152" s="21"/>
      <x:c r="N152" s="21"/>
    </x:row>
    <x:row r="153">
      <x:c r="A153" s="21"/>
      <x:c r="B153" s="21"/>
      <x:c r="C153" s="21"/>
      <x:c r="D153" s="25"/>
      <x:c r="E153" s="25"/>
      <x:c r="F153" s="21"/>
      <x:c r="G153" s="21"/>
      <x:c r="H153" s="21"/>
      <x:c r="I153" s="21"/>
      <x:c r="J153" s="21"/>
      <x:c r="K153" s="21"/>
      <x:c r="L153" s="21"/>
      <x:c r="M153" s="21"/>
      <x:c r="N153" s="21"/>
    </x:row>
    <x:row r="154">
      <x:c r="A154" s="21"/>
      <x:c r="B154" s="21"/>
      <x:c r="C154" s="21"/>
      <x:c r="D154" s="25"/>
      <x:c r="E154" s="25"/>
      <x:c r="F154" s="21"/>
      <x:c r="G154" s="21"/>
      <x:c r="H154" s="21"/>
      <x:c r="I154" s="21"/>
      <x:c r="J154" s="21"/>
      <x:c r="K154" s="21"/>
      <x:c r="L154" s="21"/>
      <x:c r="M154" s="21"/>
      <x:c r="N154" s="21"/>
    </x:row>
    <x:row r="155">
      <x:c r="A155" s="21"/>
      <x:c r="B155" s="21"/>
      <x:c r="C155" s="21"/>
      <x:c r="D155" s="25"/>
      <x:c r="E155" s="25"/>
      <x:c r="F155" s="21"/>
      <x:c r="G155" s="21"/>
      <x:c r="H155" s="21"/>
      <x:c r="I155" s="21"/>
      <x:c r="J155" s="21"/>
      <x:c r="K155" s="21"/>
      <x:c r="L155" s="21"/>
      <x:c r="M155" s="21"/>
      <x:c r="N155" s="21"/>
    </x:row>
    <x:row r="156">
      <x:c r="A156" s="21"/>
      <x:c r="B156" s="21"/>
      <x:c r="C156" s="21"/>
      <x:c r="D156" s="25"/>
      <x:c r="E156" s="25"/>
      <x:c r="F156" s="21"/>
      <x:c r="G156" s="21"/>
      <x:c r="H156" s="21"/>
      <x:c r="I156" s="21"/>
      <x:c r="J156" s="21"/>
      <x:c r="K156" s="21"/>
      <x:c r="L156" s="21"/>
      <x:c r="M156" s="21"/>
      <x:c r="N156" s="21"/>
    </x:row>
    <x:row r="157">
      <x:c r="A157" s="21"/>
      <x:c r="B157" s="21"/>
      <x:c r="C157" s="21"/>
      <x:c r="D157" s="25"/>
      <x:c r="E157" s="25"/>
      <x:c r="F157" s="21"/>
      <x:c r="G157" s="21"/>
      <x:c r="H157" s="21"/>
      <x:c r="I157" s="21"/>
      <x:c r="J157" s="21"/>
      <x:c r="K157" s="21"/>
      <x:c r="L157" s="21"/>
      <x:c r="M157" s="21"/>
      <x:c r="N157" s="21"/>
    </x:row>
    <x:row r="158">
      <x:c r="A158" s="21"/>
      <x:c r="B158" s="21"/>
      <x:c r="C158" s="21"/>
      <x:c r="D158" s="25"/>
      <x:c r="E158" s="25"/>
      <x:c r="F158" s="21"/>
      <x:c r="G158" s="21"/>
      <x:c r="H158" s="21"/>
      <x:c r="I158" s="21"/>
      <x:c r="J158" s="21"/>
      <x:c r="K158" s="21"/>
      <x:c r="L158" s="21"/>
      <x:c r="M158" s="21"/>
      <x:c r="N158" s="21"/>
    </x:row>
    <x:row r="159">
      <x:c r="A159" s="21"/>
      <x:c r="B159" s="21"/>
      <x:c r="C159" s="21"/>
      <x:c r="D159" s="25"/>
      <x:c r="E159" s="25"/>
      <x:c r="F159" s="21"/>
      <x:c r="G159" s="21"/>
      <x:c r="H159" s="21"/>
      <x:c r="I159" s="21"/>
      <x:c r="J159" s="21"/>
      <x:c r="K159" s="21"/>
      <x:c r="L159" s="21"/>
      <x:c r="M159" s="21"/>
      <x:c r="N159" s="21"/>
    </x:row>
    <x:row r="160">
      <x:c r="A160" s="21"/>
      <x:c r="B160" s="21"/>
      <x:c r="C160" s="21"/>
      <x:c r="D160" s="25"/>
      <x:c r="E160" s="25"/>
      <x:c r="F160" s="21"/>
      <x:c r="G160" s="21"/>
      <x:c r="H160" s="21"/>
      <x:c r="I160" s="21"/>
      <x:c r="J160" s="21"/>
      <x:c r="K160" s="21"/>
      <x:c r="L160" s="21"/>
      <x:c r="M160" s="21"/>
      <x:c r="N160" s="21"/>
    </x:row>
    <x:row r="161">
      <x:c r="A161" s="21"/>
      <x:c r="B161" s="21"/>
      <x:c r="C161" s="21"/>
      <x:c r="D161" s="25"/>
      <x:c r="E161" s="25"/>
      <x:c r="F161" s="21"/>
      <x:c r="G161" s="21"/>
      <x:c r="H161" s="21"/>
      <x:c r="I161" s="21"/>
      <x:c r="J161" s="21"/>
      <x:c r="K161" s="21"/>
      <x:c r="L161" s="21"/>
      <x:c r="M161" s="21"/>
      <x:c r="N161" s="21"/>
    </x:row>
    <x:row r="162">
      <x:c r="A162" s="21"/>
      <x:c r="B162" s="21"/>
      <x:c r="C162" s="21"/>
      <x:c r="D162" s="25"/>
      <x:c r="E162" s="25"/>
      <x:c r="F162" s="21"/>
      <x:c r="G162" s="21"/>
      <x:c r="H162" s="21"/>
      <x:c r="I162" s="21"/>
      <x:c r="J162" s="21"/>
      <x:c r="K162" s="21"/>
      <x:c r="L162" s="21"/>
      <x:c r="M162" s="21"/>
      <x:c r="N162" s="21"/>
    </x:row>
    <x:row r="163">
      <x:c r="A163" s="21"/>
      <x:c r="B163" s="21"/>
      <x:c r="C163" s="21"/>
      <x:c r="D163" s="25"/>
      <x:c r="E163" s="25"/>
      <x:c r="F163" s="21"/>
      <x:c r="G163" s="21"/>
      <x:c r="H163" s="21"/>
      <x:c r="I163" s="21"/>
      <x:c r="J163" s="21"/>
      <x:c r="K163" s="21"/>
      <x:c r="L163" s="21"/>
      <x:c r="M163" s="21"/>
      <x:c r="N163" s="21"/>
    </x:row>
    <x:row r="164">
      <x:c r="A164" s="21"/>
      <x:c r="B164" s="21"/>
      <x:c r="C164" s="21"/>
      <x:c r="D164" s="25"/>
      <x:c r="E164" s="25"/>
      <x:c r="F164" s="21"/>
      <x:c r="G164" s="21"/>
      <x:c r="H164" s="21"/>
      <x:c r="I164" s="21"/>
      <x:c r="J164" s="21"/>
      <x:c r="K164" s="21"/>
      <x:c r="L164" s="21"/>
      <x:c r="M164" s="21"/>
      <x:c r="N164" s="21"/>
    </x:row>
    <x:row r="165">
      <x:c r="A165" s="21"/>
      <x:c r="B165" s="21"/>
      <x:c r="C165" s="21"/>
      <x:c r="D165" s="25"/>
      <x:c r="E165" s="25"/>
      <x:c r="F165" s="21"/>
      <x:c r="G165" s="21"/>
      <x:c r="H165" s="21"/>
      <x:c r="I165" s="21"/>
      <x:c r="J165" s="21"/>
      <x:c r="K165" s="21"/>
      <x:c r="L165" s="21"/>
      <x:c r="M165" s="21"/>
      <x:c r="N165" s="21"/>
    </x:row>
    <x:row r="166">
      <x:c r="A166" s="21"/>
      <x:c r="B166" s="21"/>
      <x:c r="C166" s="21"/>
      <x:c r="D166" s="25"/>
      <x:c r="E166" s="25"/>
      <x:c r="F166" s="21"/>
      <x:c r="G166" s="21"/>
      <x:c r="H166" s="21"/>
      <x:c r="I166" s="21"/>
      <x:c r="J166" s="21"/>
      <x:c r="K166" s="21"/>
      <x:c r="L166" s="21"/>
      <x:c r="M166" s="21"/>
      <x:c r="N166" s="21"/>
    </x:row>
    <x:row r="167">
      <x:c r="A167" s="21"/>
      <x:c r="B167" s="21"/>
      <x:c r="C167" s="21"/>
      <x:c r="D167" s="25"/>
      <x:c r="E167" s="25"/>
      <x:c r="F167" s="21"/>
      <x:c r="G167" s="21"/>
      <x:c r="H167" s="21"/>
      <x:c r="I167" s="21"/>
      <x:c r="J167" s="21"/>
      <x:c r="K167" s="21"/>
      <x:c r="L167" s="21"/>
      <x:c r="M167" s="21"/>
      <x:c r="N167" s="21"/>
    </x:row>
    <x:row r="168">
      <x:c r="A168" s="21"/>
      <x:c r="B168" s="21"/>
      <x:c r="C168" s="21"/>
      <x:c r="D168" s="25"/>
      <x:c r="E168" s="25"/>
      <x:c r="F168" s="21"/>
      <x:c r="G168" s="21"/>
      <x:c r="H168" s="21"/>
      <x:c r="I168" s="21"/>
      <x:c r="J168" s="21"/>
      <x:c r="K168" s="21"/>
      <x:c r="L168" s="21"/>
      <x:c r="M168" s="21"/>
      <x:c r="N168" s="21"/>
    </x:row>
    <x:row r="169">
      <x:c r="A169" s="21"/>
      <x:c r="B169" s="21"/>
      <x:c r="C169" s="21"/>
      <x:c r="D169" s="25"/>
      <x:c r="E169" s="25"/>
      <x:c r="F169" s="21"/>
      <x:c r="G169" s="21"/>
      <x:c r="H169" s="21"/>
      <x:c r="I169" s="21"/>
      <x:c r="J169" s="21"/>
      <x:c r="K169" s="21"/>
      <x:c r="L169" s="21"/>
      <x:c r="M169" s="21"/>
      <x:c r="N169" s="21"/>
    </x:row>
    <x:row r="170">
      <x:c r="A170" s="21"/>
      <x:c r="B170" s="21"/>
      <x:c r="C170" s="21"/>
      <x:c r="D170" s="25"/>
      <x:c r="E170" s="25"/>
      <x:c r="F170" s="21"/>
      <x:c r="G170" s="21"/>
      <x:c r="H170" s="21"/>
      <x:c r="I170" s="21"/>
      <x:c r="J170" s="21"/>
      <x:c r="K170" s="21"/>
      <x:c r="L170" s="21"/>
      <x:c r="M170" s="21"/>
      <x:c r="N170" s="21"/>
    </x:row>
    <x:row r="171">
      <x:c r="A171" s="21"/>
      <x:c r="B171" s="21"/>
      <x:c r="C171" s="21"/>
      <x:c r="D171" s="25"/>
      <x:c r="E171" s="25"/>
      <x:c r="F171" s="21"/>
      <x:c r="G171" s="21"/>
      <x:c r="H171" s="21"/>
      <x:c r="I171" s="21"/>
      <x:c r="J171" s="21"/>
      <x:c r="K171" s="21"/>
      <x:c r="L171" s="21"/>
      <x:c r="M171" s="21"/>
      <x:c r="N171" s="21"/>
    </x:row>
    <x:row r="172">
      <x:c r="A172" s="21"/>
      <x:c r="B172" s="21"/>
      <x:c r="C172" s="21"/>
      <x:c r="D172" s="25"/>
      <x:c r="E172" s="25"/>
      <x:c r="F172" s="21"/>
      <x:c r="G172" s="21"/>
      <x:c r="H172" s="21"/>
      <x:c r="I172" s="21"/>
      <x:c r="J172" s="21"/>
      <x:c r="K172" s="21"/>
      <x:c r="L172" s="21"/>
      <x:c r="M172" s="21"/>
      <x:c r="N172" s="21"/>
    </x:row>
    <x:row r="173">
      <x:c r="A173" s="21"/>
      <x:c r="B173" s="21"/>
      <x:c r="C173" s="21"/>
      <x:c r="D173" s="25"/>
      <x:c r="E173" s="25"/>
      <x:c r="F173" s="21"/>
      <x:c r="G173" s="21"/>
      <x:c r="H173" s="21"/>
      <x:c r="I173" s="21"/>
      <x:c r="J173" s="21"/>
      <x:c r="K173" s="21"/>
      <x:c r="L173" s="21"/>
      <x:c r="M173" s="21"/>
      <x:c r="N173" s="21"/>
    </x:row>
    <x:row r="174">
      <x:c r="A174" s="21"/>
      <x:c r="B174" s="21"/>
      <x:c r="C174" s="21"/>
      <x:c r="D174" s="25"/>
      <x:c r="E174" s="25"/>
      <x:c r="F174" s="21"/>
      <x:c r="G174" s="21"/>
      <x:c r="H174" s="21"/>
      <x:c r="I174" s="21"/>
      <x:c r="J174" s="21"/>
      <x:c r="K174" s="21"/>
      <x:c r="L174" s="21"/>
      <x:c r="M174" s="21"/>
      <x:c r="N174" s="21"/>
    </x:row>
    <x:row r="175">
      <x:c r="A175" s="21"/>
      <x:c r="B175" s="21"/>
      <x:c r="C175" s="21"/>
      <x:c r="D175" s="25"/>
      <x:c r="E175" s="25"/>
      <x:c r="F175" s="21"/>
      <x:c r="G175" s="21"/>
      <x:c r="H175" s="21"/>
      <x:c r="I175" s="21"/>
      <x:c r="J175" s="21"/>
      <x:c r="K175" s="21"/>
      <x:c r="L175" s="21"/>
      <x:c r="M175" s="21"/>
      <x:c r="N175" s="21"/>
    </x:row>
    <x:row r="176">
      <x:c r="A176" s="21"/>
      <x:c r="B176" s="21"/>
      <x:c r="C176" s="21"/>
      <x:c r="D176" s="25"/>
      <x:c r="E176" s="25"/>
      <x:c r="F176" s="21"/>
      <x:c r="G176" s="21"/>
      <x:c r="H176" s="21"/>
      <x:c r="I176" s="21"/>
      <x:c r="J176" s="21"/>
      <x:c r="K176" s="21"/>
      <x:c r="L176" s="21"/>
      <x:c r="M176" s="21"/>
      <x:c r="N176" s="21"/>
    </x:row>
    <x:row r="177">
      <x:c r="A177" s="21"/>
      <x:c r="B177" s="21"/>
      <x:c r="C177" s="21"/>
      <x:c r="D177" s="25"/>
      <x:c r="E177" s="25"/>
      <x:c r="F177" s="21"/>
      <x:c r="G177" s="21"/>
      <x:c r="H177" s="21"/>
      <x:c r="I177" s="21"/>
      <x:c r="J177" s="21"/>
      <x:c r="K177" s="21"/>
      <x:c r="L177" s="21"/>
      <x:c r="M177" s="21"/>
      <x:c r="N177" s="21"/>
    </x:row>
    <x:row r="178">
      <x:c r="A178" s="21"/>
      <x:c r="B178" s="21"/>
      <x:c r="C178" s="21"/>
      <x:c r="D178" s="25"/>
      <x:c r="E178" s="25"/>
      <x:c r="F178" s="21"/>
      <x:c r="G178" s="21"/>
      <x:c r="H178" s="21"/>
      <x:c r="I178" s="21"/>
      <x:c r="J178" s="21"/>
      <x:c r="K178" s="21"/>
      <x:c r="L178" s="21"/>
      <x:c r="M178" s="21"/>
      <x:c r="N178" s="21"/>
    </x:row>
    <x:row r="179">
      <x:c r="A179" s="21"/>
      <x:c r="B179" s="21"/>
      <x:c r="C179" s="21"/>
      <x:c r="D179" s="25"/>
      <x:c r="E179" s="25"/>
      <x:c r="F179" s="21"/>
      <x:c r="G179" s="21"/>
      <x:c r="H179" s="21"/>
      <x:c r="I179" s="21"/>
      <x:c r="J179" s="21"/>
      <x:c r="K179" s="21"/>
      <x:c r="L179" s="21"/>
      <x:c r="M179" s="21"/>
      <x:c r="N179" s="21"/>
    </x:row>
    <x:row r="180">
      <x:c r="A180" s="21"/>
      <x:c r="B180" s="21"/>
      <x:c r="C180" s="21"/>
      <x:c r="D180" s="25"/>
      <x:c r="E180" s="25"/>
      <x:c r="F180" s="21"/>
      <x:c r="G180" s="21"/>
      <x:c r="H180" s="21"/>
      <x:c r="I180" s="21"/>
      <x:c r="J180" s="21"/>
      <x:c r="K180" s="21"/>
      <x:c r="L180" s="21"/>
      <x:c r="M180" s="21"/>
      <x:c r="N180" s="21"/>
    </x:row>
    <x:row r="181">
      <x:c r="A181" s="21"/>
      <x:c r="B181" s="21"/>
      <x:c r="C181" s="21"/>
      <x:c r="D181" s="25"/>
      <x:c r="E181" s="25"/>
      <x:c r="F181" s="21"/>
      <x:c r="G181" s="21"/>
      <x:c r="H181" s="21"/>
      <x:c r="I181" s="21"/>
      <x:c r="J181" s="21"/>
      <x:c r="K181" s="21"/>
      <x:c r="L181" s="21"/>
      <x:c r="M181" s="21"/>
      <x:c r="N181" s="21"/>
    </x:row>
    <x:row r="182">
      <x:c r="A182" s="21"/>
      <x:c r="B182" s="21"/>
      <x:c r="C182" s="21"/>
      <x:c r="D182" s="25"/>
      <x:c r="E182" s="25"/>
      <x:c r="F182" s="21"/>
      <x:c r="G182" s="21"/>
      <x:c r="H182" s="21"/>
      <x:c r="I182" s="21"/>
      <x:c r="J182" s="21"/>
      <x:c r="K182" s="21"/>
      <x:c r="L182" s="21"/>
      <x:c r="M182" s="21"/>
      <x:c r="N182" s="21"/>
    </x:row>
    <x:row r="183">
      <x:c r="A183" s="21"/>
      <x:c r="B183" s="21"/>
      <x:c r="C183" s="21"/>
      <x:c r="D183" s="25"/>
      <x:c r="E183" s="25"/>
      <x:c r="F183" s="21"/>
      <x:c r="G183" s="21"/>
      <x:c r="H183" s="21"/>
      <x:c r="I183" s="21"/>
      <x:c r="J183" s="21"/>
      <x:c r="K183" s="21"/>
      <x:c r="L183" s="21"/>
      <x:c r="M183" s="21"/>
      <x:c r="N183" s="21"/>
    </x:row>
    <x:row r="184">
      <x:c r="A184" s="21"/>
      <x:c r="B184" s="21"/>
      <x:c r="C184" s="21"/>
      <x:c r="D184" s="25"/>
      <x:c r="E184" s="25"/>
      <x:c r="F184" s="21"/>
      <x:c r="G184" s="21"/>
      <x:c r="H184" s="21"/>
      <x:c r="I184" s="21"/>
      <x:c r="J184" s="21"/>
      <x:c r="K184" s="21"/>
      <x:c r="L184" s="21"/>
      <x:c r="M184" s="21"/>
      <x:c r="N184" s="21"/>
    </x:row>
    <x:row r="185">
      <x:c r="A185" s="21"/>
      <x:c r="B185" s="21"/>
      <x:c r="C185" s="21"/>
      <x:c r="D185" s="25"/>
      <x:c r="E185" s="25"/>
      <x:c r="F185" s="21"/>
      <x:c r="G185" s="21"/>
      <x:c r="H185" s="21"/>
      <x:c r="I185" s="21"/>
      <x:c r="J185" s="21"/>
      <x:c r="K185" s="21"/>
      <x:c r="L185" s="21"/>
      <x:c r="M185" s="21"/>
      <x:c r="N185" s="21"/>
    </x:row>
    <x:row r="186">
      <x:c r="A186" s="21"/>
      <x:c r="B186" s="21"/>
      <x:c r="C186" s="21"/>
      <x:c r="D186" s="25"/>
      <x:c r="E186" s="25"/>
      <x:c r="F186" s="21"/>
      <x:c r="G186" s="21"/>
      <x:c r="H186" s="21"/>
      <x:c r="I186" s="21"/>
      <x:c r="J186" s="21"/>
      <x:c r="K186" s="21"/>
      <x:c r="L186" s="21"/>
      <x:c r="M186" s="21"/>
      <x:c r="N186" s="21"/>
    </x:row>
    <x:row r="187">
      <x:c r="A187" s="21"/>
      <x:c r="B187" s="21"/>
      <x:c r="C187" s="21"/>
      <x:c r="D187" s="25"/>
      <x:c r="E187" s="25"/>
      <x:c r="F187" s="21"/>
      <x:c r="G187" s="21"/>
      <x:c r="H187" s="21"/>
      <x:c r="I187" s="21"/>
      <x:c r="J187" s="21"/>
      <x:c r="K187" s="21"/>
      <x:c r="L187" s="21"/>
      <x:c r="M187" s="21"/>
      <x:c r="N187" s="21"/>
    </x:row>
    <x:row r="188">
      <x:c r="A188" s="21"/>
      <x:c r="B188" s="21"/>
      <x:c r="C188" s="21"/>
      <x:c r="D188" s="25"/>
      <x:c r="E188" s="25"/>
      <x:c r="F188" s="21"/>
      <x:c r="G188" s="21"/>
      <x:c r="H188" s="21"/>
      <x:c r="I188" s="21"/>
      <x:c r="J188" s="21"/>
      <x:c r="K188" s="21"/>
      <x:c r="L188" s="21"/>
      <x:c r="M188" s="21"/>
      <x:c r="N188" s="21"/>
    </x:row>
    <x:row r="189">
      <x:c r="A189" s="21"/>
      <x:c r="B189" s="21"/>
      <x:c r="C189" s="21"/>
      <x:c r="D189" s="25"/>
      <x:c r="E189" s="25"/>
      <x:c r="F189" s="21"/>
      <x:c r="G189" s="21"/>
      <x:c r="H189" s="21"/>
      <x:c r="I189" s="21"/>
      <x:c r="J189" s="21"/>
      <x:c r="K189" s="21"/>
      <x:c r="L189" s="21"/>
      <x:c r="M189" s="21"/>
      <x:c r="N189" s="21"/>
    </x:row>
    <x:row r="190">
      <x:c r="A190" s="21"/>
      <x:c r="B190" s="21"/>
      <x:c r="C190" s="21"/>
      <x:c r="D190" s="25"/>
      <x:c r="E190" s="25"/>
      <x:c r="F190" s="21"/>
      <x:c r="G190" s="21"/>
      <x:c r="H190" s="21"/>
      <x:c r="I190" s="21"/>
      <x:c r="J190" s="21"/>
      <x:c r="K190" s="21"/>
      <x:c r="L190" s="21"/>
      <x:c r="M190" s="21"/>
      <x:c r="N190" s="21"/>
    </x:row>
    <x:row r="191">
      <x:c r="A191" s="21"/>
      <x:c r="B191" s="21"/>
      <x:c r="C191" s="21"/>
      <x:c r="D191" s="25"/>
      <x:c r="E191" s="25"/>
      <x:c r="F191" s="21"/>
      <x:c r="G191" s="21"/>
      <x:c r="H191" s="21"/>
      <x:c r="I191" s="21"/>
      <x:c r="J191" s="21"/>
      <x:c r="K191" s="21"/>
      <x:c r="L191" s="21"/>
      <x:c r="M191" s="21"/>
      <x:c r="N191" s="21"/>
    </x:row>
    <x:row r="192">
      <x:c r="A192" s="21"/>
      <x:c r="B192" s="21"/>
      <x:c r="C192" s="21"/>
      <x:c r="D192" s="25"/>
      <x:c r="E192" s="25"/>
      <x:c r="F192" s="21"/>
      <x:c r="G192" s="21"/>
      <x:c r="H192" s="21"/>
      <x:c r="I192" s="21"/>
      <x:c r="J192" s="21"/>
      <x:c r="K192" s="21"/>
      <x:c r="L192" s="21"/>
      <x:c r="M192" s="21"/>
      <x:c r="N192" s="21"/>
    </x:row>
    <x:row r="193">
      <x:c r="A193" s="21"/>
      <x:c r="B193" s="21"/>
      <x:c r="C193" s="21"/>
      <x:c r="D193" s="25"/>
      <x:c r="E193" s="25"/>
      <x:c r="F193" s="21"/>
      <x:c r="G193" s="21"/>
      <x:c r="H193" s="21"/>
      <x:c r="I193" s="21"/>
      <x:c r="J193" s="21"/>
      <x:c r="K193" s="21"/>
      <x:c r="L193" s="21"/>
      <x:c r="M193" s="21"/>
      <x:c r="N193" s="21"/>
    </x:row>
    <x:row r="194">
      <x:c r="A194" s="21"/>
      <x:c r="B194" s="21"/>
      <x:c r="C194" s="21"/>
      <x:c r="D194" s="25"/>
      <x:c r="E194" s="25"/>
      <x:c r="F194" s="21"/>
      <x:c r="G194" s="21"/>
      <x:c r="H194" s="21"/>
      <x:c r="I194" s="21"/>
      <x:c r="J194" s="21"/>
      <x:c r="K194" s="21"/>
      <x:c r="L194" s="21"/>
      <x:c r="M194" s="21"/>
      <x:c r="N194" s="21"/>
    </x:row>
    <x:row r="195">
      <x:c r="A195" s="21"/>
      <x:c r="B195" s="21"/>
      <x:c r="C195" s="21"/>
      <x:c r="D195" s="25"/>
      <x:c r="E195" s="25"/>
      <x:c r="F195" s="21"/>
      <x:c r="G195" s="21"/>
      <x:c r="H195" s="21"/>
      <x:c r="I195" s="21"/>
      <x:c r="J195" s="21"/>
      <x:c r="K195" s="21"/>
      <x:c r="L195" s="21"/>
      <x:c r="M195" s="21"/>
      <x:c r="N195" s="21"/>
    </x:row>
    <x:row r="196">
      <x:c r="A196" s="21"/>
      <x:c r="B196" s="21"/>
      <x:c r="C196" s="21"/>
      <x:c r="D196" s="25"/>
      <x:c r="E196" s="25"/>
      <x:c r="F196" s="21"/>
      <x:c r="G196" s="21"/>
      <x:c r="H196" s="21"/>
      <x:c r="I196" s="21"/>
      <x:c r="J196" s="21"/>
      <x:c r="K196" s="21"/>
      <x:c r="L196" s="21"/>
      <x:c r="M196" s="21"/>
      <x:c r="N196" s="21"/>
    </x:row>
    <x:row r="197">
      <x:c r="A197" s="21"/>
      <x:c r="B197" s="21"/>
      <x:c r="C197" s="21"/>
      <x:c r="D197" s="25"/>
      <x:c r="E197" s="25"/>
      <x:c r="F197" s="21"/>
      <x:c r="G197" s="21"/>
      <x:c r="H197" s="21"/>
      <x:c r="I197" s="21"/>
      <x:c r="J197" s="21"/>
      <x:c r="K197" s="21"/>
      <x:c r="L197" s="21"/>
      <x:c r="M197" s="21"/>
      <x:c r="N197" s="21"/>
    </x:row>
    <x:row r="198">
      <x:c r="A198" s="21"/>
      <x:c r="B198" s="21"/>
      <x:c r="C198" s="21"/>
      <x:c r="D198" s="25"/>
      <x:c r="E198" s="25"/>
      <x:c r="F198" s="21"/>
      <x:c r="G198" s="21"/>
      <x:c r="H198" s="21"/>
      <x:c r="I198" s="21"/>
      <x:c r="J198" s="21"/>
      <x:c r="K198" s="21"/>
      <x:c r="L198" s="21"/>
      <x:c r="M198" s="21"/>
      <x:c r="N198" s="21"/>
    </x:row>
    <x:row r="199">
      <x:c r="A199" s="21"/>
      <x:c r="B199" s="21"/>
      <x:c r="C199" s="21"/>
      <x:c r="D199" s="25"/>
      <x:c r="E199" s="25"/>
      <x:c r="F199" s="21"/>
      <x:c r="G199" s="21"/>
      <x:c r="H199" s="21"/>
      <x:c r="I199" s="21"/>
      <x:c r="J199" s="21"/>
      <x:c r="K199" s="21"/>
      <x:c r="L199" s="21"/>
      <x:c r="M199" s="21"/>
      <x:c r="N199" s="21"/>
    </x:row>
    <x:row r="200">
      <x:c r="A200" s="21"/>
      <x:c r="B200" s="21"/>
      <x:c r="C200" s="21"/>
      <x:c r="D200" s="25"/>
      <x:c r="E200" s="25"/>
      <x:c r="F200" s="21"/>
      <x:c r="G200" s="21"/>
      <x:c r="H200" s="21"/>
      <x:c r="I200" s="21"/>
      <x:c r="J200" s="21"/>
      <x:c r="K200" s="21"/>
      <x:c r="L200" s="21"/>
      <x:c r="M200" s="21"/>
      <x:c r="N200" s="21"/>
    </x:row>
    <x:row r="201">
      <x:c r="A201" s="21"/>
      <x:c r="B201" s="21"/>
      <x:c r="C201" s="21"/>
      <x:c r="D201" s="25"/>
      <x:c r="E201" s="25"/>
      <x:c r="F201" s="21"/>
      <x:c r="G201" s="21"/>
      <x:c r="H201" s="21"/>
      <x:c r="I201" s="21"/>
      <x:c r="J201" s="21"/>
      <x:c r="K201" s="21"/>
      <x:c r="L201" s="21"/>
      <x:c r="M201" s="21"/>
      <x:c r="N201" s="21"/>
    </x:row>
  </x:sheetData>
  <x:dataValidations count="1">
    <x:dataValidation type="list" sqref="F2:F201">
      <x:formula1>"Approved,Revision Requested,On Hold,Excluded"</x:formula1>
    </x:dataValidation>
  </x:dataValidations>
  <x:pageMargins left="0.7" right="0.7" top="0.75" bottom="0.75" header="0.3" footer="0.3"/>
  <x:tableParts count="1">
    <x:tablePart xmlns:r="http://schemas.openxmlformats.org/officeDocument/2006/relationships" r:id="Rbbbaaeb2e29e4d2b"/>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14" hidden="0" customWidth="1"/>
    <x:col min="4" max="4" width="40" hidden="0" customWidth="1"/>
    <x:col min="5" max="5" width="40" hidden="0" customWidth="1"/>
    <x:col min="6" max="6" width="40" hidden="0" customWidth="1"/>
  </x:cols>
  <x:sheetData>
    <x:row r="1" ht="34" customHeight="1">
      <x:c r="A1" s="4" t="str">
        <x:v>Scoring Criteria and Weights</x:v>
      </x:c>
      <x:c r="B1" s="4" t="str">
        <x:v>Scoring Criteria and Weights</x:v>
      </x:c>
      <x:c r="C1" s="4" t="str">
        <x:v>Scoring Criteria and Weights</x:v>
      </x:c>
      <x:c r="D1" s="4" t="str">
        <x:v>Scoring Criteria and Weights</x:v>
      </x:c>
      <x:c r="E1" s="4" t="str">
        <x:v>Scoring Criteria and Weights</x:v>
      </x:c>
      <x:c r="F1" s="4" t="str">
        <x:v>Scoring Criteria and Weights</x:v>
      </x:c>
    </x:row>
    <x:row r="2" ht="28" customHeight="1">
      <x:c r="A2" s="8" t="str">
        <x:v>Score each factor from 0 to 10. The overall score is the weighted sum multiplied by 10. Record approval when criteria change.</x:v>
      </x:c>
      <x:c r="B2" s="8" t="str">
        <x:v>Score each factor from 0 to 10. The overall score is the weighted sum multiplied by 10. Record approval when criteria change.</x:v>
      </x:c>
      <x:c r="C2" s="8" t="str">
        <x:v>Score each factor from 0 to 10. The overall score is the weighted sum multiplied by 10. Record approval when criteria change.</x:v>
      </x:c>
      <x:c r="D2" s="8" t="str">
        <x:v>Score each factor from 0 to 10. The overall score is the weighted sum multiplied by 10. Record approval when criteria change.</x:v>
      </x:c>
      <x:c r="E2" s="8" t="str">
        <x:v>Score each factor from 0 to 10. The overall score is the weighted sum multiplied by 10. Record approval when criteria change.</x:v>
      </x:c>
      <x:c r="F2" s="8" t="str">
        <x:v>Score each factor from 0 to 10. The overall score is the weighted sum multiplied by 10. Record approval when criteria change.</x:v>
      </x:c>
    </x:row>
    <x:row r="4">
      <x:c r="A4" s="14" t="str">
        <x:v>Evaluation Factor</x:v>
      </x:c>
      <x:c r="B4" s="14" t="str">
        <x:v>Points</x:v>
      </x:c>
      <x:c r="C4" s="14" t="str">
        <x:v>Weight</x:v>
      </x:c>
      <x:c r="D4" s="14" t="str">
        <x:v>0-3</x:v>
      </x:c>
      <x:c r="E4" s="14" t="str">
        <x:v>4-6</x:v>
      </x:c>
      <x:c r="F4" s="14" t="str">
        <x:v>7-10</x:v>
      </x:c>
    </x:row>
    <x:row r="5">
      <x:c r="A5" s="20" t="str">
        <x:v>Product &amp; Price Competitiveness</x:v>
      </x:c>
      <x:c r="B5" s="28" t="n">
        <x:v>25</x:v>
      </x:c>
      <x:c r="C5" s="36" t="n">
        <x:v>0.25</x:v>
      </x:c>
      <x:c r="D5" s="20" t="str">
        <x:v>Poor differentiation or price fit</x:v>
      </x:c>
      <x:c r="E5" s="20" t="str">
        <x:v>Some competitive value</x:v>
      </x:c>
      <x:c r="F5" s="20" t="str">
        <x:v>Clear differentiation and value-tier fit</x:v>
      </x:c>
    </x:row>
    <x:row r="6">
      <x:c r="A6" s="21" t="str">
        <x:v>U.S. Demand &amp; Trend Fit</x:v>
      </x:c>
      <x:c r="B6" s="29" t="n">
        <x:v>20</x:v>
      </x:c>
      <x:c r="C6" s="37" t="n">
        <x:v>0.2</x:v>
      </x:c>
      <x:c r="D6" s="21" t="str">
        <x:v>Limited demand evidence</x:v>
      </x:c>
      <x:c r="E6" s="21" t="str">
        <x:v>Partial demand evidence</x:v>
      </x:c>
      <x:c r="F6" s="21" t="str">
        <x:v>Strong cross-channel demand and trend fit</x:v>
      </x:c>
    </x:row>
    <x:row r="7">
      <x:c r="A7" s="21" t="str">
        <x:v>Current Sales Momentum</x:v>
      </x:c>
      <x:c r="B7" s="29" t="n">
        <x:v>15</x:v>
      </x:c>
      <x:c r="C7" s="37" t="n">
        <x:v>0.15</x:v>
      </x:c>
      <x:c r="D7" s="21" t="str">
        <x:v>No meaningful sales signal</x:v>
      </x:c>
      <x:c r="E7" s="21" t="str">
        <x:v>Early or mixed signals</x:v>
      </x:c>
      <x:c r="F7" s="21" t="str">
        <x:v>Sustained sales and growth signals</x:v>
      </x:c>
    </x:row>
    <x:row r="8">
      <x:c r="A8" s="21" t="str">
        <x:v>Reviews &amp; Satisfaction</x:v>
      </x:c>
      <x:c r="B8" s="29" t="n">
        <x:v>10</x:v>
      </x:c>
      <x:c r="C8" s="37" t="n">
        <x:v>0.1</x:v>
      </x:c>
      <x:c r="D8" s="21" t="str">
        <x:v>Repeated complaints or weak sample</x:v>
      </x:c>
      <x:c r="E8" s="21" t="str">
        <x:v>Mixed feedback</x:v>
      </x:c>
      <x:c r="F8" s="21" t="str">
        <x:v>High satisfaction and repurchase</x:v>
      </x:c>
    </x:row>
    <x:row r="9">
      <x:c r="A9" s="21" t="str">
        <x:v>Viral Potential</x:v>
      </x:c>
      <x:c r="B9" s="29" t="n">
        <x:v>10</x:v>
      </x:c>
      <x:c r="C9" s="37" t="n">
        <x:v>0.1</x:v>
      </x:c>
      <x:c r="D9" s="21" t="str">
        <x:v>Low content suitability</x:v>
      </x:c>
      <x:c r="E9" s="21" t="str">
        <x:v>Some UGC</x:v>
      </x:c>
      <x:c r="F9" s="21" t="str">
        <x:v>Strong visual story and UGC spread</x:v>
      </x:c>
    </x:row>
    <x:row r="10">
      <x:c r="A10" s="21" t="str">
        <x:v>Distribution &amp; Margin Fit</x:v>
      </x:c>
      <x:c r="B10" s="29" t="n">
        <x:v>10</x:v>
      </x:c>
      <x:c r="C10" s="37" t="n">
        <x:v>0.1</x:v>
      </x:c>
      <x:c r="D10" s="21" t="str">
        <x:v>Margin or channel conflict</x:v>
      </x:c>
      <x:c r="E10" s="21" t="str">
        <x:v>Conditionally viable</x:v>
      </x:c>
      <x:c r="F10" s="21" t="str">
        <x:v>Healthy margin and channel opportunity</x:v>
      </x:c>
    </x:row>
    <x:row r="11">
      <x:c r="A11" s="21" t="str">
        <x:v>Competitive Entry Opportunity</x:v>
      </x:c>
      <x:c r="B11" s="29" t="n">
        <x:v>5</x:v>
      </x:c>
      <x:c r="C11" s="37" t="n">
        <x:v>0.05</x:v>
      </x:c>
      <x:c r="D11" s="21" t="str">
        <x:v>Overcrowded market</x:v>
      </x:c>
      <x:c r="E11" s="21" t="str">
        <x:v>Moderate competition</x:v>
      </x:c>
      <x:c r="F11" s="21" t="str">
        <x:v>Clear white space or entry opportunity</x:v>
      </x:c>
    </x:row>
    <x:row r="12">
      <x:c r="A12" s="21" t="str">
        <x:v>Regulatory &amp; Operating Readiness</x:v>
      </x:c>
      <x:c r="B12" s="29" t="n">
        <x:v>5</x:v>
      </x:c>
      <x:c r="C12" s="37" t="n">
        <x:v>0.05</x:v>
      </x:c>
      <x:c r="D12" s="21" t="str">
        <x:v>Material unverified risks</x:v>
      </x:c>
      <x:c r="E12" s="21" t="str">
        <x:v>Remediation required</x:v>
      </x:c>
      <x:c r="F12" s="21" t="str">
        <x:v>Good documentation and operating readiness</x:v>
      </x:c>
    </x:row>
    <x:row r="15">
      <x:c r="A15" s="14" t="str">
        <x:v>Recommendation Grade</x:v>
      </x:c>
      <x:c r="B15" s="14" t="str">
        <x:v>Score</x:v>
      </x:c>
      <x:c r="C15" s="14" t="str">
        <x:v>Meaning</x:v>
      </x:c>
    </x:row>
    <x:row r="16">
      <x:c r="A16" s="20" t="str">
        <x:v>A</x:v>
      </x:c>
      <x:c r="B16" s="20" t="str">
        <x:v>80-100</x:v>
      </x:c>
      <x:c r="C16" s="20" t="str">
        <x:v>Contact vendor and begin sample review</x:v>
      </x:c>
    </x:row>
    <x:row r="17">
      <x:c r="A17" s="21" t="str">
        <x:v>B</x:v>
      </x:c>
      <x:c r="B17" s="21" t="str">
        <x:v>65-79.9</x:v>
      </x:c>
      <x:c r="C17" s="21" t="str">
        <x:v>Proceed after pricing, exclusivity and regulatory checks</x:v>
      </x:c>
    </x:row>
    <x:row r="18">
      <x:c r="A18" s="21" t="str">
        <x:v>C</x:v>
      </x:c>
      <x:c r="B18" s="21" t="str">
        <x:v>50-64.9</x:v>
      </x:c>
      <x:c r="C18" s="21" t="str">
        <x:v>Monitor and validate for 3-6 months</x:v>
      </x:c>
    </x:row>
    <x:row r="19">
      <x:c r="A19" s="21" t="str">
        <x:v>D</x:v>
      </x:c>
      <x:c r="B19" s="21" t="str">
        <x:v>35-49.9</x:v>
      </x:c>
      <x:c r="C19" s="21" t="str">
        <x:v>Low priority</x:v>
      </x:c>
    </x:row>
    <x:row r="20">
      <x:c r="A20" s="21" t="str">
        <x:v>E</x:v>
      </x:c>
      <x:c r="B20" s="21" t="str">
        <x:v>0-34.9</x:v>
      </x:c>
      <x:c r="C20" s="21" t="str">
        <x:v>Not recommended for sourcing</x:v>
      </x:c>
    </x:row>
  </x:sheetData>
  <x:mergeCells>
    <x:mergeCell ref="A1:F1"/>
    <x:mergeCell ref="A2:F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4" t="str">
        <x:v>Execution Prompt for a New Codex Task</x:v>
      </x:c>
      <x:c r="B1" s="4" t="str">
        <x:v>Execution Prompt for a New Codex Task</x:v>
      </x:c>
      <x:c r="C1" s="4" t="str">
        <x:v>Execution Prompt for a New Codex Task</x:v>
      </x:c>
      <x:c r="D1" s="4" t="str">
        <x:v>Execution Prompt for a New Codex Task</x:v>
      </x:c>
      <x:c r="E1" s="4" t="str">
        <x:v>Execution Prompt for a New Codex Task</x:v>
      </x:c>
      <x:c r="F1" s="4" t="str">
        <x:v>Execution Prompt for a New Codex Task</x:v>
      </x:c>
      <x:c r="G1" s="4" t="str">
        <x:v>Execution Prompt for a New Codex Task</x:v>
      </x:c>
      <x:c r="H1" s="4" t="str">
        <x:v>Execution Prompt for a New Codex Task</x:v>
      </x:c>
    </x:row>
    <x:row r="2" ht="28" customHeight="1">
      <x:c r="A2" s="8" t="str">
        <x:v>Copy every line from A4 through the final instruction into a new Codex task.</x:v>
      </x:c>
      <x:c r="B2" s="8" t="str">
        <x:v>Copy every line from A4 through the final instruction into a new Codex task.</x:v>
      </x:c>
      <x:c r="C2" s="8" t="str">
        <x:v>Copy every line from A4 through the final instruction into a new Codex task.</x:v>
      </x:c>
      <x:c r="D2" s="8" t="str">
        <x:v>Copy every line from A4 through the final instruction into a new Codex task.</x:v>
      </x:c>
      <x:c r="E2" s="8" t="str">
        <x:v>Copy every line from A4 through the final instruction into a new Codex task.</x:v>
      </x:c>
      <x:c r="F2" s="8" t="str">
        <x:v>Copy every line from A4 through the final instruction into a new Codex task.</x:v>
      </x:c>
      <x:c r="G2" s="8" t="str">
        <x:v>Copy every line from A4 through the final instruction into a new Codex task.</x:v>
      </x:c>
      <x:c r="H2" s="8" t="str">
        <x:v>Copy every line from A4 through the final instruction into a new Codex task.</x:v>
      </x:c>
    </x:row>
    <x:row r="4" ht="24" customHeight="1">
      <x:c r="A4" s="40" t="str">
        <x:v>[ROLE AND OBJECTIVE]</x:v>
      </x:c>
      <x:c r="B4" s="40" t="str">
        <x:v>[ROLE AND OBJECTIVE]</x:v>
      </x:c>
      <x:c r="C4" s="40" t="str">
        <x:v>[ROLE AND OBJECTIVE]</x:v>
      </x:c>
      <x:c r="D4" s="40" t="str">
        <x:v>[ROLE AND OBJECTIVE]</x:v>
      </x:c>
      <x:c r="E4" s="40" t="str">
        <x:v>[ROLE AND OBJECTIVE]</x:v>
      </x:c>
      <x:c r="F4" s="40" t="str">
        <x:v>[ROLE AND OBJECTIVE]</x:v>
      </x:c>
      <x:c r="G4" s="40" t="str">
        <x:v>[ROLE AND OBJECTIVE]</x:v>
      </x:c>
      <x:c r="H4" s="40" t="str">
        <x:v>[ROLE AND OBJECTIVE]</x:v>
      </x:c>
    </x:row>
    <x:row r="5" ht="30" customHeight="1">
      <x:c r="A5" s="44" t="str">
        <x:v>You are a research analyst specializing in the U.S. K-Beauty market, distribution, social commerce and consumer reviews.</x:v>
      </x:c>
      <x:c r="B5" s="44" t="str">
        <x:v>You are a research analyst specializing in the U.S. K-Beauty market, distribution, social commerce and consumer reviews.</x:v>
      </x:c>
      <x:c r="C5" s="44" t="str">
        <x:v>You are a research analyst specializing in the U.S. K-Beauty market, distribution, social commerce and consumer reviews.</x:v>
      </x:c>
      <x:c r="D5" s="44" t="str">
        <x:v>You are a research analyst specializing in the U.S. K-Beauty market, distribution, social commerce and consumer reviews.</x:v>
      </x:c>
      <x:c r="E5" s="44" t="str">
        <x:v>You are a research analyst specializing in the U.S. K-Beauty market, distribution, social commerce and consumer reviews.</x:v>
      </x:c>
      <x:c r="F5" s="44" t="str">
        <x:v>You are a research analyst specializing in the U.S. K-Beauty market, distribution, social commerce and consumer reviews.</x:v>
      </x:c>
      <x:c r="G5" s="44" t="str">
        <x:v>You are a research analyst specializing in the U.S. K-Beauty market, distribution, social commerce and consumer reviews.</x:v>
      </x:c>
      <x:c r="H5" s="44" t="str">
        <x:v>You are a research analyst specializing in the U.S. K-Beauty market, distribution, social commerce and consumer reviews.</x:v>
      </x:c>
    </x:row>
    <x:row r="6" ht="30" customHeight="1">
      <x:c r="A6" s="44" t="str">
        <x:v>The objective is to identify value-priced and consumer-friendly K-Beauty vendors and Hero SKUs for U.S. distribution.</x:v>
      </x:c>
      <x:c r="B6" s="44" t="str">
        <x:v>The objective is to identify value-priced and consumer-friendly K-Beauty vendors and Hero SKUs for U.S. distribution.</x:v>
      </x:c>
      <x:c r="C6" s="44" t="str">
        <x:v>The objective is to identify value-priced and consumer-friendly K-Beauty vendors and Hero SKUs for U.S. distribution.</x:v>
      </x:c>
      <x:c r="D6" s="44" t="str">
        <x:v>The objective is to identify value-priced and consumer-friendly K-Beauty vendors and Hero SKUs for U.S. distribution.</x:v>
      </x:c>
      <x:c r="E6" s="44" t="str">
        <x:v>The objective is to identify value-priced and consumer-friendly K-Beauty vendors and Hero SKUs for U.S. distribution.</x:v>
      </x:c>
      <x:c r="F6" s="44" t="str">
        <x:v>The objective is to identify value-priced and consumer-friendly K-Beauty vendors and Hero SKUs for U.S. distribution.</x:v>
      </x:c>
      <x:c r="G6" s="44" t="str">
        <x:v>The objective is to identify value-priced and consumer-friendly K-Beauty vendors and Hero SKUs for U.S. distribution.</x:v>
      </x:c>
      <x:c r="H6" s="44" t="str">
        <x:v>The objective is to identify value-priced and consumer-friendly K-Beauty vendors and Hero SKUs for U.S. distribution.</x:v>
      </x:c>
    </x:row>
    <x:row r="7" ht="30" customHeight="1">
      <x:c r="A7" s="44" t="str">
        <x:v>Evaluate both current U.S. presence and future potential for brands with low awareness but strong product, price and trend fit.</x:v>
      </x:c>
      <x:c r="B7" s="44" t="str">
        <x:v>Evaluate both current U.S. presence and future potential for brands with low awareness but strong product, price and trend fit.</x:v>
      </x:c>
      <x:c r="C7" s="44" t="str">
        <x:v>Evaluate both current U.S. presence and future potential for brands with low awareness but strong product, price and trend fit.</x:v>
      </x:c>
      <x:c r="D7" s="44" t="str">
        <x:v>Evaluate both current U.S. presence and future potential for brands with low awareness but strong product, price and trend fit.</x:v>
      </x:c>
      <x:c r="E7" s="44" t="str">
        <x:v>Evaluate both current U.S. presence and future potential for brands with low awareness but strong product, price and trend fit.</x:v>
      </x:c>
      <x:c r="F7" s="44" t="str">
        <x:v>Evaluate both current U.S. presence and future potential for brands with low awareness but strong product, price and trend fit.</x:v>
      </x:c>
      <x:c r="G7" s="44" t="str">
        <x:v>Evaluate both current U.S. presence and future potential for brands with low awareness but strong product, price and trend fit.</x:v>
      </x:c>
      <x:c r="H7" s="44" t="str">
        <x:v>Evaluate both current U.S. presence and future potential for brands with low awareness but strong product, price and trend fit.</x:v>
      </x:c>
    </x:row>
    <x:row r="8" ht="8" customHeight="1">
      <x:c r="A8" s="48" t="str"/>
      <x:c r="B8" s="48" t="str"/>
      <x:c r="C8" s="48" t="str"/>
      <x:c r="D8" s="48" t="str"/>
      <x:c r="E8" s="48" t="str"/>
      <x:c r="F8" s="48" t="str"/>
      <x:c r="G8" s="48" t="str"/>
      <x:c r="H8" s="48" t="str"/>
    </x:row>
    <x:row r="9" ht="24" customHeight="1">
      <x:c r="A9" s="40" t="str">
        <x:v>[PROJECT FILES AND RULES]</x:v>
      </x:c>
      <x:c r="B9" s="40" t="str">
        <x:v>[PROJECT FILES AND RULES]</x:v>
      </x:c>
      <x:c r="C9" s="40" t="str">
        <x:v>[PROJECT FILES AND RULES]</x:v>
      </x:c>
      <x:c r="D9" s="40" t="str">
        <x:v>[PROJECT FILES AND RULES]</x:v>
      </x:c>
      <x:c r="E9" s="40" t="str">
        <x:v>[PROJECT FILES AND RULES]</x:v>
      </x:c>
      <x:c r="F9" s="40" t="str">
        <x:v>[PROJECT FILES AND RULES]</x:v>
      </x:c>
      <x:c r="G9" s="40" t="str">
        <x:v>[PROJECT FILES AND RULES]</x:v>
      </x:c>
      <x:c r="H9" s="40" t="str">
        <x:v>[PROJECT FILES AND RULES]</x:v>
      </x:c>
    </x:row>
    <x:row r="10" ht="30" customHeight="1">
      <x:c r="A10" s="44" t="str">
        <x:v>Read PROJECT_GUIDE.md and STATUS.md before beginning.</x:v>
      </x:c>
      <x:c r="B10" s="44" t="str">
        <x:v>Read PROJECT_GUIDE.md and STATUS.md before beginning.</x:v>
      </x:c>
      <x:c r="C10" s="44" t="str">
        <x:v>Read PROJECT_GUIDE.md and STATUS.md before beginning.</x:v>
      </x:c>
      <x:c r="D10" s="44" t="str">
        <x:v>Read PROJECT_GUIDE.md and STATUS.md before beginning.</x:v>
      </x:c>
      <x:c r="E10" s="44" t="str">
        <x:v>Read PROJECT_GUIDE.md and STATUS.md before beginning.</x:v>
      </x:c>
      <x:c r="F10" s="44" t="str">
        <x:v>Read PROJECT_GUIDE.md and STATUS.md before beginning.</x:v>
      </x:c>
      <x:c r="G10" s="44" t="str">
        <x:v>Read PROJECT_GUIDE.md and STATUS.md before beginning.</x:v>
      </x:c>
      <x:c r="H10" s="44" t="str">
        <x:v>Read PROJECT_GUIDE.md and STATUS.md before beginning.</x:v>
      </x:c>
    </x:row>
    <x:row r="11" ht="30" customHeight="1">
      <x:c r="A11" s="44" t="str">
        <x:v>Open input/Top40_KBeauty_Global_Rankings 1.xlsx as the controlling source list. Do not modify it.</x:v>
      </x:c>
      <x:c r="B11" s="44" t="str">
        <x:v>Open input/Top40_KBeauty_Global_Rankings 1.xlsx as the controlling source list. Do not modify it.</x:v>
      </x:c>
      <x:c r="C11" s="44" t="str">
        <x:v>Open input/Top40_KBeauty_Global_Rankings 1.xlsx as the controlling source list. Do not modify it.</x:v>
      </x:c>
      <x:c r="D11" s="44" t="str">
        <x:v>Open input/Top40_KBeauty_Global_Rankings 1.xlsx as the controlling source list. Do not modify it.</x:v>
      </x:c>
      <x:c r="E11" s="44" t="str">
        <x:v>Open input/Top40_KBeauty_Global_Rankings 1.xlsx as the controlling source list. Do not modify it.</x:v>
      </x:c>
      <x:c r="F11" s="44" t="str">
        <x:v>Open input/Top40_KBeauty_Global_Rankings 1.xlsx as the controlling source list. Do not modify it.</x:v>
      </x:c>
      <x:c r="G11" s="44" t="str">
        <x:v>Open input/Top40_KBeauty_Global_Rankings 1.xlsx as the controlling source list. Do not modify it.</x:v>
      </x:c>
      <x:c r="H11" s="44" t="str">
        <x:v>Open input/Top40_KBeauty_Global_Rankings 1.xlsx as the controlling source list. Do not modify it.</x:v>
      </x:c>
    </x:row>
    <x:row r="12" ht="30" customHeight="1">
      <x:c r="A12" s="44" t="str">
        <x:v>Use the exact numeric Source Rank 1 through 40 from that file. Do not reorder brands based on current popularity, data availability or research convenience.</x:v>
      </x:c>
      <x:c r="B12" s="44" t="str">
        <x:v>Use the exact numeric Source Rank 1 through 40 from that file. Do not reorder brands based on current popularity, data availability or research convenience.</x:v>
      </x:c>
      <x:c r="C12" s="44" t="str">
        <x:v>Use the exact numeric Source Rank 1 through 40 from that file. Do not reorder brands based on current popularity, data availability or research convenience.</x:v>
      </x:c>
      <x:c r="D12" s="44" t="str">
        <x:v>Use the exact numeric Source Rank 1 through 40 from that file. Do not reorder brands based on current popularity, data availability or research convenience.</x:v>
      </x:c>
      <x:c r="E12" s="44" t="str">
        <x:v>Use the exact numeric Source Rank 1 through 40 from that file. Do not reorder brands based on current popularity, data availability or research convenience.</x:v>
      </x:c>
      <x:c r="F12" s="44" t="str">
        <x:v>Use the exact numeric Source Rank 1 through 40 from that file. Do not reorder brands based on current popularity, data availability or research convenience.</x:v>
      </x:c>
      <x:c r="G12" s="44" t="str">
        <x:v>Use the exact numeric Source Rank 1 through 40 from that file. Do not reorder brands based on current popularity, data availability or research convenience.</x:v>
      </x:c>
      <x:c r="H12" s="44" t="str">
        <x:v>Use the exact numeric Source Rank 1 through 40 from that file. Do not reorder brands based on current popularity, data availability or research convenience.</x:v>
      </x:c>
    </x:row>
    <x:row r="13" ht="30" customHeight="1">
      <x:c r="A13" s="44" t="str">
        <x:v>Accumulate findings only in the latest English kbeauty-us-sourcing-research_master workbook in deliverables/.</x:v>
      </x:c>
      <x:c r="B13" s="44" t="str">
        <x:v>Accumulate findings only in the latest English kbeauty-us-sourcing-research_master workbook in deliverables/.</x:v>
      </x:c>
      <x:c r="C13" s="44" t="str">
        <x:v>Accumulate findings only in the latest English kbeauty-us-sourcing-research_master workbook in deliverables/.</x:v>
      </x:c>
      <x:c r="D13" s="44" t="str">
        <x:v>Accumulate findings only in the latest English kbeauty-us-sourcing-research_master workbook in deliverables/.</x:v>
      </x:c>
      <x:c r="E13" s="44" t="str">
        <x:v>Accumulate findings only in the latest English kbeauty-us-sourcing-research_master workbook in deliverables/.</x:v>
      </x:c>
      <x:c r="F13" s="44" t="str">
        <x:v>Accumulate findings only in the latest English kbeauty-us-sourcing-research_master workbook in deliverables/.</x:v>
      </x:c>
      <x:c r="G13" s="44" t="str">
        <x:v>Accumulate findings only in the latest English kbeauty-us-sourcing-research_master workbook in deliverables/.</x:v>
      </x:c>
      <x:c r="H13" s="44" t="str">
        <x:v>Accumulate findings only in the latest English kbeauty-us-sourcing-research_master workbook in deliverables/.</x:v>
      </x:c>
    </x:row>
    <x:row r="14" ht="30" customHeight="1">
      <x:c r="A14" s="44" t="str">
        <x:v>If a new version is necessary, preserve the prior file and increase the version number.</x:v>
      </x:c>
      <x:c r="B14" s="44" t="str">
        <x:v>If a new version is necessary, preserve the prior file and increase the version number.</x:v>
      </x:c>
      <x:c r="C14" s="44" t="str">
        <x:v>If a new version is necessary, preserve the prior file and increase the version number.</x:v>
      </x:c>
      <x:c r="D14" s="44" t="str">
        <x:v>If a new version is necessary, preserve the prior file and increase the version number.</x:v>
      </x:c>
      <x:c r="E14" s="44" t="str">
        <x:v>If a new version is necessary, preserve the prior file and increase the version number.</x:v>
      </x:c>
      <x:c r="F14" s="44" t="str">
        <x:v>If a new version is necessary, preserve the prior file and increase the version number.</x:v>
      </x:c>
      <x:c r="G14" s="44" t="str">
        <x:v>If a new version is necessary, preserve the prior file and increase the version number.</x:v>
      </x:c>
      <x:c r="H14" s="44" t="str">
        <x:v>If a new version is necessary, preserve the prior file and increase the version number.</x:v>
      </x:c>
    </x:row>
    <x:row r="15" ht="30" customHeight="1">
      <x:c r="A15" s="44" t="str">
        <x:v>Every material claim must have a Source_ID, direct URL, check date and confidence level in 08_Source_Log.</x:v>
      </x:c>
      <x:c r="B15" s="44" t="str">
        <x:v>Every material claim must have a Source_ID, direct URL, check date and confidence level in 08_Source_Log.</x:v>
      </x:c>
      <x:c r="C15" s="44" t="str">
        <x:v>Every material claim must have a Source_ID, direct URL, check date and confidence level in 08_Source_Log.</x:v>
      </x:c>
      <x:c r="D15" s="44" t="str">
        <x:v>Every material claim must have a Source_ID, direct URL, check date and confidence level in 08_Source_Log.</x:v>
      </x:c>
      <x:c r="E15" s="44" t="str">
        <x:v>Every material claim must have a Source_ID, direct URL, check date and confidence level in 08_Source_Log.</x:v>
      </x:c>
      <x:c r="F15" s="44" t="str">
        <x:v>Every material claim must have a Source_ID, direct URL, check date and confidence level in 08_Source_Log.</x:v>
      </x:c>
      <x:c r="G15" s="44" t="str">
        <x:v>Every material claim must have a Source_ID, direct URL, check date and confidence level in 08_Source_Log.</x:v>
      </x:c>
      <x:c r="H15" s="44" t="str">
        <x:v>Every material claim must have a Source_ID, direct URL, check date and confidence level in 08_Source_Log.</x:v>
      </x:c>
    </x:row>
    <x:row r="16" ht="8" customHeight="1">
      <x:c r="A16" s="48" t="str"/>
      <x:c r="B16" s="48" t="str"/>
      <x:c r="C16" s="48" t="str"/>
      <x:c r="D16" s="48" t="str"/>
      <x:c r="E16" s="48" t="str"/>
      <x:c r="F16" s="48" t="str"/>
      <x:c r="G16" s="48" t="str"/>
      <x:c r="H16" s="48" t="str"/>
    </x:row>
    <x:row r="17" ht="24" customHeight="1">
      <x:c r="A17" s="40" t="str">
        <x:v>[ONE BRAND AT A TIME]</x:v>
      </x:c>
      <x:c r="B17" s="40" t="str">
        <x:v>[ONE BRAND AT A TIME]</x:v>
      </x:c>
      <x:c r="C17" s="40" t="str">
        <x:v>[ONE BRAND AT A TIME]</x:v>
      </x:c>
      <x:c r="D17" s="40" t="str">
        <x:v>[ONE BRAND AT A TIME]</x:v>
      </x:c>
      <x:c r="E17" s="40" t="str">
        <x:v>[ONE BRAND AT A TIME]</x:v>
      </x:c>
      <x:c r="F17" s="40" t="str">
        <x:v>[ONE BRAND AT A TIME]</x:v>
      </x:c>
      <x:c r="G17" s="40" t="str">
        <x:v>[ONE BRAND AT A TIME]</x:v>
      </x:c>
      <x:c r="H17" s="40" t="str">
        <x:v>[ONE BRAND AT A TIME]</x:v>
      </x:c>
    </x:row>
    <x:row r="18" ht="30" customHeight="1">
      <x:c r="A18" s="44" t="str">
        <x:v>In the source ranking file, identify the lowest numeric rank from 1 to 40 that has not been approved in 01_Brand_Master.</x:v>
      </x:c>
      <x:c r="B18" s="44" t="str">
        <x:v>In the source ranking file, identify the lowest numeric rank from 1 to 40 that has not been approved in 01_Brand_Master.</x:v>
      </x:c>
      <x:c r="C18" s="44" t="str">
        <x:v>In the source ranking file, identify the lowest numeric rank from 1 to 40 that has not been approved in 01_Brand_Master.</x:v>
      </x:c>
      <x:c r="D18" s="44" t="str">
        <x:v>In the source ranking file, identify the lowest numeric rank from 1 to 40 that has not been approved in 01_Brand_Master.</x:v>
      </x:c>
      <x:c r="E18" s="44" t="str">
        <x:v>In the source ranking file, identify the lowest numeric rank from 1 to 40 that has not been approved in 01_Brand_Master.</x:v>
      </x:c>
      <x:c r="F18" s="44" t="str">
        <x:v>In the source ranking file, identify the lowest numeric rank from 1 to 40 that has not been approved in 01_Brand_Master.</x:v>
      </x:c>
      <x:c r="G18" s="44" t="str">
        <x:v>In the source ranking file, identify the lowest numeric rank from 1 to 40 that has not been approved in 01_Brand_Master.</x:v>
      </x:c>
      <x:c r="H18" s="44" t="str">
        <x:v>In the source ranking file, identify the lowest numeric rank from 1 to 40 that has not been approved in 01_Brand_Master.</x:v>
      </x:c>
    </x:row>
    <x:row r="19" ht="30" customHeight="1">
      <x:c r="A19" s="44" t="str">
        <x:v>Confirm that Source Rank and Brand Name match between the source file and 01_Brand_Master before researching.</x:v>
      </x:c>
      <x:c r="B19" s="44" t="str">
        <x:v>Confirm that Source Rank and Brand Name match between the source file and 01_Brand_Master before researching.</x:v>
      </x:c>
      <x:c r="C19" s="44" t="str">
        <x:v>Confirm that Source Rank and Brand Name match between the source file and 01_Brand_Master before researching.</x:v>
      </x:c>
      <x:c r="D19" s="44" t="str">
        <x:v>Confirm that Source Rank and Brand Name match between the source file and 01_Brand_Master before researching.</x:v>
      </x:c>
      <x:c r="E19" s="44" t="str">
        <x:v>Confirm that Source Rank and Brand Name match between the source file and 01_Brand_Master before researching.</x:v>
      </x:c>
      <x:c r="F19" s="44" t="str">
        <x:v>Confirm that Source Rank and Brand Name match between the source file and 01_Brand_Master before researching.</x:v>
      </x:c>
      <x:c r="G19" s="44" t="str">
        <x:v>Confirm that Source Rank and Brand Name match between the source file and 01_Brand_Master before researching.</x:v>
      </x:c>
      <x:c r="H19" s="44" t="str">
        <x:v>Confirm that Source Rank and Brand Name match between the source file and 01_Brand_Master before researching.</x:v>
      </x:c>
    </x:row>
    <x:row r="20" ht="30" customHeight="1">
      <x:c r="A20" s="44" t="str">
        <x:v>Select only that brand. If any prior brand is Research Complete - Awaiting Approval or Revision Requested, do not start a new brand.</x:v>
      </x:c>
      <x:c r="B20" s="44" t="str">
        <x:v>Select only that brand. If any prior brand is Research Complete - Awaiting Approval or Revision Requested, do not start a new brand.</x:v>
      </x:c>
      <x:c r="C20" s="44" t="str">
        <x:v>Select only that brand. If any prior brand is Research Complete - Awaiting Approval or Revision Requested, do not start a new brand.</x:v>
      </x:c>
      <x:c r="D20" s="44" t="str">
        <x:v>Select only that brand. If any prior brand is Research Complete - Awaiting Approval or Revision Requested, do not start a new brand.</x:v>
      </x:c>
      <x:c r="E20" s="44" t="str">
        <x:v>Select only that brand. If any prior brand is Research Complete - Awaiting Approval or Revision Requested, do not start a new brand.</x:v>
      </x:c>
      <x:c r="F20" s="44" t="str">
        <x:v>Select only that brand. If any prior brand is Research Complete - Awaiting Approval or Revision Requested, do not start a new brand.</x:v>
      </x:c>
      <x:c r="G20" s="44" t="str">
        <x:v>Select only that brand. If any prior brand is Research Complete - Awaiting Approval or Revision Requested, do not start a new brand.</x:v>
      </x:c>
      <x:c r="H20" s="44" t="str">
        <x:v>Select only that brand. If any prior brand is Research Complete - Awaiting Approval or Revision Requested, do not start a new brand.</x:v>
      </x:c>
    </x:row>
    <x:row r="21" ht="30" customHeight="1">
      <x:c r="A21" s="44" t="str">
        <x:v>Set the selected brand status to Research in Progress.</x:v>
      </x:c>
      <x:c r="B21" s="44" t="str">
        <x:v>Set the selected brand status to Research in Progress.</x:v>
      </x:c>
      <x:c r="C21" s="44" t="str">
        <x:v>Set the selected brand status to Research in Progress.</x:v>
      </x:c>
      <x:c r="D21" s="44" t="str">
        <x:v>Set the selected brand status to Research in Progress.</x:v>
      </x:c>
      <x:c r="E21" s="44" t="str">
        <x:v>Set the selected brand status to Research in Progress.</x:v>
      </x:c>
      <x:c r="F21" s="44" t="str">
        <x:v>Set the selected brand status to Research in Progress.</x:v>
      </x:c>
      <x:c r="G21" s="44" t="str">
        <x:v>Set the selected brand status to Research in Progress.</x:v>
      </x:c>
      <x:c r="H21" s="44" t="str">
        <x:v>Set the selected brand status to Research in Progress.</x:v>
      </x:c>
    </x:row>
    <x:row r="22" ht="30" customHeight="1">
      <x:c r="A22" s="44" t="str">
        <x:v>Do not research the next brand until the user explicitly approves the current brand.</x:v>
      </x:c>
      <x:c r="B22" s="44" t="str">
        <x:v>Do not research the next brand until the user explicitly approves the current brand.</x:v>
      </x:c>
      <x:c r="C22" s="44" t="str">
        <x:v>Do not research the next brand until the user explicitly approves the current brand.</x:v>
      </x:c>
      <x:c r="D22" s="44" t="str">
        <x:v>Do not research the next brand until the user explicitly approves the current brand.</x:v>
      </x:c>
      <x:c r="E22" s="44" t="str">
        <x:v>Do not research the next brand until the user explicitly approves the current brand.</x:v>
      </x:c>
      <x:c r="F22" s="44" t="str">
        <x:v>Do not research the next brand until the user explicitly approves the current brand.</x:v>
      </x:c>
      <x:c r="G22" s="44" t="str">
        <x:v>Do not research the next brand until the user explicitly approves the current brand.</x:v>
      </x:c>
      <x:c r="H22" s="44" t="str">
        <x:v>Do not research the next brand until the user explicitly approves the current brand.</x:v>
      </x:c>
    </x:row>
    <x:row r="23" ht="30" customHeight="1">
      <x:c r="A23" s="44" t="str">
        <x:v>Rows without a numeric Source Rank are additional candidates, not part of the Top 40. Research them only after all ranked brands are complete and the user separately authorizes the candidate phase.</x:v>
      </x:c>
      <x:c r="B23" s="44" t="str">
        <x:v>Rows without a numeric Source Rank are additional candidates, not part of the Top 40. Research them only after all ranked brands are complete and the user separately authorizes the candidate phase.</x:v>
      </x:c>
      <x:c r="C23" s="44" t="str">
        <x:v>Rows without a numeric Source Rank are additional candidates, not part of the Top 40. Research them only after all ranked brands are complete and the user separately authorizes the candidate phase.</x:v>
      </x:c>
      <x:c r="D23" s="44" t="str">
        <x:v>Rows without a numeric Source Rank are additional candidates, not part of the Top 40. Research them only after all ranked brands are complete and the user separately authorizes the candidate phase.</x:v>
      </x:c>
      <x:c r="E23" s="44" t="str">
        <x:v>Rows without a numeric Source Rank are additional candidates, not part of the Top 40. Research them only after all ranked brands are complete and the user separately authorizes the candidate phase.</x:v>
      </x:c>
      <x:c r="F23" s="44" t="str">
        <x:v>Rows without a numeric Source Rank are additional candidates, not part of the Top 40. Research them only after all ranked brands are complete and the user separately authorizes the candidate phase.</x:v>
      </x:c>
      <x:c r="G23" s="44" t="str">
        <x:v>Rows without a numeric Source Rank are additional candidates, not part of the Top 40. Research them only after all ranked brands are complete and the user separately authorizes the candidate phase.</x:v>
      </x:c>
      <x:c r="H23" s="44" t="str">
        <x:v>Rows without a numeric Source Rank are additional candidates, not part of the Top 40. Research them only after all ranked brands are complete and the user separately authorizes the candidate phase.</x:v>
      </x:c>
    </x:row>
    <x:row r="24" ht="8" customHeight="1">
      <x:c r="A24" s="48" t="str"/>
      <x:c r="B24" s="48" t="str"/>
      <x:c r="C24" s="48" t="str"/>
      <x:c r="D24" s="48" t="str"/>
      <x:c r="E24" s="48" t="str"/>
      <x:c r="F24" s="48" t="str"/>
      <x:c r="G24" s="48" t="str"/>
      <x:c r="H24" s="48" t="str"/>
    </x:row>
    <x:row r="25" ht="24" customHeight="1">
      <x:c r="A25" s="40" t="str">
        <x:v>[MANDATORY SOURCE-FIELD VERIFICATION]</x:v>
      </x:c>
      <x:c r="B25" s="40" t="str">
        <x:v>[MANDATORY SOURCE-FIELD VERIFICATION]</x:v>
      </x:c>
      <x:c r="C25" s="40" t="str">
        <x:v>[MANDATORY SOURCE-FIELD VERIFICATION]</x:v>
      </x:c>
      <x:c r="D25" s="40" t="str">
        <x:v>[MANDATORY SOURCE-FIELD VERIFICATION]</x:v>
      </x:c>
      <x:c r="E25" s="40" t="str">
        <x:v>[MANDATORY SOURCE-FIELD VERIFICATION]</x:v>
      </x:c>
      <x:c r="F25" s="40" t="str">
        <x:v>[MANDATORY SOURCE-FIELD VERIFICATION]</x:v>
      </x:c>
      <x:c r="G25" s="40" t="str">
        <x:v>[MANDATORY SOURCE-FIELD VERIFICATION]</x:v>
      </x:c>
      <x:c r="H25" s="40" t="str">
        <x:v>[MANDATORY SOURCE-FIELD VERIFICATION]</x:v>
      </x:c>
    </x:row>
    <x:row r="26" ht="30" customHeight="1">
      <x:c r="A26" s="44" t="str">
        <x:v>Before broader market research, verify these four source-file fields for the selected brand: Official Website, Primary Category, Awareness Factor, and Amazon Sales Strength.</x:v>
      </x:c>
      <x:c r="B26" s="44" t="str">
        <x:v>Before broader market research, verify these four source-file fields for the selected brand: Official Website, Primary Category, Awareness Factor, and Amazon Sales Strength.</x:v>
      </x:c>
      <x:c r="C26" s="44" t="str">
        <x:v>Before broader market research, verify these four source-file fields for the selected brand: Official Website, Primary Category, Awareness Factor, and Amazon Sales Strength.</x:v>
      </x:c>
      <x:c r="D26" s="44" t="str">
        <x:v>Before broader market research, verify these four source-file fields for the selected brand: Official Website, Primary Category, Awareness Factor, and Amazon Sales Strength.</x:v>
      </x:c>
      <x:c r="E26" s="44" t="str">
        <x:v>Before broader market research, verify these four source-file fields for the selected brand: Official Website, Primary Category, Awareness Factor, and Amazon Sales Strength.</x:v>
      </x:c>
      <x:c r="F26" s="44" t="str">
        <x:v>Before broader market research, verify these four source-file fields for the selected brand: Official Website, Primary Category, Awareness Factor, and Amazon Sales Strength.</x:v>
      </x:c>
      <x:c r="G26" s="44" t="str">
        <x:v>Before broader market research, verify these four source-file fields for the selected brand: Official Website, Primary Category, Awareness Factor, and Amazon Sales Strength.</x:v>
      </x:c>
      <x:c r="H26" s="44" t="str">
        <x:v>Before broader market research, verify these four source-file fields for the selected brand: Official Website, Primary Category, Awareness Factor, and Amazon Sales Strength.</x:v>
      </x:c>
    </x:row>
    <x:row r="27" ht="30" customHeight="1">
      <x:c r="A27" s="44" t="str">
        <x:v>Preserve Source Website, Source Primary Category, Source Awareness Factor and Source Amazon Sales Strength exactly as imported.</x:v>
      </x:c>
      <x:c r="B27" s="44" t="str">
        <x:v>Preserve Source Website, Source Primary Category, Source Awareness Factor and Source Amazon Sales Strength exactly as imported.</x:v>
      </x:c>
      <x:c r="C27" s="44" t="str">
        <x:v>Preserve Source Website, Source Primary Category, Source Awareness Factor and Source Amazon Sales Strength exactly as imported.</x:v>
      </x:c>
      <x:c r="D27" s="44" t="str">
        <x:v>Preserve Source Website, Source Primary Category, Source Awareness Factor and Source Amazon Sales Strength exactly as imported.</x:v>
      </x:c>
      <x:c r="E27" s="44" t="str">
        <x:v>Preserve Source Website, Source Primary Category, Source Awareness Factor and Source Amazon Sales Strength exactly as imported.</x:v>
      </x:c>
      <x:c r="F27" s="44" t="str">
        <x:v>Preserve Source Website, Source Primary Category, Source Awareness Factor and Source Amazon Sales Strength exactly as imported.</x:v>
      </x:c>
      <x:c r="G27" s="44" t="str">
        <x:v>Preserve Source Website, Source Primary Category, Source Awareness Factor and Source Amazon Sales Strength exactly as imported.</x:v>
      </x:c>
      <x:c r="H27" s="44" t="str">
        <x:v>Preserve Source Website, Source Primary Category, Source Awareness Factor and Source Amazon Sales Strength exactly as imported.</x:v>
      </x:c>
    </x:row>
    <x:row r="28" ht="30" customHeight="1">
      <x:c r="A28" s="44" t="str">
        <x:v>Write research conclusions only in Verified Official Website, Verified Primary Category, Verified Awareness Factor and Verified Amazon Sales Strength.</x:v>
      </x:c>
      <x:c r="B28" s="44" t="str">
        <x:v>Write research conclusions only in Verified Official Website, Verified Primary Category, Verified Awareness Factor and Verified Amazon Sales Strength.</x:v>
      </x:c>
      <x:c r="C28" s="44" t="str">
        <x:v>Write research conclusions only in Verified Official Website, Verified Primary Category, Verified Awareness Factor and Verified Amazon Sales Strength.</x:v>
      </x:c>
      <x:c r="D28" s="44" t="str">
        <x:v>Write research conclusions only in Verified Official Website, Verified Primary Category, Verified Awareness Factor and Verified Amazon Sales Strength.</x:v>
      </x:c>
      <x:c r="E28" s="44" t="str">
        <x:v>Write research conclusions only in Verified Official Website, Verified Primary Category, Verified Awareness Factor and Verified Amazon Sales Strength.</x:v>
      </x:c>
      <x:c r="F28" s="44" t="str">
        <x:v>Write research conclusions only in Verified Official Website, Verified Primary Category, Verified Awareness Factor and Verified Amazon Sales Strength.</x:v>
      </x:c>
      <x:c r="G28" s="44" t="str">
        <x:v>Write research conclusions only in Verified Official Website, Verified Primary Category, Verified Awareness Factor and Verified Amazon Sales Strength.</x:v>
      </x:c>
      <x:c r="H28" s="44" t="str">
        <x:v>Write research conclusions only in Verified Official Website, Verified Primary Category, Verified Awareness Factor and Verified Amazon Sales Strength.</x:v>
      </x:c>
    </x:row>
    <x:row r="29" ht="30" customHeight="1">
      <x:c r="A29" s="44" t="str">
        <x:v>Set Core-Field Verification to Verified only when all four fields have adequate current evidence. Otherwise use Partially Verified or Conflicting Evidence.</x:v>
      </x:c>
      <x:c r="B29" s="44" t="str">
        <x:v>Set Core-Field Verification to Verified only when all four fields have adequate current evidence. Otherwise use Partially Verified or Conflicting Evidence.</x:v>
      </x:c>
      <x:c r="C29" s="44" t="str">
        <x:v>Set Core-Field Verification to Verified only when all four fields have adequate current evidence. Otherwise use Partially Verified or Conflicting Evidence.</x:v>
      </x:c>
      <x:c r="D29" s="44" t="str">
        <x:v>Set Core-Field Verification to Verified only when all four fields have adequate current evidence. Otherwise use Partially Verified or Conflicting Evidence.</x:v>
      </x:c>
      <x:c r="E29" s="44" t="str">
        <x:v>Set Core-Field Verification to Verified only when all four fields have adequate current evidence. Otherwise use Partially Verified or Conflicting Evidence.</x:v>
      </x:c>
      <x:c r="F29" s="44" t="str">
        <x:v>Set Core-Field Verification to Verified only when all four fields have adequate current evidence. Otherwise use Partially Verified or Conflicting Evidence.</x:v>
      </x:c>
      <x:c r="G29" s="44" t="str">
        <x:v>Set Core-Field Verification to Verified only when all four fields have adequate current evidence. Otherwise use Partially Verified or Conflicting Evidence.</x:v>
      </x:c>
      <x:c r="H29" s="44" t="str">
        <x:v>Set Core-Field Verification to Verified only when all four fields have adequate current evidence. Otherwise use Partially Verified or Conflicting Evidence.</x:v>
      </x:c>
    </x:row>
    <x:row r="30" ht="30" customHeight="1">
      <x:c r="A30" s="44" t="str">
        <x:v>Create Source_ID entries supporting each verified field and record the check date.</x:v>
      </x:c>
      <x:c r="B30" s="44" t="str">
        <x:v>Create Source_ID entries supporting each verified field and record the check date.</x:v>
      </x:c>
      <x:c r="C30" s="44" t="str">
        <x:v>Create Source_ID entries supporting each verified field and record the check date.</x:v>
      </x:c>
      <x:c r="D30" s="44" t="str">
        <x:v>Create Source_ID entries supporting each verified field and record the check date.</x:v>
      </x:c>
      <x:c r="E30" s="44" t="str">
        <x:v>Create Source_ID entries supporting each verified field and record the check date.</x:v>
      </x:c>
      <x:c r="F30" s="44" t="str">
        <x:v>Create Source_ID entries supporting each verified field and record the check date.</x:v>
      </x:c>
      <x:c r="G30" s="44" t="str">
        <x:v>Create Source_ID entries supporting each verified field and record the check date.</x:v>
      </x:c>
      <x:c r="H30" s="44" t="str">
        <x:v>Create Source_ID entries supporting each verified field and record the check date.</x:v>
      </x:c>
    </x:row>
    <x:row r="31" ht="8" customHeight="1">
      <x:c r="A31" s="48" t="str"/>
      <x:c r="B31" s="48" t="str"/>
      <x:c r="C31" s="48" t="str"/>
      <x:c r="D31" s="48" t="str"/>
      <x:c r="E31" s="48" t="str"/>
      <x:c r="F31" s="48" t="str"/>
      <x:c r="G31" s="48" t="str"/>
      <x:c r="H31" s="48" t="str"/>
    </x:row>
    <x:row r="32" ht="24" customHeight="1">
      <x:c r="A32" s="40" t="str">
        <x:v>[DEEP RESEARCH SCOPE]</x:v>
      </x:c>
      <x:c r="B32" s="40" t="str">
        <x:v>[DEEP RESEARCH SCOPE]</x:v>
      </x:c>
      <x:c r="C32" s="40" t="str">
        <x:v>[DEEP RESEARCH SCOPE]</x:v>
      </x:c>
      <x:c r="D32" s="40" t="str">
        <x:v>[DEEP RESEARCH SCOPE]</x:v>
      </x:c>
      <x:c r="E32" s="40" t="str">
        <x:v>[DEEP RESEARCH SCOPE]</x:v>
      </x:c>
      <x:c r="F32" s="40" t="str">
        <x:v>[DEEP RESEARCH SCOPE]</x:v>
      </x:c>
      <x:c r="G32" s="40" t="str">
        <x:v>[DEEP RESEARCH SCOPE]</x:v>
      </x:c>
      <x:c r="H32" s="40" t="str">
        <x:v>[DEEP RESEARCH SCOPE]</x:v>
      </x:c>
    </x:row>
    <x:row r="33" ht="30" customHeight="1">
      <x:c r="A33" s="44" t="str">
        <x:v>1. Official sources: company, founding year, positioning, categories, 3-5 Hero SKUs, price, ingredients, USP and U.S. entity or distributor.</x:v>
      </x:c>
      <x:c r="B33" s="44" t="str">
        <x:v>1. Official sources: company, founding year, positioning, categories, 3-5 Hero SKUs, price, ingredients, USP and U.S. entity or distributor.</x:v>
      </x:c>
      <x:c r="C33" s="44" t="str">
        <x:v>1. Official sources: company, founding year, positioning, categories, 3-5 Hero SKUs, price, ingredients, USP and U.S. entity or distributor.</x:v>
      </x:c>
      <x:c r="D33" s="44" t="str">
        <x:v>1. Official sources: company, founding year, positioning, categories, 3-5 Hero SKUs, price, ingredients, USP and U.S. entity or distributor.</x:v>
      </x:c>
      <x:c r="E33" s="44" t="str">
        <x:v>1. Official sources: company, founding year, positioning, categories, 3-5 Hero SKUs, price, ingredients, USP and U.S. entity or distributor.</x:v>
      </x:c>
      <x:c r="F33" s="44" t="str">
        <x:v>1. Official sources: company, founding year, positioning, categories, 3-5 Hero SKUs, price, ingredients, USP and U.S. entity or distributor.</x:v>
      </x:c>
      <x:c r="G33" s="44" t="str">
        <x:v>1. Official sources: company, founding year, positioning, categories, 3-5 Hero SKUs, price, ingredients, USP and U.S. entity or distributor.</x:v>
      </x:c>
      <x:c r="H33" s="44" t="str">
        <x:v>1. Official sources: company, founding year, positioning, categories, 3-5 Hero SKUs, price, ingredients, USP and U.S. entity or distributor.</x:v>
      </x:c>
    </x:row>
    <x:row r="34" ht="30" customHeight="1">
      <x:c r="A34" s="44" t="str">
        <x:v>2. U.S. channels: Amazon US, Walmart, TikTok Shop US, Instagram, brand store, Target, Ulta, Sephora, CVS, Walgreens, Costco, iHerb and K-Beauty retailers.</x:v>
      </x:c>
      <x:c r="B34" s="44" t="str">
        <x:v>2. U.S. channels: Amazon US, Walmart, TikTok Shop US, Instagram, brand store, Target, Ulta, Sephora, CVS, Walgreens, Costco, iHerb and K-Beauty retailers.</x:v>
      </x:c>
      <x:c r="C34" s="44" t="str">
        <x:v>2. U.S. channels: Amazon US, Walmart, TikTok Shop US, Instagram, brand store, Target, Ulta, Sephora, CVS, Walgreens, Costco, iHerb and K-Beauty retailers.</x:v>
      </x:c>
      <x:c r="D34" s="44" t="str">
        <x:v>2. U.S. channels: Amazon US, Walmart, TikTok Shop US, Instagram, brand store, Target, Ulta, Sephora, CVS, Walgreens, Costco, iHerb and K-Beauty retailers.</x:v>
      </x:c>
      <x:c r="E34" s="44" t="str">
        <x:v>2. U.S. channels: Amazon US, Walmart, TikTok Shop US, Instagram, brand store, Target, Ulta, Sephora, CVS, Walgreens, Costco, iHerb and K-Beauty retailers.</x:v>
      </x:c>
      <x:c r="F34" s="44" t="str">
        <x:v>2. U.S. channels: Amazon US, Walmart, TikTok Shop US, Instagram, brand store, Target, Ulta, Sephora, CVS, Walgreens, Costco, iHerb and K-Beauty retailers.</x:v>
      </x:c>
      <x:c r="G34" s="44" t="str">
        <x:v>2. U.S. channels: Amazon US, Walmart, TikTok Shop US, Instagram, brand store, Target, Ulta, Sephora, CVS, Walgreens, Costco, iHerb and K-Beauty retailers.</x:v>
      </x:c>
      <x:c r="H34" s="44" t="str">
        <x:v>2. U.S. channels: Amazon US, Walmart, TikTok Shop US, Instagram, brand store, Target, Ulta, Sephora, CVS, Walgreens, Costco, iHerb and K-Beauty retailers.</x:v>
      </x:c>
    </x:row>
    <x:row r="35" ht="30" customHeight="1">
      <x:c r="A35" s="44" t="str">
        <x:v>3. Sales signals: price, seller, official status, review count, rating, BSR, category rank, purchase display, review velocity, stock and duplicate listings.</x:v>
      </x:c>
      <x:c r="B35" s="44" t="str">
        <x:v>3. Sales signals: price, seller, official status, review count, rating, BSR, category rank, purchase display, review velocity, stock and duplicate listings.</x:v>
      </x:c>
      <x:c r="C35" s="44" t="str">
        <x:v>3. Sales signals: price, seller, official status, review count, rating, BSR, category rank, purchase display, review velocity, stock and duplicate listings.</x:v>
      </x:c>
      <x:c r="D35" s="44" t="str">
        <x:v>3. Sales signals: price, seller, official status, review count, rating, BSR, category rank, purchase display, review velocity, stock and duplicate listings.</x:v>
      </x:c>
      <x:c r="E35" s="44" t="str">
        <x:v>3. Sales signals: price, seller, official status, review count, rating, BSR, category rank, purchase display, review velocity, stock and duplicate listings.</x:v>
      </x:c>
      <x:c r="F35" s="44" t="str">
        <x:v>3. Sales signals: price, seller, official status, review count, rating, BSR, category rank, purchase display, review velocity, stock and duplicate listings.</x:v>
      </x:c>
      <x:c r="G35" s="44" t="str">
        <x:v>3. Sales signals: price, seller, official status, review count, rating, BSR, category rank, purchase display, review velocity, stock and duplicate listings.</x:v>
      </x:c>
      <x:c r="H35" s="44" t="str">
        <x:v>3. Sales signals: price, seller, official status, review count, rating, BSR, category rank, purchase display, review velocity, stock and duplicate listings.</x:v>
      </x:c>
    </x:row>
    <x:row r="36" ht="30" customHeight="1">
      <x:c r="A36" s="44" t="str">
        <x:v>4. Social signals: TikTok and Instagram content, views, comments, shares, UGC, U.S. creators, sponsorship risk and purchase-intent comments.</x:v>
      </x:c>
      <x:c r="B36" s="44" t="str">
        <x:v>4. Social signals: TikTok and Instagram content, views, comments, shares, UGC, U.S. creators, sponsorship risk and purchase-intent comments.</x:v>
      </x:c>
      <x:c r="C36" s="44" t="str">
        <x:v>4. Social signals: TikTok and Instagram content, views, comments, shares, UGC, U.S. creators, sponsorship risk and purchase-intent comments.</x:v>
      </x:c>
      <x:c r="D36" s="44" t="str">
        <x:v>4. Social signals: TikTok and Instagram content, views, comments, shares, UGC, U.S. creators, sponsorship risk and purchase-intent comments.</x:v>
      </x:c>
      <x:c r="E36" s="44" t="str">
        <x:v>4. Social signals: TikTok and Instagram content, views, comments, shares, UGC, U.S. creators, sponsorship risk and purchase-intent comments.</x:v>
      </x:c>
      <x:c r="F36" s="44" t="str">
        <x:v>4. Social signals: TikTok and Instagram content, views, comments, shares, UGC, U.S. creators, sponsorship risk and purchase-intent comments.</x:v>
      </x:c>
      <x:c r="G36" s="44" t="str">
        <x:v>4. Social signals: TikTok and Instagram content, views, comments, shares, UGC, U.S. creators, sponsorship risk and purchase-intent comments.</x:v>
      </x:c>
      <x:c r="H36" s="44" t="str">
        <x:v>4. Social signals: TikTok and Instagram content, views, comments, shares, UGC, U.S. creators, sponsorship risk and purchase-intent comments.</x:v>
      </x:c>
    </x:row>
    <x:row r="37" ht="30" customHeight="1">
      <x:c r="A37" s="44" t="str">
        <x:v>5. Consumer feedback: Reddit, verified Amazon purchases, Walmart, retailers, YouTube, Influenster and independent beauty media.</x:v>
      </x:c>
      <x:c r="B37" s="44" t="str">
        <x:v>5. Consumer feedback: Reddit, verified Amazon purchases, Walmart, retailers, YouTube, Influenster and independent beauty media.</x:v>
      </x:c>
      <x:c r="C37" s="44" t="str">
        <x:v>5. Consumer feedback: Reddit, verified Amazon purchases, Walmart, retailers, YouTube, Influenster and independent beauty media.</x:v>
      </x:c>
      <x:c r="D37" s="44" t="str">
        <x:v>5. Consumer feedback: Reddit, verified Amazon purchases, Walmart, retailers, YouTube, Influenster and independent beauty media.</x:v>
      </x:c>
      <x:c r="E37" s="44" t="str">
        <x:v>5. Consumer feedback: Reddit, verified Amazon purchases, Walmart, retailers, YouTube, Influenster and independent beauty media.</x:v>
      </x:c>
      <x:c r="F37" s="44" t="str">
        <x:v>5. Consumer feedback: Reddit, verified Amazon purchases, Walmart, retailers, YouTube, Influenster and independent beauty media.</x:v>
      </x:c>
      <x:c r="G37" s="44" t="str">
        <x:v>5. Consumer feedback: Reddit, verified Amazon purchases, Walmart, retailers, YouTube, Influenster and independent beauty media.</x:v>
      </x:c>
      <x:c r="H37" s="44" t="str">
        <x:v>5. Consumer feedback: Reddit, verified Amazon purchases, Walmart, retailers, YouTube, Influenster and independent beauty media.</x:v>
      </x:c>
    </x:row>
    <x:row r="38" ht="30" customHeight="1">
      <x:c r="A38" s="44" t="str">
        <x:v>6. Competitors: identify direct SKU competitors by awareness, price, function and ingredients; compare size, unit price, reviews and differentiation.</x:v>
      </x:c>
      <x:c r="B38" s="44" t="str">
        <x:v>6. Competitors: identify direct SKU competitors by awareness, price, function and ingredients; compare size, unit price, reviews and differentiation.</x:v>
      </x:c>
      <x:c r="C38" s="44" t="str">
        <x:v>6. Competitors: identify direct SKU competitors by awareness, price, function and ingredients; compare size, unit price, reviews and differentiation.</x:v>
      </x:c>
      <x:c r="D38" s="44" t="str">
        <x:v>6. Competitors: identify direct SKU competitors by awareness, price, function and ingredients; compare size, unit price, reviews and differentiation.</x:v>
      </x:c>
      <x:c r="E38" s="44" t="str">
        <x:v>6. Competitors: identify direct SKU competitors by awareness, price, function and ingredients; compare size, unit price, reviews and differentiation.</x:v>
      </x:c>
      <x:c r="F38" s="44" t="str">
        <x:v>6. Competitors: identify direct SKU competitors by awareness, price, function and ingredients; compare size, unit price, reviews and differentiation.</x:v>
      </x:c>
      <x:c r="G38" s="44" t="str">
        <x:v>6. Competitors: identify direct SKU competitors by awareness, price, function and ingredients; compare size, unit price, reviews and differentiation.</x:v>
      </x:c>
      <x:c r="H38" s="44" t="str">
        <x:v>6. Competitors: identify direct SKU competitors by awareness, price, function and ingredients; compare size, unit price, reviews and differentiation.</x:v>
      </x:c>
    </x:row>
    <x:row r="39" ht="30" customHeight="1">
      <x:c r="A39" s="44" t="str">
        <x:v>7. Price and distribution: value-tier fit, Korea/U.S. price gap, discounts, Amazon price erosion, channel conflict, margin and distributor entry opportunity.</x:v>
      </x:c>
      <x:c r="B39" s="44" t="str">
        <x:v>7. Price and distribution: value-tier fit, Korea/U.S. price gap, discounts, Amazon price erosion, channel conflict, margin and distributor entry opportunity.</x:v>
      </x:c>
      <x:c r="C39" s="44" t="str">
        <x:v>7. Price and distribution: value-tier fit, Korea/U.S. price gap, discounts, Amazon price erosion, channel conflict, margin and distributor entry opportunity.</x:v>
      </x:c>
      <x:c r="D39" s="44" t="str">
        <x:v>7. Price and distribution: value-tier fit, Korea/U.S. price gap, discounts, Amazon price erosion, channel conflict, margin and distributor entry opportunity.</x:v>
      </x:c>
      <x:c r="E39" s="44" t="str">
        <x:v>7. Price and distribution: value-tier fit, Korea/U.S. price gap, discounts, Amazon price erosion, channel conflict, margin and distributor entry opportunity.</x:v>
      </x:c>
      <x:c r="F39" s="44" t="str">
        <x:v>7. Price and distribution: value-tier fit, Korea/U.S. price gap, discounts, Amazon price erosion, channel conflict, margin and distributor entry opportunity.</x:v>
      </x:c>
      <x:c r="G39" s="44" t="str">
        <x:v>7. Price and distribution: value-tier fit, Korea/U.S. price gap, discounts, Amazon price erosion, channel conflict, margin and distributor entry opportunity.</x:v>
      </x:c>
      <x:c r="H39" s="44" t="str">
        <x:v>7. Price and distribution: value-tier fit, Korea/U.S. price gap, discounts, Amazon price erosion, channel conflict, margin and distributor entry opportunity.</x:v>
      </x:c>
    </x:row>
    <x:row r="40" ht="30" customHeight="1">
      <x:c r="A40" s="44" t="str">
        <x:v>8. Regulatory pre-screen: MoCRA, English labeling, OTC risk, therapeutic claims, safety files, recalls, trademarks, counterfeits and gray-market risk. State that this is not legal advice.</x:v>
      </x:c>
      <x:c r="B40" s="44" t="str">
        <x:v>8. Regulatory pre-screen: MoCRA, English labeling, OTC risk, therapeutic claims, safety files, recalls, trademarks, counterfeits and gray-market risk. State that this is not legal advice.</x:v>
      </x:c>
      <x:c r="C40" s="44" t="str">
        <x:v>8. Regulatory pre-screen: MoCRA, English labeling, OTC risk, therapeutic claims, safety files, recalls, trademarks, counterfeits and gray-market risk. State that this is not legal advice.</x:v>
      </x:c>
      <x:c r="D40" s="44" t="str">
        <x:v>8. Regulatory pre-screen: MoCRA, English labeling, OTC risk, therapeutic claims, safety files, recalls, trademarks, counterfeits and gray-market risk. State that this is not legal advice.</x:v>
      </x:c>
      <x:c r="E40" s="44" t="str">
        <x:v>8. Regulatory pre-screen: MoCRA, English labeling, OTC risk, therapeutic claims, safety files, recalls, trademarks, counterfeits and gray-market risk. State that this is not legal advice.</x:v>
      </x:c>
      <x:c r="F40" s="44" t="str">
        <x:v>8. Regulatory pre-screen: MoCRA, English labeling, OTC risk, therapeutic claims, safety files, recalls, trademarks, counterfeits and gray-market risk. State that this is not legal advice.</x:v>
      </x:c>
      <x:c r="G40" s="44" t="str">
        <x:v>8. Regulatory pre-screen: MoCRA, English labeling, OTC risk, therapeutic claims, safety files, recalls, trademarks, counterfeits and gray-market risk. State that this is not legal advice.</x:v>
      </x:c>
      <x:c r="H40" s="44" t="str">
        <x:v>8. Regulatory pre-screen: MoCRA, English labeling, OTC risk, therapeutic claims, safety files, recalls, trademarks, counterfeits and gray-market risk. State that this is not legal advice.</x:v>
      </x:c>
    </x:row>
    <x:row r="41" ht="8" customHeight="1">
      <x:c r="A41" s="48" t="str"/>
      <x:c r="B41" s="48" t="str"/>
      <x:c r="C41" s="48" t="str"/>
      <x:c r="D41" s="48" t="str"/>
      <x:c r="E41" s="48" t="str"/>
      <x:c r="F41" s="48" t="str"/>
      <x:c r="G41" s="48" t="str"/>
      <x:c r="H41" s="48" t="str"/>
    </x:row>
    <x:row r="42" ht="24" customHeight="1">
      <x:c r="A42" s="40" t="str">
        <x:v>[SALES AND MARKET SHARE]</x:v>
      </x:c>
      <x:c r="B42" s="40" t="str">
        <x:v>[SALES AND MARKET SHARE]</x:v>
      </x:c>
      <x:c r="C42" s="40" t="str">
        <x:v>[SALES AND MARKET SHARE]</x:v>
      </x:c>
      <x:c r="D42" s="40" t="str">
        <x:v>[SALES AND MARKET SHARE]</x:v>
      </x:c>
      <x:c r="E42" s="40" t="str">
        <x:v>[SALES AND MARKET SHARE]</x:v>
      </x:c>
      <x:c r="F42" s="40" t="str">
        <x:v>[SALES AND MARKET SHARE]</x:v>
      </x:c>
      <x:c r="G42" s="40" t="str">
        <x:v>[SALES AND MARKET SHARE]</x:v>
      </x:c>
      <x:c r="H42" s="40" t="str">
        <x:v>[SALES AND MARKET SHARE]</x:v>
      </x:c>
    </x:row>
    <x:row r="43" ht="30" customHeight="1">
      <x:c r="A43" s="44" t="str">
        <x:v>Do not invent sales, revenue or market-share figures when public data is unavailable.</x:v>
      </x:c>
      <x:c r="B43" s="44" t="str">
        <x:v>Do not invent sales, revenue or market-share figures when public data is unavailable.</x:v>
      </x:c>
      <x:c r="C43" s="44" t="str">
        <x:v>Do not invent sales, revenue or market-share figures when public data is unavailable.</x:v>
      </x:c>
      <x:c r="D43" s="44" t="str">
        <x:v>Do not invent sales, revenue or market-share figures when public data is unavailable.</x:v>
      </x:c>
      <x:c r="E43" s="44" t="str">
        <x:v>Do not invent sales, revenue or market-share figures when public data is unavailable.</x:v>
      </x:c>
      <x:c r="F43" s="44" t="str">
        <x:v>Do not invent sales, revenue or market-share figures when public data is unavailable.</x:v>
      </x:c>
      <x:c r="G43" s="44" t="str">
        <x:v>Do not invent sales, revenue or market-share figures when public data is unavailable.</x:v>
      </x:c>
      <x:c r="H43" s="44" t="str">
        <x:v>Do not invent sales, revenue or market-share figures when public data is unavailable.</x:v>
      </x:c>
    </x:row>
    <x:row r="44" ht="30" customHeight="1">
      <x:c r="A44" s="44" t="str">
        <x:v>Record: Verified Facts / Estimated Sales Scale / Indicators / Period / Confidence / Limitations / Additional Verification Method.</x:v>
      </x:c>
      <x:c r="B44" s="44" t="str">
        <x:v>Record: Verified Facts / Estimated Sales Scale / Indicators / Period / Confidence / Limitations / Additional Verification Method.</x:v>
      </x:c>
      <x:c r="C44" s="44" t="str">
        <x:v>Record: Verified Facts / Estimated Sales Scale / Indicators / Period / Confidence / Limitations / Additional Verification Method.</x:v>
      </x:c>
      <x:c r="D44" s="44" t="str">
        <x:v>Record: Verified Facts / Estimated Sales Scale / Indicators / Period / Confidence / Limitations / Additional Verification Method.</x:v>
      </x:c>
      <x:c r="E44" s="44" t="str">
        <x:v>Record: Verified Facts / Estimated Sales Scale / Indicators / Period / Confidence / Limitations / Additional Verification Method.</x:v>
      </x:c>
      <x:c r="F44" s="44" t="str">
        <x:v>Record: Verified Facts / Estimated Sales Scale / Indicators / Period / Confidence / Limitations / Additional Verification Method.</x:v>
      </x:c>
      <x:c r="G44" s="44" t="str">
        <x:v>Record: Verified Facts / Estimated Sales Scale / Indicators / Period / Confidence / Limitations / Additional Verification Method.</x:v>
      </x:c>
      <x:c r="H44" s="44" t="str">
        <x:v>Record: Verified Facts / Estimated Sales Scale / Indicators / Period / Confidence / Limitations / Additional Verification Method.</x:v>
      </x:c>
    </x:row>
    <x:row r="45" ht="30" customHeight="1">
      <x:c r="A45" s="44" t="str">
        <x:v>For Amazon and Walmart, use public proxies such as BSR, review growth, purchase displays, stock status and seller count.</x:v>
      </x:c>
      <x:c r="B45" s="44" t="str">
        <x:v>For Amazon and Walmart, use public proxies such as BSR, review growth, purchase displays, stock status and seller count.</x:v>
      </x:c>
      <x:c r="C45" s="44" t="str">
        <x:v>For Amazon and Walmart, use public proxies such as BSR, review growth, purchase displays, stock status and seller count.</x:v>
      </x:c>
      <x:c r="D45" s="44" t="str">
        <x:v>For Amazon and Walmart, use public proxies such as BSR, review growth, purchase displays, stock status and seller count.</x:v>
      </x:c>
      <x:c r="E45" s="44" t="str">
        <x:v>For Amazon and Walmart, use public proxies such as BSR, review growth, purchase displays, stock status and seller count.</x:v>
      </x:c>
      <x:c r="F45" s="44" t="str">
        <x:v>For Amazon and Walmart, use public proxies such as BSR, review growth, purchase displays, stock status and seller count.</x:v>
      </x:c>
      <x:c r="G45" s="44" t="str">
        <x:v>For Amazon and Walmart, use public proxies such as BSR, review growth, purchase displays, stock status and seller count.</x:v>
      </x:c>
      <x:c r="H45" s="44" t="str">
        <x:v>For Amazon and Walmart, use public proxies such as BSR, review growth, purchase displays, stock status and seller count.</x:v>
      </x:c>
    </x:row>
    <x:row r="46" ht="30" customHeight="1">
      <x:c r="A46" s="44" t="str">
        <x:v>Clearly separate brand claims, independent reporting, consumer opinion and analyst estimates.</x:v>
      </x:c>
      <x:c r="B46" s="44" t="str">
        <x:v>Clearly separate brand claims, independent reporting, consumer opinion and analyst estimates.</x:v>
      </x:c>
      <x:c r="C46" s="44" t="str">
        <x:v>Clearly separate brand claims, independent reporting, consumer opinion and analyst estimates.</x:v>
      </x:c>
      <x:c r="D46" s="44" t="str">
        <x:v>Clearly separate brand claims, independent reporting, consumer opinion and analyst estimates.</x:v>
      </x:c>
      <x:c r="E46" s="44" t="str">
        <x:v>Clearly separate brand claims, independent reporting, consumer opinion and analyst estimates.</x:v>
      </x:c>
      <x:c r="F46" s="44" t="str">
        <x:v>Clearly separate brand claims, independent reporting, consumer opinion and analyst estimates.</x:v>
      </x:c>
      <x:c r="G46" s="44" t="str">
        <x:v>Clearly separate brand claims, independent reporting, consumer opinion and analyst estimates.</x:v>
      </x:c>
      <x:c r="H46" s="44" t="str">
        <x:v>Clearly separate brand claims, independent reporting, consumer opinion and analyst estimates.</x:v>
      </x:c>
    </x:row>
    <x:row r="47" ht="8" customHeight="1">
      <x:c r="A47" s="48" t="str"/>
      <x:c r="B47" s="48" t="str"/>
      <x:c r="C47" s="48" t="str"/>
      <x:c r="D47" s="48" t="str"/>
      <x:c r="E47" s="48" t="str"/>
      <x:c r="F47" s="48" t="str"/>
      <x:c r="G47" s="48" t="str"/>
      <x:c r="H47" s="48" t="str"/>
    </x:row>
    <x:row r="48" ht="24" customHeight="1">
      <x:c r="A48" s="40" t="str">
        <x:v>[IMAGE COLLECTION]</x:v>
      </x:c>
      <x:c r="B48" s="40" t="str">
        <x:v>[IMAGE COLLECTION]</x:v>
      </x:c>
      <x:c r="C48" s="40" t="str">
        <x:v>[IMAGE COLLECTION]</x:v>
      </x:c>
      <x:c r="D48" s="40" t="str">
        <x:v>[IMAGE COLLECTION]</x:v>
      </x:c>
      <x:c r="E48" s="40" t="str">
        <x:v>[IMAGE COLLECTION]</x:v>
      </x:c>
      <x:c r="F48" s="40" t="str">
        <x:v>[IMAGE COLLECTION]</x:v>
      </x:c>
      <x:c r="G48" s="40" t="str">
        <x:v>[IMAGE COLLECTION]</x:v>
      </x:c>
      <x:c r="H48" s="40" t="str">
        <x:v>[IMAGE COLLECTION]</x:v>
      </x:c>
    </x:row>
    <x:row r="49" ht="30" customHeight="1">
      <x:c r="A49" s="44" t="str">
        <x:v>Collect one brand logo and one representative image for each Hero SKU. Add packaging, texture, retail or sales-page screenshots only when useful.</x:v>
      </x:c>
      <x:c r="B49" s="44" t="str">
        <x:v>Collect one brand logo and one representative image for each Hero SKU. Add packaging, texture, retail or sales-page screenshots only when useful.</x:v>
      </x:c>
      <x:c r="C49" s="44" t="str">
        <x:v>Collect one brand logo and one representative image for each Hero SKU. Add packaging, texture, retail or sales-page screenshots only when useful.</x:v>
      </x:c>
      <x:c r="D49" s="44" t="str">
        <x:v>Collect one brand logo and one representative image for each Hero SKU. Add packaging, texture, retail or sales-page screenshots only when useful.</x:v>
      </x:c>
      <x:c r="E49" s="44" t="str">
        <x:v>Collect one brand logo and one representative image for each Hero SKU. Add packaging, texture, retail or sales-page screenshots only when useful.</x:v>
      </x:c>
      <x:c r="F49" s="44" t="str">
        <x:v>Collect one brand logo and one representative image for each Hero SKU. Add packaging, texture, retail or sales-page screenshots only when useful.</x:v>
      </x:c>
      <x:c r="G49" s="44" t="str">
        <x:v>Collect one brand logo and one representative image for each Hero SKU. Add packaging, texture, retail or sales-page screenshots only when useful.</x:v>
      </x:c>
      <x:c r="H49" s="44" t="str">
        <x:v>Collect one brand logo and one representative image for each Hero SKU. Add packaging, texture, retail or sales-page screenshots only when useful.</x:v>
      </x:c>
    </x:row>
    <x:row r="50" ht="30" customHeight="1">
      <x:c r="A50" s="44" t="str">
        <x:v>Log Image_ID, original URL, source page URL, check date and copyright or usage notes in 09_Image_Assets.</x:v>
      </x:c>
      <x:c r="B50" s="44" t="str">
        <x:v>Log Image_ID, original URL, source page URL, check date and copyright or usage notes in 09_Image_Assets.</x:v>
      </x:c>
      <x:c r="C50" s="44" t="str">
        <x:v>Log Image_ID, original URL, source page URL, check date and copyright or usage notes in 09_Image_Assets.</x:v>
      </x:c>
      <x:c r="D50" s="44" t="str">
        <x:v>Log Image_ID, original URL, source page URL, check date and copyright or usage notes in 09_Image_Assets.</x:v>
      </x:c>
      <x:c r="E50" s="44" t="str">
        <x:v>Log Image_ID, original URL, source page URL, check date and copyright or usage notes in 09_Image_Assets.</x:v>
      </x:c>
      <x:c r="F50" s="44" t="str">
        <x:v>Log Image_ID, original URL, source page URL, check date and copyright or usage notes in 09_Image_Assets.</x:v>
      </x:c>
      <x:c r="G50" s="44" t="str">
        <x:v>Log Image_ID, original URL, source page URL, check date and copyright or usage notes in 09_Image_Assets.</x:v>
      </x:c>
      <x:c r="H50" s="44" t="str">
        <x:v>Log Image_ID, original URL, source page URL, check date and copyright or usage notes in 09_Image_Assets.</x:v>
      </x:c>
    </x:row>
    <x:row r="51" ht="30" customHeight="1">
      <x:c r="A51" s="44" t="str">
        <x:v>If embedding an image, place it in a reserved image area without covering table cells and keep the source link.</x:v>
      </x:c>
      <x:c r="B51" s="44" t="str">
        <x:v>If embedding an image, place it in a reserved image area without covering table cells and keep the source link.</x:v>
      </x:c>
      <x:c r="C51" s="44" t="str">
        <x:v>If embedding an image, place it in a reserved image area without covering table cells and keep the source link.</x:v>
      </x:c>
      <x:c r="D51" s="44" t="str">
        <x:v>If embedding an image, place it in a reserved image area without covering table cells and keep the source link.</x:v>
      </x:c>
      <x:c r="E51" s="44" t="str">
        <x:v>If embedding an image, place it in a reserved image area without covering table cells and keep the source link.</x:v>
      </x:c>
      <x:c r="F51" s="44" t="str">
        <x:v>If embedding an image, place it in a reserved image area without covering table cells and keep the source link.</x:v>
      </x:c>
      <x:c r="G51" s="44" t="str">
        <x:v>If embedding an image, place it in a reserved image area without covering table cells and keep the source link.</x:v>
      </x:c>
      <x:c r="H51" s="44" t="str">
        <x:v>If embedding an image, place it in a reserved image area without covering table cells and keep the source link.</x:v>
      </x:c>
    </x:row>
    <x:row r="52" ht="30" customHeight="1">
      <x:c r="A52" s="44" t="str">
        <x:v>Mark images with unclear rights as Internal Research Reference Only. Do not assume official product images are cleared for marketing use.</x:v>
      </x:c>
      <x:c r="B52" s="44" t="str">
        <x:v>Mark images with unclear rights as Internal Research Reference Only. Do not assume official product images are cleared for marketing use.</x:v>
      </x:c>
      <x:c r="C52" s="44" t="str">
        <x:v>Mark images with unclear rights as Internal Research Reference Only. Do not assume official product images are cleared for marketing use.</x:v>
      </x:c>
      <x:c r="D52" s="44" t="str">
        <x:v>Mark images with unclear rights as Internal Research Reference Only. Do not assume official product images are cleared for marketing use.</x:v>
      </x:c>
      <x:c r="E52" s="44" t="str">
        <x:v>Mark images with unclear rights as Internal Research Reference Only. Do not assume official product images are cleared for marketing use.</x:v>
      </x:c>
      <x:c r="F52" s="44" t="str">
        <x:v>Mark images with unclear rights as Internal Research Reference Only. Do not assume official product images are cleared for marketing use.</x:v>
      </x:c>
      <x:c r="G52" s="44" t="str">
        <x:v>Mark images with unclear rights as Internal Research Reference Only. Do not assume official product images are cleared for marketing use.</x:v>
      </x:c>
      <x:c r="H52" s="44" t="str">
        <x:v>Mark images with unclear rights as Internal Research Reference Only. Do not assume official product images are cleared for marketing use.</x:v>
      </x:c>
    </x:row>
    <x:row r="53" ht="8" customHeight="1">
      <x:c r="A53" s="48" t="str"/>
      <x:c r="B53" s="48" t="str"/>
      <x:c r="C53" s="48" t="str"/>
      <x:c r="D53" s="48" t="str"/>
      <x:c r="E53" s="48" t="str"/>
      <x:c r="F53" s="48" t="str"/>
      <x:c r="G53" s="48" t="str"/>
      <x:c r="H53" s="48" t="str"/>
    </x:row>
    <x:row r="54" ht="24" customHeight="1">
      <x:c r="A54" s="40" t="str">
        <x:v>[WORKBOOK ENTRY]</x:v>
      </x:c>
      <x:c r="B54" s="40" t="str">
        <x:v>[WORKBOOK ENTRY]</x:v>
      </x:c>
      <x:c r="C54" s="40" t="str">
        <x:v>[WORKBOOK ENTRY]</x:v>
      </x:c>
      <x:c r="D54" s="40" t="str">
        <x:v>[WORKBOOK ENTRY]</x:v>
      </x:c>
      <x:c r="E54" s="40" t="str">
        <x:v>[WORKBOOK ENTRY]</x:v>
      </x:c>
      <x:c r="F54" s="40" t="str">
        <x:v>[WORKBOOK ENTRY]</x:v>
      </x:c>
      <x:c r="G54" s="40" t="str">
        <x:v>[WORKBOOK ENTRY]</x:v>
      </x:c>
      <x:c r="H54" s="40" t="str">
        <x:v>[WORKBOOK ENTRY]</x:v>
      </x:c>
    </x:row>
    <x:row r="55" ht="30" customHeight="1">
      <x:c r="A55" s="44" t="str">
        <x:v>01_Brand_Master: preserve source fields; update the four Verified fields, Core-Field Verification, status, scores, grade, Hero SKUs, channels, links and next action.</x:v>
      </x:c>
      <x:c r="B55" s="44" t="str">
        <x:v>01_Brand_Master: preserve source fields; update the four Verified fields, Core-Field Verification, status, scores, grade, Hero SKUs, channels, links and next action.</x:v>
      </x:c>
      <x:c r="C55" s="44" t="str">
        <x:v>01_Brand_Master: preserve source fields; update the four Verified fields, Core-Field Verification, status, scores, grade, Hero SKUs, channels, links and next action.</x:v>
      </x:c>
      <x:c r="D55" s="44" t="str">
        <x:v>01_Brand_Master: preserve source fields; update the four Verified fields, Core-Field Verification, status, scores, grade, Hero SKUs, channels, links and next action.</x:v>
      </x:c>
      <x:c r="E55" s="44" t="str">
        <x:v>01_Brand_Master: preserve source fields; update the four Verified fields, Core-Field Verification, status, scores, grade, Hero SKUs, channels, links and next action.</x:v>
      </x:c>
      <x:c r="F55" s="44" t="str">
        <x:v>01_Brand_Master: preserve source fields; update the four Verified fields, Core-Field Verification, status, scores, grade, Hero SKUs, channels, links and next action.</x:v>
      </x:c>
      <x:c r="G55" s="44" t="str">
        <x:v>01_Brand_Master: preserve source fields; update the four Verified fields, Core-Field Verification, status, scores, grade, Hero SKUs, channels, links and next action.</x:v>
      </x:c>
      <x:c r="H55" s="44" t="str">
        <x:v>01_Brand_Master: preserve source fields; update the four Verified fields, Core-Field Verification, status, scores, grade, Hero SKUs, channels, links and next action.</x:v>
      </x:c>
    </x:row>
    <x:row r="56" ht="30" customHeight="1">
      <x:c r="A56" s="44" t="str">
        <x:v>02_Brand_Summary: U.S. position, facts, estimates, feedback, competition, opportunity, risks, regulation, price, channel and message.</x:v>
      </x:c>
      <x:c r="B56" s="44" t="str">
        <x:v>02_Brand_Summary: U.S. position, facts, estimates, feedback, competition, opportunity, risks, regulation, price, channel and message.</x:v>
      </x:c>
      <x:c r="C56" s="44" t="str">
        <x:v>02_Brand_Summary: U.S. position, facts, estimates, feedback, competition, opportunity, risks, regulation, price, channel and message.</x:v>
      </x:c>
      <x:c r="D56" s="44" t="str">
        <x:v>02_Brand_Summary: U.S. position, facts, estimates, feedback, competition, opportunity, risks, regulation, price, channel and message.</x:v>
      </x:c>
      <x:c r="E56" s="44" t="str">
        <x:v>02_Brand_Summary: U.S. position, facts, estimates, feedback, competition, opportunity, risks, regulation, price, channel and message.</x:v>
      </x:c>
      <x:c r="F56" s="44" t="str">
        <x:v>02_Brand_Summary: U.S. position, facts, estimates, feedback, competition, opportunity, risks, regulation, price, channel and message.</x:v>
      </x:c>
      <x:c r="G56" s="44" t="str">
        <x:v>02_Brand_Summary: U.S. position, facts, estimates, feedback, competition, opportunity, risks, regulation, price, channel and message.</x:v>
      </x:c>
      <x:c r="H56" s="44" t="str">
        <x:v>02_Brand_Summary: U.S. position, facts, estimates, feedback, competition, opportunity, risks, regulation, price, channel and message.</x:v>
      </x:c>
    </x:row>
    <x:row r="57" ht="30" customHeight="1">
      <x:c r="A57" s="44" t="str">
        <x:v>03_Scoring: scores from 0 to 10 with rationale. Use the overall score only when all eight weighted factors are complete.</x:v>
      </x:c>
      <x:c r="B57" s="44" t="str">
        <x:v>03_Scoring: scores from 0 to 10 with rationale. Use the overall score only when all eight weighted factors are complete.</x:v>
      </x:c>
      <x:c r="C57" s="44" t="str">
        <x:v>03_Scoring: scores from 0 to 10 with rationale. Use the overall score only when all eight weighted factors are complete.</x:v>
      </x:c>
      <x:c r="D57" s="44" t="str">
        <x:v>03_Scoring: scores from 0 to 10 with rationale. Use the overall score only when all eight weighted factors are complete.</x:v>
      </x:c>
      <x:c r="E57" s="44" t="str">
        <x:v>03_Scoring: scores from 0 to 10 with rationale. Use the overall score only when all eight weighted factors are complete.</x:v>
      </x:c>
      <x:c r="F57" s="44" t="str">
        <x:v>03_Scoring: scores from 0 to 10 with rationale. Use the overall score only when all eight weighted factors are complete.</x:v>
      </x:c>
      <x:c r="G57" s="44" t="str">
        <x:v>03_Scoring: scores from 0 to 10 with rationale. Use the overall score only when all eight weighted factors are complete.</x:v>
      </x:c>
      <x:c r="H57" s="44" t="str">
        <x:v>03_Scoring: scores from 0 to 10 with rationale. Use the overall score only when all eight weighted factors are complete.</x:v>
      </x:c>
    </x:row>
    <x:row r="58" ht="30" customHeight="1">
      <x:c r="A58" s="44" t="str">
        <x:v>04 through 10: record one SKU, channel observation, competitor, review set, source, image or vendor term per row.</x:v>
      </x:c>
      <x:c r="B58" s="44" t="str">
        <x:v>04 through 10: record one SKU, channel observation, competitor, review set, source, image or vendor term per row.</x:v>
      </x:c>
      <x:c r="C58" s="44" t="str">
        <x:v>04 through 10: record one SKU, channel observation, competitor, review set, source, image or vendor term per row.</x:v>
      </x:c>
      <x:c r="D58" s="44" t="str">
        <x:v>04 through 10: record one SKU, channel observation, competitor, review set, source, image or vendor term per row.</x:v>
      </x:c>
      <x:c r="E58" s="44" t="str">
        <x:v>04 through 10: record one SKU, channel observation, competitor, review set, source, image or vendor term per row.</x:v>
      </x:c>
      <x:c r="F58" s="44" t="str">
        <x:v>04 through 10: record one SKU, channel observation, competitor, review set, source, image or vendor term per row.</x:v>
      </x:c>
      <x:c r="G58" s="44" t="str">
        <x:v>04 through 10: record one SKU, channel observation, competitor, review set, source, image or vendor term per row.</x:v>
      </x:c>
      <x:c r="H58" s="44" t="str">
        <x:v>04 through 10: record one SKU, channel observation, competitor, review set, source, image or vendor term per row.</x:v>
      </x:c>
    </x:row>
    <x:row r="59" ht="30" customHeight="1">
      <x:c r="A59" s="44" t="str">
        <x:v>Leave unknown items blank or mark them Unable to Verify. Never fill gaps with invented data.</x:v>
      </x:c>
      <x:c r="B59" s="44" t="str">
        <x:v>Leave unknown items blank or mark them Unable to Verify. Never fill gaps with invented data.</x:v>
      </x:c>
      <x:c r="C59" s="44" t="str">
        <x:v>Leave unknown items blank or mark them Unable to Verify. Never fill gaps with invented data.</x:v>
      </x:c>
      <x:c r="D59" s="44" t="str">
        <x:v>Leave unknown items blank or mark them Unable to Verify. Never fill gaps with invented data.</x:v>
      </x:c>
      <x:c r="E59" s="44" t="str">
        <x:v>Leave unknown items blank or mark them Unable to Verify. Never fill gaps with invented data.</x:v>
      </x:c>
      <x:c r="F59" s="44" t="str">
        <x:v>Leave unknown items blank or mark them Unable to Verify. Never fill gaps with invented data.</x:v>
      </x:c>
      <x:c r="G59" s="44" t="str">
        <x:v>Leave unknown items blank or mark them Unable to Verify. Never fill gaps with invented data.</x:v>
      </x:c>
      <x:c r="H59" s="44" t="str">
        <x:v>Leave unknown items blank or mark them Unable to Verify. Never fill gaps with invented data.</x:v>
      </x:c>
    </x:row>
    <x:row r="60" ht="8" customHeight="1">
      <x:c r="A60" s="48" t="str"/>
      <x:c r="B60" s="48" t="str"/>
      <x:c r="C60" s="48" t="str"/>
      <x:c r="D60" s="48" t="str"/>
      <x:c r="E60" s="48" t="str"/>
      <x:c r="F60" s="48" t="str"/>
      <x:c r="G60" s="48" t="str"/>
      <x:c r="H60" s="48" t="str"/>
    </x:row>
    <x:row r="61" ht="24" customHeight="1">
      <x:c r="A61" s="40" t="str">
        <x:v>[APPROVAL GATE]</x:v>
      </x:c>
      <x:c r="B61" s="40" t="str">
        <x:v>[APPROVAL GATE]</x:v>
      </x:c>
      <x:c r="C61" s="40" t="str">
        <x:v>[APPROVAL GATE]</x:v>
      </x:c>
      <x:c r="D61" s="40" t="str">
        <x:v>[APPROVAL GATE]</x:v>
      </x:c>
      <x:c r="E61" s="40" t="str">
        <x:v>[APPROVAL GATE]</x:v>
      </x:c>
      <x:c r="F61" s="40" t="str">
        <x:v>[APPROVAL GATE]</x:v>
      </x:c>
      <x:c r="G61" s="40" t="str">
        <x:v>[APPROVAL GATE]</x:v>
      </x:c>
      <x:c r="H61" s="40" t="str">
        <x:v>[APPROVAL GATE]</x:v>
      </x:c>
    </x:row>
    <x:row r="62" ht="30" customHeight="1">
      <x:c r="A62" s="44" t="str">
        <x:v>When research and the four mandatory source-field checks are complete, change the status to Research Complete - Awaiting Approval and stop.</x:v>
      </x:c>
      <x:c r="B62" s="44" t="str">
        <x:v>When research and the four mandatory source-field checks are complete, change the status to Research Complete - Awaiting Approval and stop.</x:v>
      </x:c>
      <x:c r="C62" s="44" t="str">
        <x:v>When research and the four mandatory source-field checks are complete, change the status to Research Complete - Awaiting Approval and stop.</x:v>
      </x:c>
      <x:c r="D62" s="44" t="str">
        <x:v>When research and the four mandatory source-field checks are complete, change the status to Research Complete - Awaiting Approval and stop.</x:v>
      </x:c>
      <x:c r="E62" s="44" t="str">
        <x:v>When research and the four mandatory source-field checks are complete, change the status to Research Complete - Awaiting Approval and stop.</x:v>
      </x:c>
      <x:c r="F62" s="44" t="str">
        <x:v>When research and the four mandatory source-field checks are complete, change the status to Research Complete - Awaiting Approval and stop.</x:v>
      </x:c>
      <x:c r="G62" s="44" t="str">
        <x:v>When research and the four mandatory source-field checks are complete, change the status to Research Complete - Awaiting Approval and stop.</x:v>
      </x:c>
      <x:c r="H62" s="44" t="str">
        <x:v>When research and the four mandatory source-field checks are complete, change the status to Research Complete - Awaiting Approval and stop.</x:v>
      </x:c>
    </x:row>
    <x:row r="63" ht="30" customHeight="1">
      <x:c r="A63" s="44" t="str">
        <x:v>Show the user a ten-line executive summary, 3-5 Hero SKUs, key evidence links, scores, grade, risks and unresolved questions.</x:v>
      </x:c>
      <x:c r="B63" s="44" t="str">
        <x:v>Show the user a ten-line executive summary, 3-5 Hero SKUs, key evidence links, scores, grade, risks and unresolved questions.</x:v>
      </x:c>
      <x:c r="C63" s="44" t="str">
        <x:v>Show the user a ten-line executive summary, 3-5 Hero SKUs, key evidence links, scores, grade, risks and unresolved questions.</x:v>
      </x:c>
      <x:c r="D63" s="44" t="str">
        <x:v>Show the user a ten-line executive summary, 3-5 Hero SKUs, key evidence links, scores, grade, risks and unresolved questions.</x:v>
      </x:c>
      <x:c r="E63" s="44" t="str">
        <x:v>Show the user a ten-line executive summary, 3-5 Hero SKUs, key evidence links, scores, grade, risks and unresolved questions.</x:v>
      </x:c>
      <x:c r="F63" s="44" t="str">
        <x:v>Show the user a ten-line executive summary, 3-5 Hero SKUs, key evidence links, scores, grade, risks and unresolved questions.</x:v>
      </x:c>
      <x:c r="G63" s="44" t="str">
        <x:v>Show the user a ten-line executive summary, 3-5 Hero SKUs, key evidence links, scores, grade, risks and unresolved questions.</x:v>
      </x:c>
      <x:c r="H63" s="44" t="str">
        <x:v>Show the user a ten-line executive summary, 3-5 Hero SKUs, key evidence links, scores, grade, risks and unresolved questions.</x:v>
      </x:c>
    </x:row>
    <x:row r="64" ht="30" customHeight="1">
      <x:c r="A64" s="44" t="str">
        <x:v>If the user says Approved, append a new row to 11_Approval_Log and change the status to Approved.</x:v>
      </x:c>
      <x:c r="B64" s="44" t="str">
        <x:v>If the user says Approved, append a new row to 11_Approval_Log and change the status to Approved.</x:v>
      </x:c>
      <x:c r="C64" s="44" t="str">
        <x:v>If the user says Approved, append a new row to 11_Approval_Log and change the status to Approved.</x:v>
      </x:c>
      <x:c r="D64" s="44" t="str">
        <x:v>If the user says Approved, append a new row to 11_Approval_Log and change the status to Approved.</x:v>
      </x:c>
      <x:c r="E64" s="44" t="str">
        <x:v>If the user says Approved, append a new row to 11_Approval_Log and change the status to Approved.</x:v>
      </x:c>
      <x:c r="F64" s="44" t="str">
        <x:v>If the user says Approved, append a new row to 11_Approval_Log and change the status to Approved.</x:v>
      </x:c>
      <x:c r="G64" s="44" t="str">
        <x:v>If the user says Approved, append a new row to 11_Approval_Log and change the status to Approved.</x:v>
      </x:c>
      <x:c r="H64" s="44" t="str">
        <x:v>If the user says Approved, append a new row to 11_Approval_Log and change the status to Approved.</x:v>
      </x:c>
    </x:row>
    <x:row r="65" ht="30" customHeight="1">
      <x:c r="A65" s="44" t="str">
        <x:v>If the user requests revisions, research only the same brand and keep the status Revision Requested.</x:v>
      </x:c>
      <x:c r="B65" s="44" t="str">
        <x:v>If the user requests revisions, research only the same brand and keep the status Revision Requested.</x:v>
      </x:c>
      <x:c r="C65" s="44" t="str">
        <x:v>If the user requests revisions, research only the same brand and keep the status Revision Requested.</x:v>
      </x:c>
      <x:c r="D65" s="44" t="str">
        <x:v>If the user requests revisions, research only the same brand and keep the status Revision Requested.</x:v>
      </x:c>
      <x:c r="E65" s="44" t="str">
        <x:v>If the user requests revisions, research only the same brand and keep the status Revision Requested.</x:v>
      </x:c>
      <x:c r="F65" s="44" t="str">
        <x:v>If the user requests revisions, research only the same brand and keep the status Revision Requested.</x:v>
      </x:c>
      <x:c r="G65" s="44" t="str">
        <x:v>If the user requests revisions, research only the same brand and keep the status Revision Requested.</x:v>
      </x:c>
      <x:c r="H65" s="44" t="str">
        <x:v>If the user requests revisions, research only the same brand and keep the status Revision Requested.</x:v>
      </x:c>
    </x:row>
    <x:row r="66" ht="30" customHeight="1">
      <x:c r="A66" s="44" t="str">
        <x:v>Append approval, revision, hold and exclusion decisions. Never delete or overwrite prior decision history.</x:v>
      </x:c>
      <x:c r="B66" s="44" t="str">
        <x:v>Append approval, revision, hold and exclusion decisions. Never delete or overwrite prior decision history.</x:v>
      </x:c>
      <x:c r="C66" s="44" t="str">
        <x:v>Append approval, revision, hold and exclusion decisions. Never delete or overwrite prior decision history.</x:v>
      </x:c>
      <x:c r="D66" s="44" t="str">
        <x:v>Append approval, revision, hold and exclusion decisions. Never delete or overwrite prior decision history.</x:v>
      </x:c>
      <x:c r="E66" s="44" t="str">
        <x:v>Append approval, revision, hold and exclusion decisions. Never delete or overwrite prior decision history.</x:v>
      </x:c>
      <x:c r="F66" s="44" t="str">
        <x:v>Append approval, revision, hold and exclusion decisions. Never delete or overwrite prior decision history.</x:v>
      </x:c>
      <x:c r="G66" s="44" t="str">
        <x:v>Append approval, revision, hold and exclusion decisions. Never delete or overwrite prior decision history.</x:v>
      </x:c>
      <x:c r="H66" s="44" t="str">
        <x:v>Append approval, revision, hold and exclusion decisions. Never delete or overwrite prior decision history.</x:v>
      </x:c>
    </x:row>
    <x:row r="67" ht="8" customHeight="1">
      <x:c r="A67" s="48" t="str"/>
      <x:c r="B67" s="48" t="str"/>
      <x:c r="C67" s="48" t="str"/>
      <x:c r="D67" s="48" t="str"/>
      <x:c r="E67" s="48" t="str"/>
      <x:c r="F67" s="48" t="str"/>
      <x:c r="G67" s="48" t="str"/>
      <x:c r="H67" s="48" t="str"/>
    </x:row>
    <x:row r="68" ht="24" customHeight="1">
      <x:c r="A68" s="40" t="str">
        <x:v>[FINAL QUALITY CHECK]</x:v>
      </x:c>
      <x:c r="B68" s="40" t="str">
        <x:v>[FINAL QUALITY CHECK]</x:v>
      </x:c>
      <x:c r="C68" s="40" t="str">
        <x:v>[FINAL QUALITY CHECK]</x:v>
      </x:c>
      <x:c r="D68" s="40" t="str">
        <x:v>[FINAL QUALITY CHECK]</x:v>
      </x:c>
      <x:c r="E68" s="40" t="str">
        <x:v>[FINAL QUALITY CHECK]</x:v>
      </x:c>
      <x:c r="F68" s="40" t="str">
        <x:v>[FINAL QUALITY CHECK]</x:v>
      </x:c>
      <x:c r="G68" s="40" t="str">
        <x:v>[FINAL QUALITY CHECK]</x:v>
      </x:c>
      <x:c r="H68" s="40" t="str">
        <x:v>[FINAL QUALITY CHECK]</x:v>
      </x:c>
    </x:row>
    <x:row r="69" ht="30" customHeight="1">
      <x:c r="A69" s="44" t="str">
        <x:v>Confirm that every price, review count and rank has a check date and that U.S./Korea data and official/third-party sellers are separated.</x:v>
      </x:c>
      <x:c r="B69" s="44" t="str">
        <x:v>Confirm that every price, review count and rank has a check date and that U.S./Korea data and official/third-party sellers are separated.</x:v>
      </x:c>
      <x:c r="C69" s="44" t="str">
        <x:v>Confirm that every price, review count and rank has a check date and that U.S./Korea data and official/third-party sellers are separated.</x:v>
      </x:c>
      <x:c r="D69" s="44" t="str">
        <x:v>Confirm that every price, review count and rank has a check date and that U.S./Korea data and official/third-party sellers are separated.</x:v>
      </x:c>
      <x:c r="E69" s="44" t="str">
        <x:v>Confirm that every price, review count and rank has a check date and that U.S./Korea data and official/third-party sellers are separated.</x:v>
      </x:c>
      <x:c r="F69" s="44" t="str">
        <x:v>Confirm that every price, review count and rank has a check date and that U.S./Korea data and official/third-party sellers are separated.</x:v>
      </x:c>
      <x:c r="G69" s="44" t="str">
        <x:v>Confirm that every price, review count and rank has a check date and that U.S./Korea data and official/third-party sellers are separated.</x:v>
      </x:c>
      <x:c r="H69" s="44" t="str">
        <x:v>Confirm that every price, review count and rank has a check date and that U.S./Korea data and official/third-party sellers are separated.</x:v>
      </x:c>
    </x:row>
    <x:row r="70" ht="30" customHeight="1">
      <x:c r="A70" s="44" t="str">
        <x:v>Separate verified sales from estimates, present competitors at SKU level and verify that links open.</x:v>
      </x:c>
      <x:c r="B70" s="44" t="str">
        <x:v>Separate verified sales from estimates, present competitors at SKU level and verify that links open.</x:v>
      </x:c>
      <x:c r="C70" s="44" t="str">
        <x:v>Separate verified sales from estimates, present competitors at SKU level and verify that links open.</x:v>
      </x:c>
      <x:c r="D70" s="44" t="str">
        <x:v>Separate verified sales from estimates, present competitors at SKU level and verify that links open.</x:v>
      </x:c>
      <x:c r="E70" s="44" t="str">
        <x:v>Separate verified sales from estimates, present competitors at SKU level and verify that links open.</x:v>
      </x:c>
      <x:c r="F70" s="44" t="str">
        <x:v>Separate verified sales from estimates, present competitors at SKU level and verify that links open.</x:v>
      </x:c>
      <x:c r="G70" s="44" t="str">
        <x:v>Separate verified sales from estimates, present competitors at SKU level and verify that links open.</x:v>
      </x:c>
      <x:c r="H70" s="44" t="str">
        <x:v>Separate verified sales from estimates, present competitors at SKU level and verify that links open.</x:v>
      </x:c>
    </x:row>
    <x:row r="71" ht="30" customHeight="1">
      <x:c r="A71" s="44" t="str">
        <x:v>Scan formulas and layout, save the workbook, report only the current brand and wait for approval.</x:v>
      </x:c>
      <x:c r="B71" s="44" t="str">
        <x:v>Scan formulas and layout, save the workbook, report only the current brand and wait for approval.</x:v>
      </x:c>
      <x:c r="C71" s="44" t="str">
        <x:v>Scan formulas and layout, save the workbook, report only the current brand and wait for approval.</x:v>
      </x:c>
      <x:c r="D71" s="44" t="str">
        <x:v>Scan formulas and layout, save the workbook, report only the current brand and wait for approval.</x:v>
      </x:c>
      <x:c r="E71" s="44" t="str">
        <x:v>Scan formulas and layout, save the workbook, report only the current brand and wait for approval.</x:v>
      </x:c>
      <x:c r="F71" s="44" t="str">
        <x:v>Scan formulas and layout, save the workbook, report only the current brand and wait for approval.</x:v>
      </x:c>
      <x:c r="G71" s="44" t="str">
        <x:v>Scan formulas and layout, save the workbook, report only the current brand and wait for approval.</x:v>
      </x:c>
      <x:c r="H71" s="44" t="str">
        <x:v>Scan formulas and layout, save the workbook, report only the current brand and wait for approval.</x:v>
      </x:c>
    </x:row>
    <x:row r="72" ht="8" customHeight="1">
      <x:c r="A72" s="48" t="str"/>
      <x:c r="B72" s="48" t="str"/>
      <x:c r="C72" s="48" t="str"/>
      <x:c r="D72" s="48" t="str"/>
      <x:c r="E72" s="48" t="str"/>
      <x:c r="F72" s="48" t="str"/>
      <x:c r="G72" s="48" t="str"/>
      <x:c r="H72" s="48" t="str"/>
    </x:row>
    <x:row r="73" ht="30" customHeight="1">
      <x:c r="A73" s="44" t="str">
        <x:v>Now open the source ranking file and the latest English master workbook, identify the next numeric Source Rank, and Deep Research only that brand.</x:v>
      </x:c>
      <x:c r="B73" s="44" t="str">
        <x:v>Now open the source ranking file and the latest English master workbook, identify the next numeric Source Rank, and Deep Research only that brand.</x:v>
      </x:c>
      <x:c r="C73" s="44" t="str">
        <x:v>Now open the source ranking file and the latest English master workbook, identify the next numeric Source Rank, and Deep Research only that brand.</x:v>
      </x:c>
      <x:c r="D73" s="44" t="str">
        <x:v>Now open the source ranking file and the latest English master workbook, identify the next numeric Source Rank, and Deep Research only that brand.</x:v>
      </x:c>
      <x:c r="E73" s="44" t="str">
        <x:v>Now open the source ranking file and the latest English master workbook, identify the next numeric Source Rank, and Deep Research only that brand.</x:v>
      </x:c>
      <x:c r="F73" s="44" t="str">
        <x:v>Now open the source ranking file and the latest English master workbook, identify the next numeric Source Rank, and Deep Research only that brand.</x:v>
      </x:c>
      <x:c r="G73" s="44" t="str">
        <x:v>Now open the source ranking file and the latest English master workbook, identify the next numeric Source Rank, and Deep Research only that brand.</x:v>
      </x:c>
      <x:c r="H73" s="44" t="str">
        <x:v>Now open the source ranking file and the latest English master workbook, identify the next numeric Source Rank, and Deep Research only that brand.</x:v>
      </x:c>
    </x:row>
  </x:sheetData>
  <x:mergeCells>
    <x:mergeCell ref="A1:H1"/>
    <x:mergeCell ref="A2:H2"/>
    <x:mergeCell ref="A4:H4"/>
    <x:mergeCell ref="A5:H5"/>
    <x:mergeCell ref="A6:H6"/>
    <x:mergeCell ref="A7:H7"/>
    <x:mergeCell ref="A8:H8"/>
    <x:mergeCell ref="A9:H9"/>
    <x:mergeCell ref="A10:H10"/>
    <x:mergeCell ref="A11:H11"/>
    <x:mergeCell ref="A12:H12"/>
    <x:mergeCell ref="A13:H13"/>
    <x:mergeCell ref="A14:H14"/>
    <x:mergeCell ref="A15:H15"/>
    <x:mergeCell ref="A16:H16"/>
    <x:mergeCell ref="A17:H17"/>
    <x:mergeCell ref="A18:H18"/>
    <x:mergeCell ref="A19:H19"/>
    <x:mergeCell ref="A20:H20"/>
    <x:mergeCell ref="A21:H21"/>
    <x:mergeCell ref="A22:H22"/>
    <x:mergeCell ref="A23:H23"/>
    <x:mergeCell ref="A24:H24"/>
    <x:mergeCell ref="A25:H25"/>
    <x:mergeCell ref="A26:H26"/>
    <x:mergeCell ref="A27:H27"/>
    <x:mergeCell ref="A28:H28"/>
    <x:mergeCell ref="A29:H29"/>
    <x:mergeCell ref="A30:H30"/>
    <x:mergeCell ref="A31:H31"/>
    <x:mergeCell ref="A32:H32"/>
    <x:mergeCell ref="A33:H33"/>
    <x:mergeCell ref="A34:H34"/>
    <x:mergeCell ref="A35:H35"/>
    <x:mergeCell ref="A36:H36"/>
    <x:mergeCell ref="A37:H37"/>
    <x:mergeCell ref="A38:H38"/>
    <x:mergeCell ref="A39:H39"/>
    <x:mergeCell ref="A40:H40"/>
    <x:mergeCell ref="A41:H41"/>
    <x:mergeCell ref="A42:H42"/>
    <x:mergeCell ref="A43:H43"/>
    <x:mergeCell ref="A44:H44"/>
    <x:mergeCell ref="A45:H45"/>
    <x:mergeCell ref="A46:H46"/>
    <x:mergeCell ref="A47:H47"/>
    <x:mergeCell ref="A48:H48"/>
    <x:mergeCell ref="A49:H49"/>
    <x:mergeCell ref="A50:H50"/>
    <x:mergeCell ref="A51:H51"/>
    <x:mergeCell ref="A52:H52"/>
    <x:mergeCell ref="A53:H53"/>
    <x:mergeCell ref="A54:H54"/>
    <x:mergeCell ref="A55:H55"/>
    <x:mergeCell ref="A56:H56"/>
    <x:mergeCell ref="A57:H57"/>
    <x:mergeCell ref="A58:H58"/>
    <x:mergeCell ref="A59:H59"/>
    <x:mergeCell ref="A60:H60"/>
    <x:mergeCell ref="A61:H61"/>
    <x:mergeCell ref="A62:H62"/>
    <x:mergeCell ref="A63:H63"/>
    <x:mergeCell ref="A64:H64"/>
    <x:mergeCell ref="A65:H65"/>
    <x:mergeCell ref="A66:H66"/>
    <x:mergeCell ref="A67:H67"/>
    <x:mergeCell ref="A68:H68"/>
    <x:mergeCell ref="A69:H69"/>
    <x:mergeCell ref="A70:H70"/>
    <x:mergeCell ref="A71:H71"/>
    <x:mergeCell ref="A72:H72"/>
    <x:mergeCell ref="A73:H73"/>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s>
  <x:sheetData>
    <x:row r="1">
      <x:c r="A1" s="14" t="str">
        <x:v>Status</x:v>
      </x:c>
      <x:c r="B1" s="14" t="str">
        <x:v>Approval Decision</x:v>
      </x:c>
      <x:c r="C1" s="14" t="str">
        <x:v>Recommendation Grade</x:v>
      </x:c>
      <x:c r="D1" s="14" t="str">
        <x:v>Confidence</x:v>
      </x:c>
      <x:c r="E1" s="14" t="str">
        <x:v>Sentiment</x:v>
      </x:c>
      <x:c r="F1" s="14" t="str">
        <x:v>Price Tier</x:v>
      </x:c>
      <x:c r="G1" s="14" t="str">
        <x:v>Official Status</x:v>
      </x:c>
      <x:c r="H1" s="14" t="str">
        <x:v>Image Type</x:v>
      </x:c>
      <x:c r="I1" s="14" t="str">
        <x:v>Core-Field Verification</x:v>
      </x:c>
    </x:row>
    <x:row r="2">
      <x:c r="A2" s="20" t="str">
        <x:v>Not Started</x:v>
      </x:c>
      <x:c r="B2" s="20" t="str">
        <x:v>Approved</x:v>
      </x:c>
      <x:c r="C2" s="20" t="str">
        <x:v>A</x:v>
      </x:c>
      <x:c r="D2" s="20" t="str">
        <x:v>High</x:v>
      </x:c>
      <x:c r="E2" s="20" t="str">
        <x:v>Positive</x:v>
      </x:c>
      <x:c r="F2" s="20" t="str">
        <x:v>Ultra Value</x:v>
      </x:c>
      <x:c r="G2" s="20" t="str">
        <x:v>Official</x:v>
      </x:c>
      <x:c r="H2" s="20" t="str">
        <x:v>Brand Logo</x:v>
      </x:c>
      <x:c r="I2" s="20" t="str">
        <x:v>Not Verified</x:v>
      </x:c>
    </x:row>
    <x:row r="3">
      <x:c r="A3" s="21" t="str">
        <x:v>Research in Progress</x:v>
      </x:c>
      <x:c r="B3" s="21" t="str">
        <x:v>Revision Requested</x:v>
      </x:c>
      <x:c r="C3" s="21" t="str">
        <x:v>B</x:v>
      </x:c>
      <x:c r="D3" s="21" t="str">
        <x:v>Medium</x:v>
      </x:c>
      <x:c r="E3" s="21" t="str">
        <x:v>Neutral</x:v>
      </x:c>
      <x:c r="F3" s="21" t="str">
        <x:v>Value</x:v>
      </x:c>
      <x:c r="G3" s="21" t="str">
        <x:v>Likely Official</x:v>
      </x:c>
      <x:c r="H3" s="21" t="str">
        <x:v>Hero Product</x:v>
      </x:c>
      <x:c r="I3" s="21" t="str">
        <x:v>Partially Verified</x:v>
      </x:c>
    </x:row>
    <x:row r="4">
      <x:c r="A4" s="21" t="str">
        <x:v>Research Complete - Awaiting Approval</x:v>
      </x:c>
      <x:c r="B4" s="21" t="str">
        <x:v>On Hold</x:v>
      </x:c>
      <x:c r="C4" s="21" t="str">
        <x:v>C</x:v>
      </x:c>
      <x:c r="D4" s="21" t="str">
        <x:v>Low</x:v>
      </x:c>
      <x:c r="E4" s="21" t="str">
        <x:v>Negative</x:v>
      </x:c>
      <x:c r="F4" s="21" t="str">
        <x:v>Mid-Market</x:v>
      </x:c>
      <x:c r="G4" s="21" t="str">
        <x:v>Third Party</x:v>
      </x:c>
      <x:c r="H4" s="21" t="str">
        <x:v>Packaging</x:v>
      </x:c>
      <x:c r="I4" s="21" t="str">
        <x:v>Verified</x:v>
      </x:c>
    </x:row>
    <x:row r="5">
      <x:c r="A5" s="21" t="str">
        <x:v>Approved</x:v>
      </x:c>
      <x:c r="B5" s="21" t="str">
        <x:v>Excluded</x:v>
      </x:c>
      <x:c r="C5" s="21" t="str">
        <x:v>D</x:v>
      </x:c>
      <x:c r="D5" s="21" t="str"/>
      <x:c r="E5" s="21" t="str">
        <x:v>Mixed</x:v>
      </x:c>
      <x:c r="F5" s="21" t="str">
        <x:v>Premium</x:v>
      </x:c>
      <x:c r="G5" s="21" t="str">
        <x:v>Possible Gray Market</x:v>
      </x:c>
      <x:c r="H5" s="21" t="str">
        <x:v>Texture</x:v>
      </x:c>
      <x:c r="I5" s="21" t="str">
        <x:v>Conflicting Evidence</x:v>
      </x:c>
    </x:row>
    <x:row r="6">
      <x:c r="A6" s="21" t="str">
        <x:v>Revision Requested</x:v>
      </x:c>
      <x:c r="B6" s="21" t="str"/>
      <x:c r="C6" s="21" t="str">
        <x:v>E</x:v>
      </x:c>
      <x:c r="D6" s="21" t="str"/>
      <x:c r="E6" s="21" t="str"/>
      <x:c r="F6" s="21" t="str">
        <x:v>Luxury</x:v>
      </x:c>
      <x:c r="G6" s="21" t="str">
        <x:v>Unable to Verify</x:v>
      </x:c>
      <x:c r="H6" s="21" t="str">
        <x:v>How-to</x:v>
      </x:c>
      <x:c r="I6" s="21" t="str"/>
    </x:row>
    <x:row r="7">
      <x:c r="A7" s="21" t="str">
        <x:v>On Hold</x:v>
      </x:c>
      <x:c r="B7" s="21" t="str"/>
      <x:c r="C7" s="21" t="str"/>
      <x:c r="D7" s="21" t="str"/>
      <x:c r="E7" s="21" t="str"/>
      <x:c r="F7" s="21" t="str">
        <x:v>Mixed</x:v>
      </x:c>
      <x:c r="G7" s="21" t="str"/>
      <x:c r="H7" s="21" t="str">
        <x:v>Retail Display</x:v>
      </x:c>
      <x:c r="I7" s="21" t="str"/>
    </x:row>
    <x:row r="8">
      <x:c r="A8" s="21" t="str">
        <x:v>Excluded</x:v>
      </x:c>
      <x:c r="B8" s="21" t="str"/>
      <x:c r="C8" s="21" t="str"/>
      <x:c r="D8" s="21" t="str"/>
      <x:c r="E8" s="21" t="str"/>
      <x:c r="F8" s="21" t="str">
        <x:v>Unable to Verify</x:v>
      </x:c>
      <x:c r="G8" s="21" t="str"/>
      <x:c r="H8" s="21" t="str">
        <x:v>Sales Page Screenshot</x:v>
      </x:c>
      <x:c r="I8" s="21" t="str"/>
    </x:row>
    <x:row r="9">
      <x:c r="A9" s="21" t="str"/>
      <x:c r="B9" s="21" t="str"/>
      <x:c r="C9" s="21" t="str"/>
      <x:c r="D9" s="21" t="str"/>
      <x:c r="E9" s="21" t="str"/>
      <x:c r="F9" s="21" t="str"/>
      <x:c r="G9" s="21" t="str"/>
      <x:c r="H9" s="21" t="str">
        <x:v>Social Post Screenshot</x:v>
      </x:c>
      <x:c r="I9" s="21" t="str"/>
    </x:row>
    <x:row r="10">
      <x:c r="A10" s="21" t="str"/>
      <x:c r="B10" s="21" t="str"/>
      <x:c r="C10" s="21" t="str"/>
      <x:c r="D10" s="21" t="str"/>
      <x:c r="E10" s="21" t="str"/>
      <x:c r="F10" s="21" t="str"/>
      <x:c r="G10" s="21" t="str"/>
      <x:c r="H10" s="21" t="str">
        <x:v>Other</x:v>
      </x:c>
      <x:c r="I10" s="21" t="str"/>
    </x:row>
  </x:sheetData>
  <x:pageMargins left="0.7" right="0.7" top="0.75" bottom="0.75" header="0.3" footer="0.3"/>
</x:worksheet>
</file>